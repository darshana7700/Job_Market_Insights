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https://d.docs.live.net/411dd134d5147525/Documents/"/>
    </mc:Choice>
  </mc:AlternateContent>
  <xr:revisionPtr revIDLastSave="37" documentId="8_{C1CFD5B3-2395-42F1-AC88-394CB42F3300}" xr6:coauthVersionLast="47" xr6:coauthVersionMax="47" xr10:uidLastSave="{92A95EB1-B136-4F4C-B183-AFAF580844DD}"/>
  <bookViews>
    <workbookView xWindow="-108" yWindow="-108" windowWidth="23256" windowHeight="12456" xr2:uid="{00000000-000D-0000-FFFF-FFFF00000000}"/>
  </bookViews>
  <sheets>
    <sheet name="Dashboard" sheetId="15" r:id="rId1"/>
    <sheet name="Insights &amp; Reccomendations" sheetId="16" r:id="rId2"/>
    <sheet name="Analysis" sheetId="3" r:id="rId3"/>
    <sheet name="jobrole" sheetId="4" r:id="rId4"/>
    <sheet name="skills" sheetId="9" r:id="rId5"/>
    <sheet name="location" sheetId="10" r:id="rId6"/>
    <sheet name="Experience" sheetId="11" r:id="rId7"/>
    <sheet name="work mode" sheetId="12" r:id="rId8"/>
    <sheet name="type" sheetId="13" r:id="rId9"/>
    <sheet name="Salary" sheetId="14" r:id="rId10"/>
    <sheet name="skill_data" sheetId="8" r:id="rId11"/>
    <sheet name="Clean_Data" sheetId="2" r:id="rId12"/>
    <sheet name="Job_Postings" sheetId="1" r:id="rId13"/>
  </sheets>
  <definedNames>
    <definedName name="_xlnm._FilterDatabase" localSheetId="12" hidden="1">Job_Postings!$A$1:$L$501</definedName>
    <definedName name="ExternalData_1" localSheetId="11" hidden="1">Clean_Data!$A$1:$M$501</definedName>
    <definedName name="ExternalData_2" localSheetId="10" hidden="1">skill_data!$A$1:$K$1501</definedName>
    <definedName name="Slicer_Experience">#N/A</definedName>
    <definedName name="Slicer_Job_Title">#N/A</definedName>
    <definedName name="Slicer_Job_Type">#N/A</definedName>
    <definedName name="Slicer_Location">#N/A</definedName>
    <definedName name="Slicer_Work_Mode">#N/A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A2" i="3"/>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5BDC4D-D551-496B-A579-4E3E8A048932}" keepAlive="1" name="Query - JobData" description="Connection to the 'JobData' query in the workbook." type="5" refreshedVersion="8" background="1" saveData="1">
    <dbPr connection="Provider=Microsoft.Mashup.OleDb.1;Data Source=$Workbook$;Location=JobData;Extended Properties=&quot;&quot;" command="SELECT * FROM [JobData]"/>
  </connection>
  <connection id="2" xr16:uid="{74338328-B0D3-4C5D-AD57-20011C57565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<sst xmlns="http://schemas.openxmlformats.org/spreadsheetml/2006/main" count="23658" uniqueCount="1945">
  <si>
    <t>Job_ID</t>
  </si>
  <si>
    <t>Job_Title</t>
  </si>
  <si>
    <t>Company</t>
  </si>
  <si>
    <t>Location</t>
  </si>
  <si>
    <t>Experience</t>
  </si>
  <si>
    <t>Salary_INR</t>
  </si>
  <si>
    <t>Job_Type</t>
  </si>
  <si>
    <t>Work_Mode</t>
  </si>
  <si>
    <t>Skill_1</t>
  </si>
  <si>
    <t>Skill_2</t>
  </si>
  <si>
    <t>Skill_3</t>
  </si>
  <si>
    <t>Posted_Date</t>
  </si>
  <si>
    <t>JOB0258</t>
  </si>
  <si>
    <t>Product Data Analyst</t>
  </si>
  <si>
    <t>Mindtree</t>
  </si>
  <si>
    <t>Kolkata</t>
  </si>
  <si>
    <t>1-3 Years</t>
  </si>
  <si>
    <t>Contract</t>
  </si>
  <si>
    <t>On-site</t>
  </si>
  <si>
    <t>SQL</t>
  </si>
  <si>
    <t>Deep Learning</t>
  </si>
  <si>
    <t>Excel</t>
  </si>
  <si>
    <t>2026-06-04</t>
  </si>
  <si>
    <t>JOB0182</t>
  </si>
  <si>
    <t>Data Engineer</t>
  </si>
  <si>
    <t>Tredence</t>
  </si>
  <si>
    <t>Gurugram</t>
  </si>
  <si>
    <t>Full Time</t>
  </si>
  <si>
    <t>Hybrid</t>
  </si>
  <si>
    <t>Machine Learning</t>
  </si>
  <si>
    <t>R</t>
  </si>
  <si>
    <t>Power Query</t>
  </si>
  <si>
    <t>2026-06-16</t>
  </si>
  <si>
    <t>JOB0065</t>
  </si>
  <si>
    <t>ML Engineer</t>
  </si>
  <si>
    <t>Accenture India</t>
  </si>
  <si>
    <t>Bangalore</t>
  </si>
  <si>
    <t>3-5 Years</t>
  </si>
  <si>
    <t>TensorFlow</t>
  </si>
  <si>
    <t>Azure</t>
  </si>
  <si>
    <t>2026-01-24</t>
  </si>
  <si>
    <t>JOB0434</t>
  </si>
  <si>
    <t>Machine Learning Scientist</t>
  </si>
  <si>
    <t>ICICI Bank</t>
  </si>
  <si>
    <t>Noida</t>
  </si>
  <si>
    <t>Statistics</t>
  </si>
  <si>
    <t>Python</t>
  </si>
  <si>
    <t>2026-02-07</t>
  </si>
  <si>
    <t>JOB0032</t>
  </si>
  <si>
    <t>Data Analyst</t>
  </si>
  <si>
    <t>Fractal Analytics</t>
  </si>
  <si>
    <t>Chennai</t>
  </si>
  <si>
    <t>0-2 Years</t>
  </si>
  <si>
    <t>Internship</t>
  </si>
  <si>
    <t>Tableau</t>
  </si>
  <si>
    <t>2026-08-19</t>
  </si>
  <si>
    <t>JOB0305</t>
  </si>
  <si>
    <t>BI Analyst</t>
  </si>
  <si>
    <t>WNS Global Services</t>
  </si>
  <si>
    <t>Remote</t>
  </si>
  <si>
    <t>2026-08-22</t>
  </si>
  <si>
    <t>JOB0212</t>
  </si>
  <si>
    <t>Data Scientist</t>
  </si>
  <si>
    <t>Mu Sigma</t>
  </si>
  <si>
    <t>Ahmedabad</t>
  </si>
  <si>
    <t>2026-06-06</t>
  </si>
  <si>
    <t>JOB0062</t>
  </si>
  <si>
    <t>BYJU'S</t>
  </si>
  <si>
    <t>NLP</t>
  </si>
  <si>
    <t>2026-01-16</t>
  </si>
  <si>
    <t>JOB0073</t>
  </si>
  <si>
    <t>Delhi</t>
  </si>
  <si>
    <t>Power BI</t>
  </si>
  <si>
    <t>2026-05-09</t>
  </si>
  <si>
    <t>JOB0369</t>
  </si>
  <si>
    <t>Business Analyst</t>
  </si>
  <si>
    <t>Mumbai</t>
  </si>
  <si>
    <t>5+ Years</t>
  </si>
  <si>
    <t>2026-02-17</t>
  </si>
  <si>
    <t>JOB0210</t>
  </si>
  <si>
    <t>Persistent Systems</t>
  </si>
  <si>
    <t>Hyderabad</t>
  </si>
  <si>
    <t>2026-06-11</t>
  </si>
  <si>
    <t>JOB0074</t>
  </si>
  <si>
    <t>SAP Labs India</t>
  </si>
  <si>
    <t>2026-03-28</t>
  </si>
  <si>
    <t>JOB0038</t>
  </si>
  <si>
    <t>Freshworks</t>
  </si>
  <si>
    <t>2026-03-05</t>
  </si>
  <si>
    <t>JOB0115</t>
  </si>
  <si>
    <t>Thoughtworks</t>
  </si>
  <si>
    <t>2026-02-05</t>
  </si>
  <si>
    <t>JOB0201</t>
  </si>
  <si>
    <t>Goldman Sachs India</t>
  </si>
  <si>
    <t>JOB0477</t>
  </si>
  <si>
    <t>PwC India</t>
  </si>
  <si>
    <t>Pune</t>
  </si>
  <si>
    <t>2026-04-07</t>
  </si>
  <si>
    <t>JOB0352</t>
  </si>
  <si>
    <t>Larsen &amp; Toubro</t>
  </si>
  <si>
    <t>2026-07-25</t>
  </si>
  <si>
    <t>JOB0323</t>
  </si>
  <si>
    <t>HDFC Bank</t>
  </si>
  <si>
    <t>AWS</t>
  </si>
  <si>
    <t>2026-05-30</t>
  </si>
  <si>
    <t>JOB0171</t>
  </si>
  <si>
    <t>Deloitte India</t>
  </si>
  <si>
    <t>2026-03-15</t>
  </si>
  <si>
    <t>JOB0216</t>
  </si>
  <si>
    <t>Dunzo</t>
  </si>
  <si>
    <t>2026-03-16</t>
  </si>
  <si>
    <t>JOB0090</t>
  </si>
  <si>
    <t>Infosys</t>
  </si>
  <si>
    <t>2026-05-31</t>
  </si>
  <si>
    <t>JOB0158</t>
  </si>
  <si>
    <t>MakeMyTrip</t>
  </si>
  <si>
    <t>2-5 Years</t>
  </si>
  <si>
    <t>2026-06-07</t>
  </si>
  <si>
    <t>JOB0366</t>
  </si>
  <si>
    <t>Ola</t>
  </si>
  <si>
    <t>JOB0191</t>
  </si>
  <si>
    <t>2026-08-24</t>
  </si>
  <si>
    <t>JOB0121</t>
  </si>
  <si>
    <t>Publicis Sapient</t>
  </si>
  <si>
    <t>JOB0401</t>
  </si>
  <si>
    <t>Meesho</t>
  </si>
  <si>
    <t>2026-06-29</t>
  </si>
  <si>
    <t>JOB0363</t>
  </si>
  <si>
    <t>2026-01-18</t>
  </si>
  <si>
    <t>JOB0192</t>
  </si>
  <si>
    <t>Razorpay</t>
  </si>
  <si>
    <t>AI</t>
  </si>
  <si>
    <t>2026-06-18</t>
  </si>
  <si>
    <t>JOB0138</t>
  </si>
  <si>
    <t>HSBC India</t>
  </si>
  <si>
    <t>2026-03-30</t>
  </si>
  <si>
    <t>JOB0190</t>
  </si>
  <si>
    <t>2026-04-14</t>
  </si>
  <si>
    <t>JOB0136</t>
  </si>
  <si>
    <t>Lenskart</t>
  </si>
  <si>
    <t>2026-04-03</t>
  </si>
  <si>
    <t>JOB0231</t>
  </si>
  <si>
    <t>2026-06-05</t>
  </si>
  <si>
    <t>JOB0283</t>
  </si>
  <si>
    <t>TCS</t>
  </si>
  <si>
    <t>2026-04-30</t>
  </si>
  <si>
    <t>JOB0406</t>
  </si>
  <si>
    <t>2026-07-29</t>
  </si>
  <si>
    <t>JOB0297</t>
  </si>
  <si>
    <t>AI/ML Analyst</t>
  </si>
  <si>
    <t>2026-06-19</t>
  </si>
  <si>
    <t>JOB0164</t>
  </si>
  <si>
    <t>Sonata Software</t>
  </si>
  <si>
    <t>2026-03-08</t>
  </si>
  <si>
    <t>JOB0096</t>
  </si>
  <si>
    <t>IBM India</t>
  </si>
  <si>
    <t>2026-05-24</t>
  </si>
  <si>
    <t>JOB0328</t>
  </si>
  <si>
    <t>2026-01-02</t>
  </si>
  <si>
    <t>JOB0222</t>
  </si>
  <si>
    <t>Adobe India</t>
  </si>
  <si>
    <t>2026-07-11</t>
  </si>
  <si>
    <t>JOB0177</t>
  </si>
  <si>
    <t>Cred</t>
  </si>
  <si>
    <t>2026-06-23</t>
  </si>
  <si>
    <t>JOB0214</t>
  </si>
  <si>
    <t>2026-06-12</t>
  </si>
  <si>
    <t>JOB0076</t>
  </si>
  <si>
    <t>2026-07-23</t>
  </si>
  <si>
    <t>JOB0161</t>
  </si>
  <si>
    <t>2026-08-12</t>
  </si>
  <si>
    <t>JOB0271</t>
  </si>
  <si>
    <t>L&amp;T Infotech</t>
  </si>
  <si>
    <t>2026-04-18</t>
  </si>
  <si>
    <t>JOB0084</t>
  </si>
  <si>
    <t>PhonePe</t>
  </si>
  <si>
    <t>2026-06-13</t>
  </si>
  <si>
    <t>JOB0390</t>
  </si>
  <si>
    <t>AI Engineer</t>
  </si>
  <si>
    <t>Zensar Technologies</t>
  </si>
  <si>
    <t>JOB0044</t>
  </si>
  <si>
    <t>ZS Associates</t>
  </si>
  <si>
    <t>2026-06-01</t>
  </si>
  <si>
    <t>JOB0159</t>
  </si>
  <si>
    <t>2026-07-17</t>
  </si>
  <si>
    <t>JOB0500</t>
  </si>
  <si>
    <t>2026-07-14</t>
  </si>
  <si>
    <t>JOB0267</t>
  </si>
  <si>
    <t>Oracle India</t>
  </si>
  <si>
    <t>2026-02-22</t>
  </si>
  <si>
    <t>JOB0089</t>
  </si>
  <si>
    <t>Wipro</t>
  </si>
  <si>
    <t>2026-03-26</t>
  </si>
  <si>
    <t>JOB0174</t>
  </si>
  <si>
    <t>Tata Consultancy Services</t>
  </si>
  <si>
    <t>JOB0345</t>
  </si>
  <si>
    <t>JOB0368</t>
  </si>
  <si>
    <t>2026-07-18</t>
  </si>
  <si>
    <t>JOB0123</t>
  </si>
  <si>
    <t>2026-08-03</t>
  </si>
  <si>
    <t>JOB0454</t>
  </si>
  <si>
    <t>2026-02-02</t>
  </si>
  <si>
    <t>JOB0333</t>
  </si>
  <si>
    <t>2026-06-15</t>
  </si>
  <si>
    <t>JOB0063</t>
  </si>
  <si>
    <t>Microsoft India</t>
  </si>
  <si>
    <t>2026-06-03</t>
  </si>
  <si>
    <t>JOB0001</t>
  </si>
  <si>
    <t>HCLTech</t>
  </si>
  <si>
    <t>2026-01-09</t>
  </si>
  <si>
    <t>JOB0086</t>
  </si>
  <si>
    <t>Amazon India</t>
  </si>
  <si>
    <t>2026-06-21</t>
  </si>
  <si>
    <t>JOB0167</t>
  </si>
  <si>
    <t>Quantiphi</t>
  </si>
  <si>
    <t>2026-06-20</t>
  </si>
  <si>
    <t>JOB0431</t>
  </si>
  <si>
    <t>American Express India</t>
  </si>
  <si>
    <t>2026-02-15</t>
  </si>
  <si>
    <t>JOB0154</t>
  </si>
  <si>
    <t>Bajaj Finserv</t>
  </si>
  <si>
    <t>2026-05-13</t>
  </si>
  <si>
    <t>JOB0466</t>
  </si>
  <si>
    <t>2026-06-25</t>
  </si>
  <si>
    <t>JOB0261</t>
  </si>
  <si>
    <t>2026-07-07</t>
  </si>
  <si>
    <t>JOB0378</t>
  </si>
  <si>
    <t>Zomato</t>
  </si>
  <si>
    <t>2026-06-08</t>
  </si>
  <si>
    <t>JOB0365</t>
  </si>
  <si>
    <t>2026-07-08</t>
  </si>
  <si>
    <t>JOB0329</t>
  </si>
  <si>
    <t>JOB0079</t>
  </si>
  <si>
    <t>2026-05-27</t>
  </si>
  <si>
    <t>JOB0421</t>
  </si>
  <si>
    <t>2026-03-23</t>
  </si>
  <si>
    <t>JOB0483</t>
  </si>
  <si>
    <t>Delhivery</t>
  </si>
  <si>
    <t>JOB0014</t>
  </si>
  <si>
    <t>JOB0289</t>
  </si>
  <si>
    <t>2026-03-17</t>
  </si>
  <si>
    <t>JOB0256</t>
  </si>
  <si>
    <t>Cognizant</t>
  </si>
  <si>
    <t>2026-01-15</t>
  </si>
  <si>
    <t>JOB0325</t>
  </si>
  <si>
    <t>2026-02-26</t>
  </si>
  <si>
    <t>JOB0071</t>
  </si>
  <si>
    <t>2026-08-10</t>
  </si>
  <si>
    <t>JOB0308</t>
  </si>
  <si>
    <t>KPMG India</t>
  </si>
  <si>
    <t>2026-08-28</t>
  </si>
  <si>
    <t>JOB0049</t>
  </si>
  <si>
    <t>2026-07-20</t>
  </si>
  <si>
    <t>JOB0146</t>
  </si>
  <si>
    <t>2026-05-10</t>
  </si>
  <si>
    <t>JOB0119</t>
  </si>
  <si>
    <t>2026-03-11</t>
  </si>
  <si>
    <t>JOB0396</t>
  </si>
  <si>
    <t>2026-05-15</t>
  </si>
  <si>
    <t>JOB0221</t>
  </si>
  <si>
    <t>Unacademy</t>
  </si>
  <si>
    <t>JOB0402</t>
  </si>
  <si>
    <t>2026-04-06</t>
  </si>
  <si>
    <t>JOB0407</t>
  </si>
  <si>
    <t>JOB0338</t>
  </si>
  <si>
    <t>JOB0197</t>
  </si>
  <si>
    <t>2026-04-25</t>
  </si>
  <si>
    <t>JOB0357</t>
  </si>
  <si>
    <t>Paytm</t>
  </si>
  <si>
    <t>2026-07-30</t>
  </si>
  <si>
    <t>JOB0468</t>
  </si>
  <si>
    <t>Nykaa</t>
  </si>
  <si>
    <t>JOB0273</t>
  </si>
  <si>
    <t>2026-08-23</t>
  </si>
  <si>
    <t>JOB0039</t>
  </si>
  <si>
    <t>2026-08-17</t>
  </si>
  <si>
    <t>JOB0145</t>
  </si>
  <si>
    <t>Google India</t>
  </si>
  <si>
    <t>JOB0081</t>
  </si>
  <si>
    <t>2026-08-20</t>
  </si>
  <si>
    <t>JOB0478</t>
  </si>
  <si>
    <t>Flipkart</t>
  </si>
  <si>
    <t>JOB0341</t>
  </si>
  <si>
    <t>Samsung R&amp;D Institute India</t>
  </si>
  <si>
    <t>2026-01-03</t>
  </si>
  <si>
    <t>JOB0217</t>
  </si>
  <si>
    <t>PolicyBazaar</t>
  </si>
  <si>
    <t>JOB0491</t>
  </si>
  <si>
    <t>Reliance Jio</t>
  </si>
  <si>
    <t>2026-01-05</t>
  </si>
  <si>
    <t>JOB0254</t>
  </si>
  <si>
    <t>2026-04-08</t>
  </si>
  <si>
    <t>JOB0153</t>
  </si>
  <si>
    <t>2026-02-18</t>
  </si>
  <si>
    <t>JOB0169</t>
  </si>
  <si>
    <t>Swiggy</t>
  </si>
  <si>
    <t>JOB0194</t>
  </si>
  <si>
    <t>2026-03-01</t>
  </si>
  <si>
    <t>JOB0040</t>
  </si>
  <si>
    <t>2026-05-05</t>
  </si>
  <si>
    <t>JOB0489</t>
  </si>
  <si>
    <t>2026-07-27</t>
  </si>
  <si>
    <t>JOB0007</t>
  </si>
  <si>
    <t>2026-08-15</t>
  </si>
  <si>
    <t>JOB0133</t>
  </si>
  <si>
    <t>Tech Mahindra</t>
  </si>
  <si>
    <t>2026-01-30</t>
  </si>
  <si>
    <t>JOB0447</t>
  </si>
  <si>
    <t>2026-07-02</t>
  </si>
  <si>
    <t>JOB0116</t>
  </si>
  <si>
    <t>2026-02-11</t>
  </si>
  <si>
    <t>JOB0444</t>
  </si>
  <si>
    <t>2026-07-01</t>
  </si>
  <si>
    <t>JOB0080</t>
  </si>
  <si>
    <t>2026-05-08</t>
  </si>
  <si>
    <t>JOB0018</t>
  </si>
  <si>
    <t>2026-04-15</t>
  </si>
  <si>
    <t>JOB0134</t>
  </si>
  <si>
    <t>2026-02-21</t>
  </si>
  <si>
    <t>JOB0303</t>
  </si>
  <si>
    <t>JOB0496</t>
  </si>
  <si>
    <t>Capgemini</t>
  </si>
  <si>
    <t>2026-07-09</t>
  </si>
  <si>
    <t>JOB0427</t>
  </si>
  <si>
    <t>JOB0183</t>
  </si>
  <si>
    <t>JOB0285</t>
  </si>
  <si>
    <t>JOB0337</t>
  </si>
  <si>
    <t>2026-04-04</t>
  </si>
  <si>
    <t>JOB0015</t>
  </si>
  <si>
    <t>2026-07-26</t>
  </si>
  <si>
    <t>JOB0397</t>
  </si>
  <si>
    <t>JOB0450</t>
  </si>
  <si>
    <t>2026-01-19</t>
  </si>
  <si>
    <t>JOB0395</t>
  </si>
  <si>
    <t>Axis Bank</t>
  </si>
  <si>
    <t>JOB0279</t>
  </si>
  <si>
    <t>2026-08-13</t>
  </si>
  <si>
    <t>JOB0265</t>
  </si>
  <si>
    <t>Bank of America India</t>
  </si>
  <si>
    <t>JOB0372</t>
  </si>
  <si>
    <t>2026-03-22</t>
  </si>
  <si>
    <t>JOB0004</t>
  </si>
  <si>
    <t>2026-05-28</t>
  </si>
  <si>
    <t>JOB0043</t>
  </si>
  <si>
    <t>JOB0204</t>
  </si>
  <si>
    <t>JOB0024</t>
  </si>
  <si>
    <t>2026-08-29</t>
  </si>
  <si>
    <t>JOB0160</t>
  </si>
  <si>
    <t>JOB0356</t>
  </si>
  <si>
    <t>JOB0452</t>
  </si>
  <si>
    <t>JOB0370</t>
  </si>
  <si>
    <t>2026-08-07</t>
  </si>
  <si>
    <t>JOB0322</t>
  </si>
  <si>
    <t>2026-02-19</t>
  </si>
  <si>
    <t>JOB0203</t>
  </si>
  <si>
    <t>2026-08-01</t>
  </si>
  <si>
    <t>JOB0435</t>
  </si>
  <si>
    <t>Dell Technologies India</t>
  </si>
  <si>
    <t>JOB0019</t>
  </si>
  <si>
    <t>2026-06-28</t>
  </si>
  <si>
    <t>JOB0050</t>
  </si>
  <si>
    <t>JOB0006</t>
  </si>
  <si>
    <t>2026-08-04</t>
  </si>
  <si>
    <t>JOB0243</t>
  </si>
  <si>
    <t>2026-08-06</t>
  </si>
  <si>
    <t>JOB0360</t>
  </si>
  <si>
    <t>2026-06-30</t>
  </si>
  <si>
    <t>JOB0426</t>
  </si>
  <si>
    <t>2026-04-26</t>
  </si>
  <si>
    <t>JOB0253</t>
  </si>
  <si>
    <t>2026-03-13</t>
  </si>
  <si>
    <t>JOB0166</t>
  </si>
  <si>
    <t>JOB0162</t>
  </si>
  <si>
    <t>JOB0113</t>
  </si>
  <si>
    <t>JOB0309</t>
  </si>
  <si>
    <t>JOB0131</t>
  </si>
  <si>
    <t>JOB0485</t>
  </si>
  <si>
    <t>2026-04-10</t>
  </si>
  <si>
    <t>JOB0055</t>
  </si>
  <si>
    <t>JOB0029</t>
  </si>
  <si>
    <t>JOB0314</t>
  </si>
  <si>
    <t>2026-01-12</t>
  </si>
  <si>
    <t>JOB0259</t>
  </si>
  <si>
    <t>2026-01-06</t>
  </si>
  <si>
    <t>JOB0251</t>
  </si>
  <si>
    <t>2026-02-01</t>
  </si>
  <si>
    <t>JOB0021</t>
  </si>
  <si>
    <t>2026-06-02</t>
  </si>
  <si>
    <t>JOB0232</t>
  </si>
  <si>
    <t>Myntra</t>
  </si>
  <si>
    <t>JOB0034</t>
  </si>
  <si>
    <t>JOB0307</t>
  </si>
  <si>
    <t>JOB0425</t>
  </si>
  <si>
    <t>2026-05-06</t>
  </si>
  <si>
    <t>JOB0135</t>
  </si>
  <si>
    <t>JOB0184</t>
  </si>
  <si>
    <t>JPMorgan Chase India</t>
  </si>
  <si>
    <t>2026-02-20</t>
  </si>
  <si>
    <t>JOB0296</t>
  </si>
  <si>
    <t>JOB0301</t>
  </si>
  <si>
    <t>Nagarro</t>
  </si>
  <si>
    <t>2026-05-07</t>
  </si>
  <si>
    <t>JOB0114</t>
  </si>
  <si>
    <t>JOB0451</t>
  </si>
  <si>
    <t>JOB0193</t>
  </si>
  <si>
    <t>2026-05-26</t>
  </si>
  <si>
    <t>JOB0442</t>
  </si>
  <si>
    <t>JOB0117</t>
  </si>
  <si>
    <t>2026-05-17</t>
  </si>
  <si>
    <t>JOB0480</t>
  </si>
  <si>
    <t>JOB0445</t>
  </si>
  <si>
    <t>2026-02-14</t>
  </si>
  <si>
    <t>JOB0494</t>
  </si>
  <si>
    <t>2026-08-09</t>
  </si>
  <si>
    <t>JOB0195</t>
  </si>
  <si>
    <t>2026-05-22</t>
  </si>
  <si>
    <t>JOB0120</t>
  </si>
  <si>
    <t>2026-01-14</t>
  </si>
  <si>
    <t>JOB0453</t>
  </si>
  <si>
    <t>2026-02-16</t>
  </si>
  <si>
    <t>JOB0383</t>
  </si>
  <si>
    <t>JOB0139</t>
  </si>
  <si>
    <t>2026-02-09</t>
  </si>
  <si>
    <t>JOB0023</t>
  </si>
  <si>
    <t>2026-04-05</t>
  </si>
  <si>
    <t>JOB0316</t>
  </si>
  <si>
    <t>2026-03-29</t>
  </si>
  <si>
    <t>JOB0262</t>
  </si>
  <si>
    <t>LatentView Analytics</t>
  </si>
  <si>
    <t>JOB0150</t>
  </si>
  <si>
    <t>2026-02-08</t>
  </si>
  <si>
    <t>JOB0175</t>
  </si>
  <si>
    <t>2026-04-23</t>
  </si>
  <si>
    <t>JOB0400</t>
  </si>
  <si>
    <t>JOB0148</t>
  </si>
  <si>
    <t>JOB0387</t>
  </si>
  <si>
    <t>JOB0236</t>
  </si>
  <si>
    <t>JOB0025</t>
  </si>
  <si>
    <t>2026-03-06</t>
  </si>
  <si>
    <t>JOB0463</t>
  </si>
  <si>
    <t>JOB0179</t>
  </si>
  <si>
    <t>Genpact</t>
  </si>
  <si>
    <t>2026-05-23</t>
  </si>
  <si>
    <t>JOB0299</t>
  </si>
  <si>
    <t>2026-01-31</t>
  </si>
  <si>
    <t>JOB0240</t>
  </si>
  <si>
    <t>JOB0105</t>
  </si>
  <si>
    <t>JOB0185</t>
  </si>
  <si>
    <t>JOB0326</t>
  </si>
  <si>
    <t>JOB0472</t>
  </si>
  <si>
    <t>2026-05-02</t>
  </si>
  <si>
    <t>JOB0257</t>
  </si>
  <si>
    <t>2026-08-31</t>
  </si>
  <si>
    <t>JOB0469</t>
  </si>
  <si>
    <t>JOB0413</t>
  </si>
  <si>
    <t>2026-03-20</t>
  </si>
  <si>
    <t>JOB0349</t>
  </si>
  <si>
    <t>JOB0125</t>
  </si>
  <si>
    <t>JOB0324</t>
  </si>
  <si>
    <t>2026-05-21</t>
  </si>
  <si>
    <t>JOB0022</t>
  </si>
  <si>
    <t>EY India</t>
  </si>
  <si>
    <t>2026-04-28</t>
  </si>
  <si>
    <t>JOB0312</t>
  </si>
  <si>
    <t>JOB0234</t>
  </si>
  <si>
    <t>JOB0122</t>
  </si>
  <si>
    <t>2026-08-02</t>
  </si>
  <si>
    <t>JOB0433</t>
  </si>
  <si>
    <t>JOB0381</t>
  </si>
  <si>
    <t>2026-04-16</t>
  </si>
  <si>
    <t>JOB0052</t>
  </si>
  <si>
    <t>JOB0416</t>
  </si>
  <si>
    <t>JOB0180</t>
  </si>
  <si>
    <t>2026-03-10</t>
  </si>
  <si>
    <t>JOB0362</t>
  </si>
  <si>
    <t>JOB0107</t>
  </si>
  <si>
    <t>2026-03-31</t>
  </si>
  <si>
    <t>JOB0388</t>
  </si>
  <si>
    <t>JOB0042</t>
  </si>
  <si>
    <t>JOB0207</t>
  </si>
  <si>
    <t>2026-01-07</t>
  </si>
  <si>
    <t>JOB0313</t>
  </si>
  <si>
    <t>2026-07-10</t>
  </si>
  <si>
    <t>JOB0386</t>
  </si>
  <si>
    <t>JOB0354</t>
  </si>
  <si>
    <t>JOB0199</t>
  </si>
  <si>
    <t>2026-03-12</t>
  </si>
  <si>
    <t>JOB0072</t>
  </si>
  <si>
    <t>JOB0277</t>
  </si>
  <si>
    <t>2026-01-26</t>
  </si>
  <si>
    <t>JOB0041</t>
  </si>
  <si>
    <t>JOB0385</t>
  </si>
  <si>
    <t>JOB0066</t>
  </si>
  <si>
    <t>2026-01-10</t>
  </si>
  <si>
    <t>JOB0476</t>
  </si>
  <si>
    <t>JOB0492</t>
  </si>
  <si>
    <t>2026-07-22</t>
  </si>
  <si>
    <t>JOB0268</t>
  </si>
  <si>
    <t>2026-01-01</t>
  </si>
  <si>
    <t>JOB0263</t>
  </si>
  <si>
    <t>JOB0342</t>
  </si>
  <si>
    <t>JOB0404</t>
  </si>
  <si>
    <t>JOB0321</t>
  </si>
  <si>
    <t>JOB0168</t>
  </si>
  <si>
    <t>JOB0467</t>
  </si>
  <si>
    <t>2026-07-24</t>
  </si>
  <si>
    <t>JOB0255</t>
  </si>
  <si>
    <t>2026-07-19</t>
  </si>
  <si>
    <t>JOB0274</t>
  </si>
  <si>
    <t>JOB0229</t>
  </si>
  <si>
    <t>2026-06-10</t>
  </si>
  <si>
    <t>JOB0110</t>
  </si>
  <si>
    <t>JOB0202</t>
  </si>
  <si>
    <t>JOB0061</t>
  </si>
  <si>
    <t>JOB0290</t>
  </si>
  <si>
    <t>2026-03-18</t>
  </si>
  <si>
    <t>JOB0242</t>
  </si>
  <si>
    <t>JOB0335</t>
  </si>
  <si>
    <t>JOB0103</t>
  </si>
  <si>
    <t>2026-03-25</t>
  </si>
  <si>
    <t>JOB0200</t>
  </si>
  <si>
    <t>2026-03-27</t>
  </si>
  <si>
    <t>JOB0037</t>
  </si>
  <si>
    <t>JOB0424</t>
  </si>
  <si>
    <t>JOB0344</t>
  </si>
  <si>
    <t>JOB0436</t>
  </si>
  <si>
    <t>JOB0082</t>
  </si>
  <si>
    <t>JOB0220</t>
  </si>
  <si>
    <t>JOB0009</t>
  </si>
  <si>
    <t>JOB0224</t>
  </si>
  <si>
    <t>Urban Company</t>
  </si>
  <si>
    <t>2026-07-21</t>
  </si>
  <si>
    <t>JOB0228</t>
  </si>
  <si>
    <t>2026-08-14</t>
  </si>
  <si>
    <t>JOB0458</t>
  </si>
  <si>
    <t>JOB0172</t>
  </si>
  <si>
    <t>2026-06-24</t>
  </si>
  <si>
    <t>JOB0364</t>
  </si>
  <si>
    <t>2026-01-20</t>
  </si>
  <si>
    <t>JOB0213</t>
  </si>
  <si>
    <t>JOB0351</t>
  </si>
  <si>
    <t>2026-07-31</t>
  </si>
  <si>
    <t>JOB0334</t>
  </si>
  <si>
    <t>JOB0003</t>
  </si>
  <si>
    <t>JOB0178</t>
  </si>
  <si>
    <t>2026-07-13</t>
  </si>
  <si>
    <t>JOB0235</t>
  </si>
  <si>
    <t>JOB0394</t>
  </si>
  <si>
    <t>Cisco India</t>
  </si>
  <si>
    <t>JOB0047</t>
  </si>
  <si>
    <t>2026-07-16</t>
  </si>
  <si>
    <t>JOB0155</t>
  </si>
  <si>
    <t>JOB0488</t>
  </si>
  <si>
    <t>2026-04-27</t>
  </si>
  <si>
    <t>JOB0288</t>
  </si>
  <si>
    <t>JOB0311</t>
  </si>
  <si>
    <t>JOB0118</t>
  </si>
  <si>
    <t>JOB0163</t>
  </si>
  <si>
    <t>JOB0206</t>
  </si>
  <si>
    <t>2026-01-28</t>
  </si>
  <si>
    <t>JOB0218</t>
  </si>
  <si>
    <t>JOB0446</t>
  </si>
  <si>
    <t>JOB0057</t>
  </si>
  <si>
    <t>2026-08-30</t>
  </si>
  <si>
    <t>JOB0130</t>
  </si>
  <si>
    <t>JOB0010</t>
  </si>
  <si>
    <t>JOB0389</t>
  </si>
  <si>
    <t>2026-03-21</t>
  </si>
  <si>
    <t>JOB0140</t>
  </si>
  <si>
    <t>JOB0060</t>
  </si>
  <si>
    <t>2026-01-21</t>
  </si>
  <si>
    <t>JOB0246</t>
  </si>
  <si>
    <t>JOB0141</t>
  </si>
  <si>
    <t>2026-06-09</t>
  </si>
  <si>
    <t>JOB0346</t>
  </si>
  <si>
    <t>2026-04-17</t>
  </si>
  <si>
    <t>JOB0332</t>
  </si>
  <si>
    <t>JOB0112</t>
  </si>
  <si>
    <t>JOB0028</t>
  </si>
  <si>
    <t>JOB0429</t>
  </si>
  <si>
    <t>JOB0272</t>
  </si>
  <si>
    <t>JOB0233</t>
  </si>
  <si>
    <t>JOB0137</t>
  </si>
  <si>
    <t>2026-01-17</t>
  </si>
  <si>
    <t>JOB0371</t>
  </si>
  <si>
    <t>JOB0474</t>
  </si>
  <si>
    <t>JOB0292</t>
  </si>
  <si>
    <t>2026-07-15</t>
  </si>
  <si>
    <t>JOB0348</t>
  </si>
  <si>
    <t>JOB0358</t>
  </si>
  <si>
    <t>JOB0361</t>
  </si>
  <si>
    <t>JOB0278</t>
  </si>
  <si>
    <t>JOB0091</t>
  </si>
  <si>
    <t>JOB0127</t>
  </si>
  <si>
    <t>JOB0059</t>
  </si>
  <si>
    <t>2026-08-21</t>
  </si>
  <si>
    <t>JOB0432</t>
  </si>
  <si>
    <t>JOB0244</t>
  </si>
  <si>
    <t>JOB0068</t>
  </si>
  <si>
    <t>JOB0035</t>
  </si>
  <si>
    <t>2026-06-22</t>
  </si>
  <si>
    <t>JOB0415</t>
  </si>
  <si>
    <t>JOB0457</t>
  </si>
  <si>
    <t>JOB0027</t>
  </si>
  <si>
    <t>JOB0384</t>
  </si>
  <si>
    <t>JOB0350</t>
  </si>
  <si>
    <t>JOB0498</t>
  </si>
  <si>
    <t>2026-05-01</t>
  </si>
  <si>
    <t>JOB0250</t>
  </si>
  <si>
    <t>JOB0430</t>
  </si>
  <si>
    <t>2026-01-22</t>
  </si>
  <si>
    <t>JOB0376</t>
  </si>
  <si>
    <t>JOB0379</t>
  </si>
  <si>
    <t>2026-04-02</t>
  </si>
  <si>
    <t>JOB0087</t>
  </si>
  <si>
    <t>2026-04-24</t>
  </si>
  <si>
    <t>JOB0094</t>
  </si>
  <si>
    <t>2026-07-04</t>
  </si>
  <si>
    <t>JOB0093</t>
  </si>
  <si>
    <t>JOB0300</t>
  </si>
  <si>
    <t>2026-01-11</t>
  </si>
  <si>
    <t>JOB0464</t>
  </si>
  <si>
    <t>JOB0219</t>
  </si>
  <si>
    <t>JOB0013</t>
  </si>
  <si>
    <t>2026-04-13</t>
  </si>
  <si>
    <t>JOB0490</t>
  </si>
  <si>
    <t>JOB0409</t>
  </si>
  <si>
    <t>2026-01-13</t>
  </si>
  <si>
    <t>JOB0129</t>
  </si>
  <si>
    <t>JOB0053</t>
  </si>
  <si>
    <t>JOB0304</t>
  </si>
  <si>
    <t>JOB0493</t>
  </si>
  <si>
    <t>JOB0239</t>
  </si>
  <si>
    <t>2026-03-04</t>
  </si>
  <si>
    <t>JOB0264</t>
  </si>
  <si>
    <t>JOB0287</t>
  </si>
  <si>
    <t>2026-08-05</t>
  </si>
  <si>
    <t>JOB0230</t>
  </si>
  <si>
    <t>JOB0017</t>
  </si>
  <si>
    <t>JOB0067</t>
  </si>
  <si>
    <t>2026-04-29</t>
  </si>
  <si>
    <t>JOB0143</t>
  </si>
  <si>
    <t>JOB0102</t>
  </si>
  <si>
    <t>2026-01-29</t>
  </si>
  <si>
    <t>JOB0104</t>
  </si>
  <si>
    <t>JOB0377</t>
  </si>
  <si>
    <t>JOB0423</t>
  </si>
  <si>
    <t>2026-06-26</t>
  </si>
  <si>
    <t>JOB0465</t>
  </si>
  <si>
    <t>JOB0398</t>
  </si>
  <si>
    <t>JOB0374</t>
  </si>
  <si>
    <t>JOB0336</t>
  </si>
  <si>
    <t>2026-03-02</t>
  </si>
  <si>
    <t>JOB0320</t>
  </si>
  <si>
    <t>JOB0046</t>
  </si>
  <si>
    <t>Zoho</t>
  </si>
  <si>
    <t>JOB0353</t>
  </si>
  <si>
    <t>JOB0486</t>
  </si>
  <si>
    <t>JOB0149</t>
  </si>
  <si>
    <t>JOB0437</t>
  </si>
  <si>
    <t>JOB0109</t>
  </si>
  <si>
    <t>2026-04-01</t>
  </si>
  <si>
    <t>JOB0085</t>
  </si>
  <si>
    <t>JOB0275</t>
  </si>
  <si>
    <t>2026-04-09</t>
  </si>
  <si>
    <t>JOB0330</t>
  </si>
  <si>
    <t>JOB0318</t>
  </si>
  <si>
    <t>JOB0098</t>
  </si>
  <si>
    <t>JOB0064</t>
  </si>
  <si>
    <t>JOB0005</t>
  </si>
  <si>
    <t>2026-02-23</t>
  </si>
  <si>
    <t>JOB0327</t>
  </si>
  <si>
    <t>JOB0051</t>
  </si>
  <si>
    <t>JOB0359</t>
  </si>
  <si>
    <t>JOB0282</t>
  </si>
  <si>
    <t>JOB0095</t>
  </si>
  <si>
    <t>JOB0165</t>
  </si>
  <si>
    <t>JOB0215</t>
  </si>
  <si>
    <t>JOB0471</t>
  </si>
  <si>
    <t>JOB0443</t>
  </si>
  <si>
    <t>JOB0056</t>
  </si>
  <si>
    <t>JOB0189</t>
  </si>
  <si>
    <t>JOB0176</t>
  </si>
  <si>
    <t>2026-03-19</t>
  </si>
  <si>
    <t>JOB0069</t>
  </si>
  <si>
    <t>JOB0108</t>
  </si>
  <si>
    <t>JOB0187</t>
  </si>
  <si>
    <t>JOB0026</t>
  </si>
  <si>
    <t>JOB0410</t>
  </si>
  <si>
    <t>Barclays India</t>
  </si>
  <si>
    <t>JOB0142</t>
  </si>
  <si>
    <t>JOB0367</t>
  </si>
  <si>
    <t>JOB0306</t>
  </si>
  <si>
    <t>JOB0097</t>
  </si>
  <si>
    <t>JOB0482</t>
  </si>
  <si>
    <t>2026-07-06</t>
  </si>
  <si>
    <t>JOB0048</t>
  </si>
  <si>
    <t>JOB0033</t>
  </si>
  <si>
    <t>JOB0205</t>
  </si>
  <si>
    <t>JOB0286</t>
  </si>
  <si>
    <t>JOB0002</t>
  </si>
  <si>
    <t>JOB0088</t>
  </si>
  <si>
    <t>2026-06-14</t>
  </si>
  <si>
    <t>JOB0101</t>
  </si>
  <si>
    <t>2026-02-10</t>
  </si>
  <si>
    <t>JOB0106</t>
  </si>
  <si>
    <t>JOB0495</t>
  </si>
  <si>
    <t>JOB0293</t>
  </si>
  <si>
    <t>JOB0331</t>
  </si>
  <si>
    <t>2026-08-26</t>
  </si>
  <si>
    <t>JOB0382</t>
  </si>
  <si>
    <t>JOB0405</t>
  </si>
  <si>
    <t>JOB0481</t>
  </si>
  <si>
    <t>JOB0294</t>
  </si>
  <si>
    <t>2026-01-27</t>
  </si>
  <si>
    <t>JOB0151</t>
  </si>
  <si>
    <t>JOB0070</t>
  </si>
  <si>
    <t>2026-05-11</t>
  </si>
  <si>
    <t>JOB0238</t>
  </si>
  <si>
    <t>2026-08-08</t>
  </si>
  <si>
    <t>JOB0208</t>
  </si>
  <si>
    <t>2026-05-14</t>
  </si>
  <si>
    <t>JOB0209</t>
  </si>
  <si>
    <t>JOB0315</t>
  </si>
  <si>
    <t>2026-06-27</t>
  </si>
  <si>
    <t>JOB0418</t>
  </si>
  <si>
    <t>JOB0054</t>
  </si>
  <si>
    <t>JOB0484</t>
  </si>
  <si>
    <t>JOB0223</t>
  </si>
  <si>
    <t>JOB0011</t>
  </si>
  <si>
    <t>JOB0473</t>
  </si>
  <si>
    <t>JOB0455</t>
  </si>
  <si>
    <t>JOB0414</t>
  </si>
  <si>
    <t>JOB0058</t>
  </si>
  <si>
    <t>JOB0252</t>
  </si>
  <si>
    <t>JOB0475</t>
  </si>
  <si>
    <t>JOB0470</t>
  </si>
  <si>
    <t>JOB0147</t>
  </si>
  <si>
    <t>JOB0340</t>
  </si>
  <si>
    <t>JOB0266</t>
  </si>
  <si>
    <t>JOB0497</t>
  </si>
  <si>
    <t>2026-05-29</t>
  </si>
  <si>
    <t>JOB0499</t>
  </si>
  <si>
    <t>JOB0031</t>
  </si>
  <si>
    <t>JOB0111</t>
  </si>
  <si>
    <t>JOB0030</t>
  </si>
  <si>
    <t>JOB0247</t>
  </si>
  <si>
    <t>JOB0173</t>
  </si>
  <si>
    <t>JOB0196</t>
  </si>
  <si>
    <t>JOB0144</t>
  </si>
  <si>
    <t>JOB0319</t>
  </si>
  <si>
    <t>JOB0281</t>
  </si>
  <si>
    <t>JOB0456</t>
  </si>
  <si>
    <t>2026-05-20</t>
  </si>
  <si>
    <t>JOB0343</t>
  </si>
  <si>
    <t>JOB0156</t>
  </si>
  <si>
    <t>JOB0298</t>
  </si>
  <si>
    <t>JOB0245</t>
  </si>
  <si>
    <t>JOB0487</t>
  </si>
  <si>
    <t>JOB0428</t>
  </si>
  <si>
    <t>JOB0393</t>
  </si>
  <si>
    <t>JOB0186</t>
  </si>
  <si>
    <t>JOB0198</t>
  </si>
  <si>
    <t>JOB0295</t>
  </si>
  <si>
    <t>2026-02-04</t>
  </si>
  <si>
    <t>JOB0280</t>
  </si>
  <si>
    <t>2026-01-08</t>
  </si>
  <si>
    <t>JOB0380</t>
  </si>
  <si>
    <t>JOB0227</t>
  </si>
  <si>
    <t>JOB0036</t>
  </si>
  <si>
    <t>2026-02-27</t>
  </si>
  <si>
    <t>JOB0284</t>
  </si>
  <si>
    <t>JOB0419</t>
  </si>
  <si>
    <t>JOB0460</t>
  </si>
  <si>
    <t>JOB0078</t>
  </si>
  <si>
    <t>JOB0083</t>
  </si>
  <si>
    <t>JOB0355</t>
  </si>
  <si>
    <t>JOB0225</t>
  </si>
  <si>
    <t>JOB0420</t>
  </si>
  <si>
    <t>JOB0373</t>
  </si>
  <si>
    <t>2026-01-25</t>
  </si>
  <si>
    <t>JOB0448</t>
  </si>
  <si>
    <t>JOB0408</t>
  </si>
  <si>
    <t>JOB0459</t>
  </si>
  <si>
    <t>JOB0392</t>
  </si>
  <si>
    <t>JOB0248</t>
  </si>
  <si>
    <t>JOB0399</t>
  </si>
  <si>
    <t>JOB0075</t>
  </si>
  <si>
    <t>JOB0302</t>
  </si>
  <si>
    <t>JOB0461</t>
  </si>
  <si>
    <t>2026-04-22</t>
  </si>
  <si>
    <t>JOB0126</t>
  </si>
  <si>
    <t>JOB0411</t>
  </si>
  <si>
    <t>JOB0077</t>
  </si>
  <si>
    <t>JOB0260</t>
  </si>
  <si>
    <t>JOB0403</t>
  </si>
  <si>
    <t>JOB0438</t>
  </si>
  <si>
    <t>JOB0412</t>
  </si>
  <si>
    <t>JOB0317</t>
  </si>
  <si>
    <t>JOB0226</t>
  </si>
  <si>
    <t>JOB0449</t>
  </si>
  <si>
    <t>2026-01-04</t>
  </si>
  <si>
    <t>JOB0181</t>
  </si>
  <si>
    <t>JOB0045</t>
  </si>
  <si>
    <t>JOB0479</t>
  </si>
  <si>
    <t>JOB0124</t>
  </si>
  <si>
    <t>JOB0269</t>
  </si>
  <si>
    <t>JOB0092</t>
  </si>
  <si>
    <t>2026-04-20</t>
  </si>
  <si>
    <t>JOB0375</t>
  </si>
  <si>
    <t>JOB0249</t>
  </si>
  <si>
    <t>JOB0276</t>
  </si>
  <si>
    <t>JOB0237</t>
  </si>
  <si>
    <t>JOB0440</t>
  </si>
  <si>
    <t>JOB0020</t>
  </si>
  <si>
    <t>JOB0417</t>
  </si>
  <si>
    <t>JOB0241</t>
  </si>
  <si>
    <t>JOB0211</t>
  </si>
  <si>
    <t>2026-07-12</t>
  </si>
  <si>
    <t>JOB0188</t>
  </si>
  <si>
    <t>JOB0008</t>
  </si>
  <si>
    <t>JOB0099</t>
  </si>
  <si>
    <t>JOB0132</t>
  </si>
  <si>
    <t>JOB0270</t>
  </si>
  <si>
    <t>2026-05-25</t>
  </si>
  <si>
    <t>JOB0439</t>
  </si>
  <si>
    <t>JOB0012</t>
  </si>
  <si>
    <t>JOB0422</t>
  </si>
  <si>
    <t>JOB0291</t>
  </si>
  <si>
    <t>JOB0339</t>
  </si>
  <si>
    <t>2026-03-09</t>
  </si>
  <si>
    <t>JOB0157</t>
  </si>
  <si>
    <t>JOB0441</t>
  </si>
  <si>
    <t>JOB0016</t>
  </si>
  <si>
    <t>JOB0128</t>
  </si>
  <si>
    <t>JOB0310</t>
  </si>
  <si>
    <t>JOB0100</t>
  </si>
  <si>
    <t>JOB0347</t>
  </si>
  <si>
    <t>2026-05-12</t>
  </si>
  <si>
    <t>JOB0391</t>
  </si>
  <si>
    <t>JOB0170</t>
  </si>
  <si>
    <t>JOB0152</t>
  </si>
  <si>
    <t>JOB0462</t>
  </si>
  <si>
    <t>Job0258</t>
  </si>
  <si>
    <t>1000000</t>
  </si>
  <si>
    <t>On-Site</t>
  </si>
  <si>
    <t>Sql</t>
  </si>
  <si>
    <t>04-06-2026</t>
  </si>
  <si>
    <t>Job0182</t>
  </si>
  <si>
    <t>915000</t>
  </si>
  <si>
    <t>16-06-2026</t>
  </si>
  <si>
    <t>Job0065</t>
  </si>
  <si>
    <t>Ml Engineer</t>
  </si>
  <si>
    <t>1625000</t>
  </si>
  <si>
    <t>Tensorflow</t>
  </si>
  <si>
    <t>24-01-2026</t>
  </si>
  <si>
    <t>Job0434</t>
  </si>
  <si>
    <t>Icici Bank</t>
  </si>
  <si>
    <t>1095000</t>
  </si>
  <si>
    <t>07-02-2026</t>
  </si>
  <si>
    <t>Job0032</t>
  </si>
  <si>
    <t>210000</t>
  </si>
  <si>
    <t>19-08-2026</t>
  </si>
  <si>
    <t>Job0305</t>
  </si>
  <si>
    <t>Bi Analyst</t>
  </si>
  <si>
    <t>Wns Global Services</t>
  </si>
  <si>
    <t>570000</t>
  </si>
  <si>
    <t>22-08-2026</t>
  </si>
  <si>
    <t>Job0212</t>
  </si>
  <si>
    <t>720000</t>
  </si>
  <si>
    <t>06-06-2026</t>
  </si>
  <si>
    <t>Job0062</t>
  </si>
  <si>
    <t>Byju'S</t>
  </si>
  <si>
    <t>755000</t>
  </si>
  <si>
    <t>Nlp</t>
  </si>
  <si>
    <t>16-01-2026</t>
  </si>
  <si>
    <t>Job0073</t>
  </si>
  <si>
    <t>1845000</t>
  </si>
  <si>
    <t>Power Bi</t>
  </si>
  <si>
    <t>09-05-2026</t>
  </si>
  <si>
    <t>Job0369</t>
  </si>
  <si>
    <t>2935000</t>
  </si>
  <si>
    <t>17-02-2026</t>
  </si>
  <si>
    <t>Job0210</t>
  </si>
  <si>
    <t>2105000</t>
  </si>
  <si>
    <t>11-06-2026</t>
  </si>
  <si>
    <t>Job0074</t>
  </si>
  <si>
    <t>Sap Labs India</t>
  </si>
  <si>
    <t>1120000</t>
  </si>
  <si>
    <t>28-03-2026</t>
  </si>
  <si>
    <t>Job0038</t>
  </si>
  <si>
    <t>750000</t>
  </si>
  <si>
    <t>05-03-2026</t>
  </si>
  <si>
    <t>Job0115</t>
  </si>
  <si>
    <t>515000</t>
  </si>
  <si>
    <t>05-02-2026</t>
  </si>
  <si>
    <t>Job0201</t>
  </si>
  <si>
    <t>1400000</t>
  </si>
  <si>
    <t>Job0477</t>
  </si>
  <si>
    <t>Pwc India</t>
  </si>
  <si>
    <t>3505000</t>
  </si>
  <si>
    <t>07-04-2026</t>
  </si>
  <si>
    <t>Job0352</t>
  </si>
  <si>
    <t>1445000</t>
  </si>
  <si>
    <t>25-07-2026</t>
  </si>
  <si>
    <t>Job0323</t>
  </si>
  <si>
    <t>Hdfc Bank</t>
  </si>
  <si>
    <t>435000</t>
  </si>
  <si>
    <t>Aws</t>
  </si>
  <si>
    <t>30-05-2026</t>
  </si>
  <si>
    <t>Job0171</t>
  </si>
  <si>
    <t>1415000</t>
  </si>
  <si>
    <t>15-03-2026</t>
  </si>
  <si>
    <t>Job0216</t>
  </si>
  <si>
    <t>1490000</t>
  </si>
  <si>
    <t>16-03-2026</t>
  </si>
  <si>
    <t>Job0090</t>
  </si>
  <si>
    <t>31-05-2026</t>
  </si>
  <si>
    <t>Job0158</t>
  </si>
  <si>
    <t>Makemytrip</t>
  </si>
  <si>
    <t>1725000</t>
  </si>
  <si>
    <t>07-06-2026</t>
  </si>
  <si>
    <t>Job0366</t>
  </si>
  <si>
    <t>1005000</t>
  </si>
  <si>
    <t>Job0191</t>
  </si>
  <si>
    <t>1065000</t>
  </si>
  <si>
    <t>24-08-2026</t>
  </si>
  <si>
    <t>Job0121</t>
  </si>
  <si>
    <t>730000</t>
  </si>
  <si>
    <t>Job0401</t>
  </si>
  <si>
    <t>3415000</t>
  </si>
  <si>
    <t>29-06-2026</t>
  </si>
  <si>
    <t>Job0363</t>
  </si>
  <si>
    <t>1925000</t>
  </si>
  <si>
    <t>18-01-2026</t>
  </si>
  <si>
    <t>Job0192</t>
  </si>
  <si>
    <t>2980000</t>
  </si>
  <si>
    <t>Ai</t>
  </si>
  <si>
    <t>18-06-2026</t>
  </si>
  <si>
    <t>Job0138</t>
  </si>
  <si>
    <t>Hsbc India</t>
  </si>
  <si>
    <t>2790000</t>
  </si>
  <si>
    <t>30-03-2026</t>
  </si>
  <si>
    <t>Job0190</t>
  </si>
  <si>
    <t>1485000</t>
  </si>
  <si>
    <t>14-04-2026</t>
  </si>
  <si>
    <t>Job0136</t>
  </si>
  <si>
    <t>1690000</t>
  </si>
  <si>
    <t>03-04-2026</t>
  </si>
  <si>
    <t>Job0231</t>
  </si>
  <si>
    <t>460000</t>
  </si>
  <si>
    <t>05-06-2026</t>
  </si>
  <si>
    <t>Job0283</t>
  </si>
  <si>
    <t>Tcs</t>
  </si>
  <si>
    <t>415000</t>
  </si>
  <si>
    <t>30-04-2026</t>
  </si>
  <si>
    <t>Job0406</t>
  </si>
  <si>
    <t>1685000</t>
  </si>
  <si>
    <t>29-07-2026</t>
  </si>
  <si>
    <t>Job0297</t>
  </si>
  <si>
    <t>Ai/Ml Analyst</t>
  </si>
  <si>
    <t>1510000</t>
  </si>
  <si>
    <t>19-06-2026</t>
  </si>
  <si>
    <t>Job0164</t>
  </si>
  <si>
    <t>1990000</t>
  </si>
  <si>
    <t>08-03-2026</t>
  </si>
  <si>
    <t>Job0096</t>
  </si>
  <si>
    <t>Ibm India</t>
  </si>
  <si>
    <t>390000</t>
  </si>
  <si>
    <t>24-05-2026</t>
  </si>
  <si>
    <t>Job0328</t>
  </si>
  <si>
    <t>690000</t>
  </si>
  <si>
    <t>02-01-2026</t>
  </si>
  <si>
    <t>Job0222</t>
  </si>
  <si>
    <t>1585000</t>
  </si>
  <si>
    <t>11-07-2026</t>
  </si>
  <si>
    <t>Job0177</t>
  </si>
  <si>
    <t>1360000</t>
  </si>
  <si>
    <t>23-06-2026</t>
  </si>
  <si>
    <t>Job0214</t>
  </si>
  <si>
    <t>430000</t>
  </si>
  <si>
    <t>12-06-2026</t>
  </si>
  <si>
    <t>Job0076</t>
  </si>
  <si>
    <t>2175000</t>
  </si>
  <si>
    <t>23-07-2026</t>
  </si>
  <si>
    <t>Job0161</t>
  </si>
  <si>
    <t>760000</t>
  </si>
  <si>
    <t>12-08-2026</t>
  </si>
  <si>
    <t>Job0271</t>
  </si>
  <si>
    <t>650000</t>
  </si>
  <si>
    <t>18-04-2026</t>
  </si>
  <si>
    <t>Job0084</t>
  </si>
  <si>
    <t>Phonepe</t>
  </si>
  <si>
    <t>2660000</t>
  </si>
  <si>
    <t>13-06-2026</t>
  </si>
  <si>
    <t>Job0390</t>
  </si>
  <si>
    <t>Ai Engineer</t>
  </si>
  <si>
    <t>3110000</t>
  </si>
  <si>
    <t>Job0044</t>
  </si>
  <si>
    <t>Zs Associates</t>
  </si>
  <si>
    <t>1405000</t>
  </si>
  <si>
    <t>01-06-2026</t>
  </si>
  <si>
    <t>Job0159</t>
  </si>
  <si>
    <t>17-07-2026</t>
  </si>
  <si>
    <t>Job0500</t>
  </si>
  <si>
    <t>660000</t>
  </si>
  <si>
    <t>14-07-2026</t>
  </si>
  <si>
    <t>Job0267</t>
  </si>
  <si>
    <t>4190000</t>
  </si>
  <si>
    <t>22-02-2026</t>
  </si>
  <si>
    <t>Job0089</t>
  </si>
  <si>
    <t>1045000</t>
  </si>
  <si>
    <t>26-03-2026</t>
  </si>
  <si>
    <t>Job0174</t>
  </si>
  <si>
    <t>Job0345</t>
  </si>
  <si>
    <t>1175000</t>
  </si>
  <si>
    <t>Job0368</t>
  </si>
  <si>
    <t>1265000</t>
  </si>
  <si>
    <t>18-07-2026</t>
  </si>
  <si>
    <t>Job0123</t>
  </si>
  <si>
    <t>2825000</t>
  </si>
  <si>
    <t>03-08-2026</t>
  </si>
  <si>
    <t>Job0454</t>
  </si>
  <si>
    <t>1035000</t>
  </si>
  <si>
    <t>02-02-2026</t>
  </si>
  <si>
    <t>Job0333</t>
  </si>
  <si>
    <t>1760000</t>
  </si>
  <si>
    <t>15-06-2026</t>
  </si>
  <si>
    <t>Job0063</t>
  </si>
  <si>
    <t>4270000</t>
  </si>
  <si>
    <t>03-06-2026</t>
  </si>
  <si>
    <t>Job0001</t>
  </si>
  <si>
    <t>Hcltech</t>
  </si>
  <si>
    <t>635000</t>
  </si>
  <si>
    <t>09-01-2026</t>
  </si>
  <si>
    <t>Job0086</t>
  </si>
  <si>
    <t>290000</t>
  </si>
  <si>
    <t>21-06-2026</t>
  </si>
  <si>
    <t>Job0167</t>
  </si>
  <si>
    <t>310000</t>
  </si>
  <si>
    <t>20-06-2026</t>
  </si>
  <si>
    <t>Job0431</t>
  </si>
  <si>
    <t>4355000</t>
  </si>
  <si>
    <t>15-02-2026</t>
  </si>
  <si>
    <t>Job0154</t>
  </si>
  <si>
    <t>1180000</t>
  </si>
  <si>
    <t>13-05-2026</t>
  </si>
  <si>
    <t>Job0466</t>
  </si>
  <si>
    <t>25-06-2026</t>
  </si>
  <si>
    <t>Job0261</t>
  </si>
  <si>
    <t>925000</t>
  </si>
  <si>
    <t>07-07-2026</t>
  </si>
  <si>
    <t>Job0378</t>
  </si>
  <si>
    <t>1125000</t>
  </si>
  <si>
    <t>08-06-2026</t>
  </si>
  <si>
    <t>Job0365</t>
  </si>
  <si>
    <t>1155000</t>
  </si>
  <si>
    <t>08-07-2026</t>
  </si>
  <si>
    <t>Job0329</t>
  </si>
  <si>
    <t>2005000</t>
  </si>
  <si>
    <t>Job0079</t>
  </si>
  <si>
    <t>405000</t>
  </si>
  <si>
    <t>27-05-2026</t>
  </si>
  <si>
    <t>Job0421</t>
  </si>
  <si>
    <t>23-03-2026</t>
  </si>
  <si>
    <t>Job0483</t>
  </si>
  <si>
    <t>525000</t>
  </si>
  <si>
    <t>Job0014</t>
  </si>
  <si>
    <t>1145000</t>
  </si>
  <si>
    <t>Job0289</t>
  </si>
  <si>
    <t>1025000</t>
  </si>
  <si>
    <t>17-03-2026</t>
  </si>
  <si>
    <t>Job0256</t>
  </si>
  <si>
    <t>2635000</t>
  </si>
  <si>
    <t>15-01-2026</t>
  </si>
  <si>
    <t>Job0325</t>
  </si>
  <si>
    <t>2240000</t>
  </si>
  <si>
    <t>26-02-2026</t>
  </si>
  <si>
    <t>Job0071</t>
  </si>
  <si>
    <t>1410000</t>
  </si>
  <si>
    <t>10-08-2026</t>
  </si>
  <si>
    <t>Job0308</t>
  </si>
  <si>
    <t>Kpmg India</t>
  </si>
  <si>
    <t>790000</t>
  </si>
  <si>
    <t>28-08-2026</t>
  </si>
  <si>
    <t>Job0049</t>
  </si>
  <si>
    <t>615000</t>
  </si>
  <si>
    <t>20-07-2026</t>
  </si>
  <si>
    <t>Job0146</t>
  </si>
  <si>
    <t>990000</t>
  </si>
  <si>
    <t>10-05-2026</t>
  </si>
  <si>
    <t>Job0119</t>
  </si>
  <si>
    <t>640000</t>
  </si>
  <si>
    <t>11-03-2026</t>
  </si>
  <si>
    <t>Job0396</t>
  </si>
  <si>
    <t>630000</t>
  </si>
  <si>
    <t>15-05-2026</t>
  </si>
  <si>
    <t>Job0221</t>
  </si>
  <si>
    <t>410000</t>
  </si>
  <si>
    <t>Job0402</t>
  </si>
  <si>
    <t>830000</t>
  </si>
  <si>
    <t>06-04-2026</t>
  </si>
  <si>
    <t>Job0407</t>
  </si>
  <si>
    <t>2705000</t>
  </si>
  <si>
    <t>Job0338</t>
  </si>
  <si>
    <t>490000</t>
  </si>
  <si>
    <t>Job0197</t>
  </si>
  <si>
    <t>905000</t>
  </si>
  <si>
    <t>25-04-2026</t>
  </si>
  <si>
    <t>Job0357</t>
  </si>
  <si>
    <t>1945000</t>
  </si>
  <si>
    <t>30-07-2026</t>
  </si>
  <si>
    <t>Job0468</t>
  </si>
  <si>
    <t>665000</t>
  </si>
  <si>
    <t>Job0273</t>
  </si>
  <si>
    <t>23-08-2026</t>
  </si>
  <si>
    <t>Job0039</t>
  </si>
  <si>
    <t>380000</t>
  </si>
  <si>
    <t>17-08-2026</t>
  </si>
  <si>
    <t>Job0145</t>
  </si>
  <si>
    <t>Job0081</t>
  </si>
  <si>
    <t>1020000</t>
  </si>
  <si>
    <t>20-08-2026</t>
  </si>
  <si>
    <t>Job0478</t>
  </si>
  <si>
    <t>Job0341</t>
  </si>
  <si>
    <t>03-01-2026</t>
  </si>
  <si>
    <t>Job0217</t>
  </si>
  <si>
    <t>Policybazaar</t>
  </si>
  <si>
    <t>2435000</t>
  </si>
  <si>
    <t>Job0491</t>
  </si>
  <si>
    <t>1355000</t>
  </si>
  <si>
    <t>05-01-2026</t>
  </si>
  <si>
    <t>Job0254</t>
  </si>
  <si>
    <t>885000</t>
  </si>
  <si>
    <t>08-04-2026</t>
  </si>
  <si>
    <t>Job0153</t>
  </si>
  <si>
    <t>2995000</t>
  </si>
  <si>
    <t>18-02-2026</t>
  </si>
  <si>
    <t>Job0169</t>
  </si>
  <si>
    <t>2035000</t>
  </si>
  <si>
    <t>Job0194</t>
  </si>
  <si>
    <t>1905000</t>
  </si>
  <si>
    <t>01-03-2026</t>
  </si>
  <si>
    <t>Job0040</t>
  </si>
  <si>
    <t>2075000</t>
  </si>
  <si>
    <t>05-05-2026</t>
  </si>
  <si>
    <t>Job0489</t>
  </si>
  <si>
    <t>27-07-2026</t>
  </si>
  <si>
    <t>Job0007</t>
  </si>
  <si>
    <t>1200000</t>
  </si>
  <si>
    <t>15-08-2026</t>
  </si>
  <si>
    <t>Job0133</t>
  </si>
  <si>
    <t>30-01-2026</t>
  </si>
  <si>
    <t>Job0447</t>
  </si>
  <si>
    <t>960000</t>
  </si>
  <si>
    <t>02-07-2026</t>
  </si>
  <si>
    <t>Job0116</t>
  </si>
  <si>
    <t>580000</t>
  </si>
  <si>
    <t>11-02-2026</t>
  </si>
  <si>
    <t>Job0444</t>
  </si>
  <si>
    <t>4045000</t>
  </si>
  <si>
    <t>01-07-2026</t>
  </si>
  <si>
    <t>Job0080</t>
  </si>
  <si>
    <t>08-05-2026</t>
  </si>
  <si>
    <t>Job0018</t>
  </si>
  <si>
    <t>450000</t>
  </si>
  <si>
    <t>15-04-2026</t>
  </si>
  <si>
    <t>Job0134</t>
  </si>
  <si>
    <t>2720000</t>
  </si>
  <si>
    <t>21-02-2026</t>
  </si>
  <si>
    <t>Job0303</t>
  </si>
  <si>
    <t>1225000</t>
  </si>
  <si>
    <t>Job0496</t>
  </si>
  <si>
    <t>1010000</t>
  </si>
  <si>
    <t>09-07-2026</t>
  </si>
  <si>
    <t>Job0427</t>
  </si>
  <si>
    <t>Job0183</t>
  </si>
  <si>
    <t>1315000</t>
  </si>
  <si>
    <t>Job0285</t>
  </si>
  <si>
    <t>565000</t>
  </si>
  <si>
    <t>Job0337</t>
  </si>
  <si>
    <t>04-04-2026</t>
  </si>
  <si>
    <t>Job0015</t>
  </si>
  <si>
    <t>735000</t>
  </si>
  <si>
    <t>26-07-2026</t>
  </si>
  <si>
    <t>Job0397</t>
  </si>
  <si>
    <t>2420000</t>
  </si>
  <si>
    <t>Job0450</t>
  </si>
  <si>
    <t>445000</t>
  </si>
  <si>
    <t>19-01-2026</t>
  </si>
  <si>
    <t>Job0395</t>
  </si>
  <si>
    <t>4250000</t>
  </si>
  <si>
    <t>Job0279</t>
  </si>
  <si>
    <t>13-08-2026</t>
  </si>
  <si>
    <t>Job0265</t>
  </si>
  <si>
    <t>Bank Of America India</t>
  </si>
  <si>
    <t>1420000</t>
  </si>
  <si>
    <t>Job0372</t>
  </si>
  <si>
    <t>22-03-2026</t>
  </si>
  <si>
    <t>Job0004</t>
  </si>
  <si>
    <t>28-05-2026</t>
  </si>
  <si>
    <t>Job0043</t>
  </si>
  <si>
    <t>1555000</t>
  </si>
  <si>
    <t>Job0204</t>
  </si>
  <si>
    <t>880000</t>
  </si>
  <si>
    <t>Job0024</t>
  </si>
  <si>
    <t>3640000</t>
  </si>
  <si>
    <t>29-08-2026</t>
  </si>
  <si>
    <t>Job0160</t>
  </si>
  <si>
    <t>465000</t>
  </si>
  <si>
    <t>Job0356</t>
  </si>
  <si>
    <t>1380000</t>
  </si>
  <si>
    <t>Job0452</t>
  </si>
  <si>
    <t>1110000</t>
  </si>
  <si>
    <t>Job0370</t>
  </si>
  <si>
    <t>1270000</t>
  </si>
  <si>
    <t>07-08-2026</t>
  </si>
  <si>
    <t>Job0322</t>
  </si>
  <si>
    <t>1995000</t>
  </si>
  <si>
    <t>19-02-2026</t>
  </si>
  <si>
    <t>Job0203</t>
  </si>
  <si>
    <t>255000</t>
  </si>
  <si>
    <t>01-08-2026</t>
  </si>
  <si>
    <t>Job0435</t>
  </si>
  <si>
    <t>Job0019</t>
  </si>
  <si>
    <t>2085000</t>
  </si>
  <si>
    <t>28-06-2026</t>
  </si>
  <si>
    <t>Job0050</t>
  </si>
  <si>
    <t>1795000</t>
  </si>
  <si>
    <t>Job0006</t>
  </si>
  <si>
    <t>820000</t>
  </si>
  <si>
    <t>04-08-2026</t>
  </si>
  <si>
    <t>Job0243</t>
  </si>
  <si>
    <t>205000</t>
  </si>
  <si>
    <t>06-08-2026</t>
  </si>
  <si>
    <t>Job0360</t>
  </si>
  <si>
    <t>30-06-2026</t>
  </si>
  <si>
    <t>Job0426</t>
  </si>
  <si>
    <t>26-04-2026</t>
  </si>
  <si>
    <t>Job0253</t>
  </si>
  <si>
    <t>2060000</t>
  </si>
  <si>
    <t>13-03-2026</t>
  </si>
  <si>
    <t>Job0166</t>
  </si>
  <si>
    <t>1825000</t>
  </si>
  <si>
    <t>Job0162</t>
  </si>
  <si>
    <t>1370000</t>
  </si>
  <si>
    <t>Job0113</t>
  </si>
  <si>
    <t>500000</t>
  </si>
  <si>
    <t>Job0309</t>
  </si>
  <si>
    <t>2045000</t>
  </si>
  <si>
    <t>Job0131</t>
  </si>
  <si>
    <t>Job0485</t>
  </si>
  <si>
    <t>1100000</t>
  </si>
  <si>
    <t>10-04-2026</t>
  </si>
  <si>
    <t>Job0055</t>
  </si>
  <si>
    <t>Job0029</t>
  </si>
  <si>
    <t>940000</t>
  </si>
  <si>
    <t>Job0314</t>
  </si>
  <si>
    <t>2170000</t>
  </si>
  <si>
    <t>12-01-2026</t>
  </si>
  <si>
    <t>Job0259</t>
  </si>
  <si>
    <t>06-01-2026</t>
  </si>
  <si>
    <t>Job0251</t>
  </si>
  <si>
    <t>1040000</t>
  </si>
  <si>
    <t>01-02-2026</t>
  </si>
  <si>
    <t>Job0021</t>
  </si>
  <si>
    <t>02-06-2026</t>
  </si>
  <si>
    <t>Job0232</t>
  </si>
  <si>
    <t>Job0034</t>
  </si>
  <si>
    <t>1305000</t>
  </si>
  <si>
    <t>Job0307</t>
  </si>
  <si>
    <t>470000</t>
  </si>
  <si>
    <t>Job0425</t>
  </si>
  <si>
    <t>425000</t>
  </si>
  <si>
    <t>06-05-2026</t>
  </si>
  <si>
    <t>Job0135</t>
  </si>
  <si>
    <t>1205000</t>
  </si>
  <si>
    <t>Job0184</t>
  </si>
  <si>
    <t>Jpmorgan Chase India</t>
  </si>
  <si>
    <t>1055000</t>
  </si>
  <si>
    <t>20-02-2026</t>
  </si>
  <si>
    <t>Job0296</t>
  </si>
  <si>
    <t>600000</t>
  </si>
  <si>
    <t>Job0301</t>
  </si>
  <si>
    <t>1395000</t>
  </si>
  <si>
    <t>07-05-2026</t>
  </si>
  <si>
    <t>Job0114</t>
  </si>
  <si>
    <t>Job0451</t>
  </si>
  <si>
    <t>1060000</t>
  </si>
  <si>
    <t>Job0193</t>
  </si>
  <si>
    <t>785000</t>
  </si>
  <si>
    <t>26-05-2026</t>
  </si>
  <si>
    <t>Job0442</t>
  </si>
  <si>
    <t>Job0117</t>
  </si>
  <si>
    <t>535000</t>
  </si>
  <si>
    <t>17-05-2026</t>
  </si>
  <si>
    <t>Job0480</t>
  </si>
  <si>
    <t>865000</t>
  </si>
  <si>
    <t>Job0445</t>
  </si>
  <si>
    <t>575000</t>
  </si>
  <si>
    <t>14-02-2026</t>
  </si>
  <si>
    <t>Job0494</t>
  </si>
  <si>
    <t>09-08-2026</t>
  </si>
  <si>
    <t>Job0195</t>
  </si>
  <si>
    <t>4370000</t>
  </si>
  <si>
    <t>22-05-2026</t>
  </si>
  <si>
    <t>Job0120</t>
  </si>
  <si>
    <t>14-01-2026</t>
  </si>
  <si>
    <t>Job0453</t>
  </si>
  <si>
    <t>16-02-2026</t>
  </si>
  <si>
    <t>Job0383</t>
  </si>
  <si>
    <t>2270000</t>
  </si>
  <si>
    <t>Job0139</t>
  </si>
  <si>
    <t>09-02-2026</t>
  </si>
  <si>
    <t>Job0023</t>
  </si>
  <si>
    <t>1745000</t>
  </si>
  <si>
    <t>05-04-2026</t>
  </si>
  <si>
    <t>Job0316</t>
  </si>
  <si>
    <t>29-03-2026</t>
  </si>
  <si>
    <t>Job0262</t>
  </si>
  <si>
    <t>Latentview Analytics</t>
  </si>
  <si>
    <t>315000</t>
  </si>
  <si>
    <t>Job0150</t>
  </si>
  <si>
    <t>620000</t>
  </si>
  <si>
    <t>08-02-2026</t>
  </si>
  <si>
    <t>Job0175</t>
  </si>
  <si>
    <t>540000</t>
  </si>
  <si>
    <t>23-04-2026</t>
  </si>
  <si>
    <t>Job0400</t>
  </si>
  <si>
    <t>680000</t>
  </si>
  <si>
    <t>Job0148</t>
  </si>
  <si>
    <t>1160000</t>
  </si>
  <si>
    <t>Job0387</t>
  </si>
  <si>
    <t>Job0236</t>
  </si>
  <si>
    <t>Job0025</t>
  </si>
  <si>
    <t>685000</t>
  </si>
  <si>
    <t>06-03-2026</t>
  </si>
  <si>
    <t>Job0463</t>
  </si>
  <si>
    <t>Job0179</t>
  </si>
  <si>
    <t>23-05-2026</t>
  </si>
  <si>
    <t>Job0299</t>
  </si>
  <si>
    <t>1425000</t>
  </si>
  <si>
    <t>31-01-2026</t>
  </si>
  <si>
    <t>Job0240</t>
  </si>
  <si>
    <t>Job0105</t>
  </si>
  <si>
    <t>Job0185</t>
  </si>
  <si>
    <t>4015000</t>
  </si>
  <si>
    <t>Job0326</t>
  </si>
  <si>
    <t>385000</t>
  </si>
  <si>
    <t>Job0472</t>
  </si>
  <si>
    <t>845000</t>
  </si>
  <si>
    <t>02-05-2026</t>
  </si>
  <si>
    <t>Job0257</t>
  </si>
  <si>
    <t>605000</t>
  </si>
  <si>
    <t>31-08-2026</t>
  </si>
  <si>
    <t>Job0469</t>
  </si>
  <si>
    <t>480000</t>
  </si>
  <si>
    <t>Job0413</t>
  </si>
  <si>
    <t>955000</t>
  </si>
  <si>
    <t>20-03-2026</t>
  </si>
  <si>
    <t>Job0349</t>
  </si>
  <si>
    <t>Job0125</t>
  </si>
  <si>
    <t>780000</t>
  </si>
  <si>
    <t>Job0324</t>
  </si>
  <si>
    <t>1850000</t>
  </si>
  <si>
    <t>21-05-2026</t>
  </si>
  <si>
    <t>Job0022</t>
  </si>
  <si>
    <t>Ey India</t>
  </si>
  <si>
    <t>3240000</t>
  </si>
  <si>
    <t>28-04-2026</t>
  </si>
  <si>
    <t>Job0312</t>
  </si>
  <si>
    <t>Job0234</t>
  </si>
  <si>
    <t>1015000</t>
  </si>
  <si>
    <t>Job0122</t>
  </si>
  <si>
    <t>02-08-2026</t>
  </si>
  <si>
    <t>Job0433</t>
  </si>
  <si>
    <t>2025000</t>
  </si>
  <si>
    <t>Job0381</t>
  </si>
  <si>
    <t>2500000</t>
  </si>
  <si>
    <t>16-04-2026</t>
  </si>
  <si>
    <t>Job0052</t>
  </si>
  <si>
    <t>1680000</t>
  </si>
  <si>
    <t>Job0416</t>
  </si>
  <si>
    <t>360000</t>
  </si>
  <si>
    <t>Job0180</t>
  </si>
  <si>
    <t>655000</t>
  </si>
  <si>
    <t>10-03-2026</t>
  </si>
  <si>
    <t>Job0362</t>
  </si>
  <si>
    <t>1605000</t>
  </si>
  <si>
    <t>Job0107</t>
  </si>
  <si>
    <t>1545000</t>
  </si>
  <si>
    <t>31-03-2026</t>
  </si>
  <si>
    <t>Job0388</t>
  </si>
  <si>
    <t>1220000</t>
  </si>
  <si>
    <t>Job0042</t>
  </si>
  <si>
    <t>Job0207</t>
  </si>
  <si>
    <t>805000</t>
  </si>
  <si>
    <t>07-01-2026</t>
  </si>
  <si>
    <t>Job0313</t>
  </si>
  <si>
    <t>10-07-2026</t>
  </si>
  <si>
    <t>Job0386</t>
  </si>
  <si>
    <t>Job0354</t>
  </si>
  <si>
    <t>1620000</t>
  </si>
  <si>
    <t>Job0199</t>
  </si>
  <si>
    <t>12-03-2026</t>
  </si>
  <si>
    <t>Job0072</t>
  </si>
  <si>
    <t>Job0277</t>
  </si>
  <si>
    <t>26-01-2026</t>
  </si>
  <si>
    <t>Job0041</t>
  </si>
  <si>
    <t>670000</t>
  </si>
  <si>
    <t>Job0385</t>
  </si>
  <si>
    <t>Job0066</t>
  </si>
  <si>
    <t>10-01-2026</t>
  </si>
  <si>
    <t>Job0476</t>
  </si>
  <si>
    <t>725000</t>
  </si>
  <si>
    <t>Job0492</t>
  </si>
  <si>
    <t>22-07-2026</t>
  </si>
  <si>
    <t>Job0268</t>
  </si>
  <si>
    <t>2370000</t>
  </si>
  <si>
    <t>01-01-2026</t>
  </si>
  <si>
    <t>Job0263</t>
  </si>
  <si>
    <t>770000</t>
  </si>
  <si>
    <t>Job0342</t>
  </si>
  <si>
    <t>Job0404</t>
  </si>
  <si>
    <t>Job0321</t>
  </si>
  <si>
    <t>1495000</t>
  </si>
  <si>
    <t>Job0168</t>
  </si>
  <si>
    <t>585000</t>
  </si>
  <si>
    <t>Job0467</t>
  </si>
  <si>
    <t>24-07-2026</t>
  </si>
  <si>
    <t>Job0255</t>
  </si>
  <si>
    <t>19-07-2026</t>
  </si>
  <si>
    <t>Job0274</t>
  </si>
  <si>
    <t>2750000</t>
  </si>
  <si>
    <t>Job0229</t>
  </si>
  <si>
    <t>10-06-2026</t>
  </si>
  <si>
    <t>Job0110</t>
  </si>
  <si>
    <t>1540000</t>
  </si>
  <si>
    <t>Job0202</t>
  </si>
  <si>
    <t>285000</t>
  </si>
  <si>
    <t>Job0061</t>
  </si>
  <si>
    <t>1820000</t>
  </si>
  <si>
    <t>Job0290</t>
  </si>
  <si>
    <t>740000</t>
  </si>
  <si>
    <t>18-03-2026</t>
  </si>
  <si>
    <t>Job0242</t>
  </si>
  <si>
    <t>Job0335</t>
  </si>
  <si>
    <t>2015000</t>
  </si>
  <si>
    <t>Job0103</t>
  </si>
  <si>
    <t>25-03-2026</t>
  </si>
  <si>
    <t>Job0200</t>
  </si>
  <si>
    <t>27-03-2026</t>
  </si>
  <si>
    <t>Job0037</t>
  </si>
  <si>
    <t>Job0424</t>
  </si>
  <si>
    <t>2960000</t>
  </si>
  <si>
    <t>Job0344</t>
  </si>
  <si>
    <t>Job0436</t>
  </si>
  <si>
    <t>1900000</t>
  </si>
  <si>
    <t>Job0082</t>
  </si>
  <si>
    <t>610000</t>
  </si>
  <si>
    <t>Job0220</t>
  </si>
  <si>
    <t>970000</t>
  </si>
  <si>
    <t>Job0009</t>
  </si>
  <si>
    <t>420000</t>
  </si>
  <si>
    <t>Job0224</t>
  </si>
  <si>
    <t>1080000</t>
  </si>
  <si>
    <t>21-07-2026</t>
  </si>
  <si>
    <t>Job0228</t>
  </si>
  <si>
    <t>14-08-2026</t>
  </si>
  <si>
    <t>Job0458</t>
  </si>
  <si>
    <t>Job0172</t>
  </si>
  <si>
    <t>1450000</t>
  </si>
  <si>
    <t>24-06-2026</t>
  </si>
  <si>
    <t>Job0364</t>
  </si>
  <si>
    <t>1210000</t>
  </si>
  <si>
    <t>20-01-2026</t>
  </si>
  <si>
    <t>Job0213</t>
  </si>
  <si>
    <t>1645000</t>
  </si>
  <si>
    <t>Job0351</t>
  </si>
  <si>
    <t>3340000</t>
  </si>
  <si>
    <t>31-07-2026</t>
  </si>
  <si>
    <t>Job0334</t>
  </si>
  <si>
    <t>2010000</t>
  </si>
  <si>
    <t>Job0003</t>
  </si>
  <si>
    <t>Job0178</t>
  </si>
  <si>
    <t>400000</t>
  </si>
  <si>
    <t>13-07-2026</t>
  </si>
  <si>
    <t>Job0235</t>
  </si>
  <si>
    <t>3385000</t>
  </si>
  <si>
    <t>Job0394</t>
  </si>
  <si>
    <t>1700000</t>
  </si>
  <si>
    <t>Job0047</t>
  </si>
  <si>
    <t>645000</t>
  </si>
  <si>
    <t>16-07-2026</t>
  </si>
  <si>
    <t>Job0155</t>
  </si>
  <si>
    <t>1630000</t>
  </si>
  <si>
    <t>Job0488</t>
  </si>
  <si>
    <t>2090000</t>
  </si>
  <si>
    <t>27-04-2026</t>
  </si>
  <si>
    <t>Job0288</t>
  </si>
  <si>
    <t>900000</t>
  </si>
  <si>
    <t>Job0311</t>
  </si>
  <si>
    <t>1600000</t>
  </si>
  <si>
    <t>Job0118</t>
  </si>
  <si>
    <t>495000</t>
  </si>
  <si>
    <t>Job0163</t>
  </si>
  <si>
    <t>Job0206</t>
  </si>
  <si>
    <t>965000</t>
  </si>
  <si>
    <t>28-01-2026</t>
  </si>
  <si>
    <t>Job0218</t>
  </si>
  <si>
    <t>Job0446</t>
  </si>
  <si>
    <t>1050000</t>
  </si>
  <si>
    <t>Job0057</t>
  </si>
  <si>
    <t>815000</t>
  </si>
  <si>
    <t>30-08-2026</t>
  </si>
  <si>
    <t>Job0130</t>
  </si>
  <si>
    <t>Job0010</t>
  </si>
  <si>
    <t>1570000</t>
  </si>
  <si>
    <t>Job0389</t>
  </si>
  <si>
    <t>775000</t>
  </si>
  <si>
    <t>21-03-2026</t>
  </si>
  <si>
    <t>Job0140</t>
  </si>
  <si>
    <t>1735000</t>
  </si>
  <si>
    <t>Job0060</t>
  </si>
  <si>
    <t>1365000</t>
  </si>
  <si>
    <t>21-01-2026</t>
  </si>
  <si>
    <t>Job0246</t>
  </si>
  <si>
    <t>675000</t>
  </si>
  <si>
    <t>Job0141</t>
  </si>
  <si>
    <t>3145000</t>
  </si>
  <si>
    <t>09-06-2026</t>
  </si>
  <si>
    <t>Job0346</t>
  </si>
  <si>
    <t>17-04-2026</t>
  </si>
  <si>
    <t>Job0332</t>
  </si>
  <si>
    <t>Job0112</t>
  </si>
  <si>
    <t>Job0028</t>
  </si>
  <si>
    <t>Job0429</t>
  </si>
  <si>
    <t>Job0272</t>
  </si>
  <si>
    <t>Job0233</t>
  </si>
  <si>
    <t>930000</t>
  </si>
  <si>
    <t>Job0137</t>
  </si>
  <si>
    <t>975000</t>
  </si>
  <si>
    <t>17-01-2026</t>
  </si>
  <si>
    <t>Job0371</t>
  </si>
  <si>
    <t>Job0474</t>
  </si>
  <si>
    <t>765000</t>
  </si>
  <si>
    <t>Job0292</t>
  </si>
  <si>
    <t>1430000</t>
  </si>
  <si>
    <t>15-07-2026</t>
  </si>
  <si>
    <t>Job0348</t>
  </si>
  <si>
    <t>Job0358</t>
  </si>
  <si>
    <t>1105000</t>
  </si>
  <si>
    <t>Job0361</t>
  </si>
  <si>
    <t>1525000</t>
  </si>
  <si>
    <t>Job0278</t>
  </si>
  <si>
    <t>1930000</t>
  </si>
  <si>
    <t>Job0091</t>
  </si>
  <si>
    <t>850000</t>
  </si>
  <si>
    <t>Job0127</t>
  </si>
  <si>
    <t>Job0059</t>
  </si>
  <si>
    <t>225000</t>
  </si>
  <si>
    <t>21-08-2026</t>
  </si>
  <si>
    <t>Job0432</t>
  </si>
  <si>
    <t>Job0244</t>
  </si>
  <si>
    <t>4450000</t>
  </si>
  <si>
    <t>Job0068</t>
  </si>
  <si>
    <t>2650000</t>
  </si>
  <si>
    <t>Job0035</t>
  </si>
  <si>
    <t>4020000</t>
  </si>
  <si>
    <t>22-06-2026</t>
  </si>
  <si>
    <t>Job0415</t>
  </si>
  <si>
    <t>Job0457</t>
  </si>
  <si>
    <t>4025000</t>
  </si>
  <si>
    <t>Job0027</t>
  </si>
  <si>
    <t>Job0384</t>
  </si>
  <si>
    <t>Job0350</t>
  </si>
  <si>
    <t>1800000</t>
  </si>
  <si>
    <t>Job0498</t>
  </si>
  <si>
    <t>1030000</t>
  </si>
  <si>
    <t>01-05-2026</t>
  </si>
  <si>
    <t>Job0250</t>
  </si>
  <si>
    <t>355000</t>
  </si>
  <si>
    <t>Job0430</t>
  </si>
  <si>
    <t>22-01-2026</t>
  </si>
  <si>
    <t>Job0376</t>
  </si>
  <si>
    <t>3260000</t>
  </si>
  <si>
    <t>Job0379</t>
  </si>
  <si>
    <t>02-04-2026</t>
  </si>
  <si>
    <t>Job0087</t>
  </si>
  <si>
    <t>24-04-2026</t>
  </si>
  <si>
    <t>Job0094</t>
  </si>
  <si>
    <t>3355000</t>
  </si>
  <si>
    <t>04-07-2026</t>
  </si>
  <si>
    <t>Job0093</t>
  </si>
  <si>
    <t>Job0300</t>
  </si>
  <si>
    <t>1240000</t>
  </si>
  <si>
    <t>11-01-2026</t>
  </si>
  <si>
    <t>Job0464</t>
  </si>
  <si>
    <t>Job0219</t>
  </si>
  <si>
    <t>2040000</t>
  </si>
  <si>
    <t>Job0013</t>
  </si>
  <si>
    <t>250000</t>
  </si>
  <si>
    <t>13-04-2026</t>
  </si>
  <si>
    <t>Job0490</t>
  </si>
  <si>
    <t>3185000</t>
  </si>
  <si>
    <t>Job0409</t>
  </si>
  <si>
    <t>3065000</t>
  </si>
  <si>
    <t>13-01-2026</t>
  </si>
  <si>
    <t>Job0129</t>
  </si>
  <si>
    <t>1890000</t>
  </si>
  <si>
    <t>Job0053</t>
  </si>
  <si>
    <t>1140000</t>
  </si>
  <si>
    <t>Job0304</t>
  </si>
  <si>
    <t>2145000</t>
  </si>
  <si>
    <t>Job0493</t>
  </si>
  <si>
    <t>Job0239</t>
  </si>
  <si>
    <t>04-03-2026</t>
  </si>
  <si>
    <t>Job0264</t>
  </si>
  <si>
    <t>Job0287</t>
  </si>
  <si>
    <t>910000</t>
  </si>
  <si>
    <t>05-08-2026</t>
  </si>
  <si>
    <t>Job0230</t>
  </si>
  <si>
    <t>2030000</t>
  </si>
  <si>
    <t>Job0017</t>
  </si>
  <si>
    <t>Job0067</t>
  </si>
  <si>
    <t>320000</t>
  </si>
  <si>
    <t>29-04-2026</t>
  </si>
  <si>
    <t>Job0143</t>
  </si>
  <si>
    <t>345000</t>
  </si>
  <si>
    <t>Job0102</t>
  </si>
  <si>
    <t>1245000</t>
  </si>
  <si>
    <t>29-01-2026</t>
  </si>
  <si>
    <t>Job0104</t>
  </si>
  <si>
    <t>Job0377</t>
  </si>
  <si>
    <t>1550000</t>
  </si>
  <si>
    <t>Job0423</t>
  </si>
  <si>
    <t>26-06-2026</t>
  </si>
  <si>
    <t>Job0465</t>
  </si>
  <si>
    <t>2110000</t>
  </si>
  <si>
    <t>Job0398</t>
  </si>
  <si>
    <t>560000</t>
  </si>
  <si>
    <t>Job0374</t>
  </si>
  <si>
    <t>Job0336</t>
  </si>
  <si>
    <t>02-03-2026</t>
  </si>
  <si>
    <t>Job0320</t>
  </si>
  <si>
    <t>950000</t>
  </si>
  <si>
    <t>Job0046</t>
  </si>
  <si>
    <t>Job0353</t>
  </si>
  <si>
    <t>Job0486</t>
  </si>
  <si>
    <t>1640000</t>
  </si>
  <si>
    <t>Job0149</t>
  </si>
  <si>
    <t>2905000</t>
  </si>
  <si>
    <t>Job0437</t>
  </si>
  <si>
    <t>Job0109</t>
  </si>
  <si>
    <t>295000</t>
  </si>
  <si>
    <t>01-04-2026</t>
  </si>
  <si>
    <t>Job0085</t>
  </si>
  <si>
    <t>Job0275</t>
  </si>
  <si>
    <t>3860000</t>
  </si>
  <si>
    <t>09-04-2026</t>
  </si>
  <si>
    <t>Job0330</t>
  </si>
  <si>
    <t>1860000</t>
  </si>
  <si>
    <t>Job0318</t>
  </si>
  <si>
    <t>800000</t>
  </si>
  <si>
    <t>Job0098</t>
  </si>
  <si>
    <t>3070000</t>
  </si>
  <si>
    <t>Job0064</t>
  </si>
  <si>
    <t>2325000</t>
  </si>
  <si>
    <t>Job0005</t>
  </si>
  <si>
    <t>455000</t>
  </si>
  <si>
    <t>23-02-2026</t>
  </si>
  <si>
    <t>Job0327</t>
  </si>
  <si>
    <t>Job0051</t>
  </si>
  <si>
    <t>280000</t>
  </si>
  <si>
    <t>Job0359</t>
  </si>
  <si>
    <t>440000</t>
  </si>
  <si>
    <t>Job0282</t>
  </si>
  <si>
    <t>Job0095</t>
  </si>
  <si>
    <t>Job0165</t>
  </si>
  <si>
    <t>1755000</t>
  </si>
  <si>
    <t>Job0215</t>
  </si>
  <si>
    <t>795000</t>
  </si>
  <si>
    <t>Job0471</t>
  </si>
  <si>
    <t>Job0443</t>
  </si>
  <si>
    <t>Job0056</t>
  </si>
  <si>
    <t>Job0189</t>
  </si>
  <si>
    <t>Job0176</t>
  </si>
  <si>
    <t>270000</t>
  </si>
  <si>
    <t>19-03-2026</t>
  </si>
  <si>
    <t>Job0069</t>
  </si>
  <si>
    <t>3920000</t>
  </si>
  <si>
    <t>Job0108</t>
  </si>
  <si>
    <t>Job0187</t>
  </si>
  <si>
    <t>Job0026</t>
  </si>
  <si>
    <t>Job0410</t>
  </si>
  <si>
    <t>530000</t>
  </si>
  <si>
    <t>Job0142</t>
  </si>
  <si>
    <t>Job0367</t>
  </si>
  <si>
    <t>Job0306</t>
  </si>
  <si>
    <t>Job0097</t>
  </si>
  <si>
    <t>Job0482</t>
  </si>
  <si>
    <t>920000</t>
  </si>
  <si>
    <t>06-07-2026</t>
  </si>
  <si>
    <t>Job0048</t>
  </si>
  <si>
    <t>4395000</t>
  </si>
  <si>
    <t>Job0033</t>
  </si>
  <si>
    <t>Job0205</t>
  </si>
  <si>
    <t>1650000</t>
  </si>
  <si>
    <t>Job0286</t>
  </si>
  <si>
    <t>Job0002</t>
  </si>
  <si>
    <t>Job0088</t>
  </si>
  <si>
    <t>14-06-2026</t>
  </si>
  <si>
    <t>Job0101</t>
  </si>
  <si>
    <t>10-02-2026</t>
  </si>
  <si>
    <t>Job0106</t>
  </si>
  <si>
    <t>2000000</t>
  </si>
  <si>
    <t>Job0495</t>
  </si>
  <si>
    <t>Job0293</t>
  </si>
  <si>
    <t>870000</t>
  </si>
  <si>
    <t>Job0331</t>
  </si>
  <si>
    <t>26-08-2026</t>
  </si>
  <si>
    <t>Job0382</t>
  </si>
  <si>
    <t>350000</t>
  </si>
  <si>
    <t>Job0405</t>
  </si>
  <si>
    <t>555000</t>
  </si>
  <si>
    <t>Job0481</t>
  </si>
  <si>
    <t>Job0294</t>
  </si>
  <si>
    <t>27-01-2026</t>
  </si>
  <si>
    <t>Job0151</t>
  </si>
  <si>
    <t>1730000</t>
  </si>
  <si>
    <t>Job0070</t>
  </si>
  <si>
    <t>3645000</t>
  </si>
  <si>
    <t>11-05-2026</t>
  </si>
  <si>
    <t>Job0238</t>
  </si>
  <si>
    <t>1325000</t>
  </si>
  <si>
    <t>08-08-2026</t>
  </si>
  <si>
    <t>Job0208</t>
  </si>
  <si>
    <t>14-05-2026</t>
  </si>
  <si>
    <t>Job0209</t>
  </si>
  <si>
    <t>545000</t>
  </si>
  <si>
    <t>Job0315</t>
  </si>
  <si>
    <t>240000</t>
  </si>
  <si>
    <t>27-06-2026</t>
  </si>
  <si>
    <t>Job0418</t>
  </si>
  <si>
    <t>Job0054</t>
  </si>
  <si>
    <t>1775000</t>
  </si>
  <si>
    <t>Job0484</t>
  </si>
  <si>
    <t>Job0223</t>
  </si>
  <si>
    <t>Job0011</t>
  </si>
  <si>
    <t>Job0473</t>
  </si>
  <si>
    <t>Job0455</t>
  </si>
  <si>
    <t>Job0414</t>
  </si>
  <si>
    <t>Job0058</t>
  </si>
  <si>
    <t>Job0252</t>
  </si>
  <si>
    <t>Job0475</t>
  </si>
  <si>
    <t>Job0470</t>
  </si>
  <si>
    <t>Job0147</t>
  </si>
  <si>
    <t>2625000</t>
  </si>
  <si>
    <t>Job0340</t>
  </si>
  <si>
    <t>3430000</t>
  </si>
  <si>
    <t>Job0266</t>
  </si>
  <si>
    <t>Job0497</t>
  </si>
  <si>
    <t>29-05-2026</t>
  </si>
  <si>
    <t>Job0499</t>
  </si>
  <si>
    <t>Job0031</t>
  </si>
  <si>
    <t>Job0111</t>
  </si>
  <si>
    <t>695000</t>
  </si>
  <si>
    <t>Job0030</t>
  </si>
  <si>
    <t>Job0247</t>
  </si>
  <si>
    <t>1915000</t>
  </si>
  <si>
    <t>Job0173</t>
  </si>
  <si>
    <t>Job0196</t>
  </si>
  <si>
    <t>3515000</t>
  </si>
  <si>
    <t>Job0144</t>
  </si>
  <si>
    <t>705000</t>
  </si>
  <si>
    <t>Job0319</t>
  </si>
  <si>
    <t>Job0281</t>
  </si>
  <si>
    <t>340000</t>
  </si>
  <si>
    <t>Job0456</t>
  </si>
  <si>
    <t>20-05-2026</t>
  </si>
  <si>
    <t>Job0343</t>
  </si>
  <si>
    <t>1170000</t>
  </si>
  <si>
    <t>Job0156</t>
  </si>
  <si>
    <t>Job0298</t>
  </si>
  <si>
    <t>Job0245</t>
  </si>
  <si>
    <t>1840000</t>
  </si>
  <si>
    <t>Job0487</t>
  </si>
  <si>
    <t>985000</t>
  </si>
  <si>
    <t>Job0428</t>
  </si>
  <si>
    <t>Job0393</t>
  </si>
  <si>
    <t>Job0186</t>
  </si>
  <si>
    <t>3015000</t>
  </si>
  <si>
    <t>Job0198</t>
  </si>
  <si>
    <t>Job0295</t>
  </si>
  <si>
    <t>04-02-2026</t>
  </si>
  <si>
    <t>Job0280</t>
  </si>
  <si>
    <t>08-01-2026</t>
  </si>
  <si>
    <t>Job0380</t>
  </si>
  <si>
    <t>4310000</t>
  </si>
  <si>
    <t>Job0227</t>
  </si>
  <si>
    <t>Job0036</t>
  </si>
  <si>
    <t>895000</t>
  </si>
  <si>
    <t>27-02-2026</t>
  </si>
  <si>
    <t>Job0284</t>
  </si>
  <si>
    <t>Job0419</t>
  </si>
  <si>
    <t>4350000</t>
  </si>
  <si>
    <t>Job0460</t>
  </si>
  <si>
    <t>625000</t>
  </si>
  <si>
    <t>Job0078</t>
  </si>
  <si>
    <t>Job0083</t>
  </si>
  <si>
    <t>Job0355</t>
  </si>
  <si>
    <t>Job0225</t>
  </si>
  <si>
    <t>Job0420</t>
  </si>
  <si>
    <t>475000</t>
  </si>
  <si>
    <t>Job0373</t>
  </si>
  <si>
    <t>4090000</t>
  </si>
  <si>
    <t>25-01-2026</t>
  </si>
  <si>
    <t>Job0448</t>
  </si>
  <si>
    <t>Job0408</t>
  </si>
  <si>
    <t>485000</t>
  </si>
  <si>
    <t>Job0459</t>
  </si>
  <si>
    <t>1190000</t>
  </si>
  <si>
    <t>Job0392</t>
  </si>
  <si>
    <t>Job0248</t>
  </si>
  <si>
    <t>Job0399</t>
  </si>
  <si>
    <t>Job0075</t>
  </si>
  <si>
    <t>Job0302</t>
  </si>
  <si>
    <t>Job0461</t>
  </si>
  <si>
    <t>22-04-2026</t>
  </si>
  <si>
    <t>Job0126</t>
  </si>
  <si>
    <t>505000</t>
  </si>
  <si>
    <t>Job0411</t>
  </si>
  <si>
    <t>Job0077</t>
  </si>
  <si>
    <t>1230000</t>
  </si>
  <si>
    <t>Job0260</t>
  </si>
  <si>
    <t>Job0403</t>
  </si>
  <si>
    <t>2300000</t>
  </si>
  <si>
    <t>Job0438</t>
  </si>
  <si>
    <t>1870000</t>
  </si>
  <si>
    <t>Job0412</t>
  </si>
  <si>
    <t>Job0317</t>
  </si>
  <si>
    <t>Job0226</t>
  </si>
  <si>
    <t>Job0449</t>
  </si>
  <si>
    <t>04-01-2026</t>
  </si>
  <si>
    <t>Job0181</t>
  </si>
  <si>
    <t>Job0045</t>
  </si>
  <si>
    <t>1165000</t>
  </si>
  <si>
    <t>Job0479</t>
  </si>
  <si>
    <t>Job0124</t>
  </si>
  <si>
    <t>3270000</t>
  </si>
  <si>
    <t>Job0269</t>
  </si>
  <si>
    <t>Job0092</t>
  </si>
  <si>
    <t>20-04-2026</t>
  </si>
  <si>
    <t>Job0375</t>
  </si>
  <si>
    <t>Job0249</t>
  </si>
  <si>
    <t>Job0276</t>
  </si>
  <si>
    <t>Job0237</t>
  </si>
  <si>
    <t>Job0440</t>
  </si>
  <si>
    <t>Job0020</t>
  </si>
  <si>
    <t>375000</t>
  </si>
  <si>
    <t>Job0417</t>
  </si>
  <si>
    <t>370000</t>
  </si>
  <si>
    <t>Job0241</t>
  </si>
  <si>
    <t>Job0211</t>
  </si>
  <si>
    <t>12-07-2026</t>
  </si>
  <si>
    <t>Job0188</t>
  </si>
  <si>
    <t>Job0008</t>
  </si>
  <si>
    <t>Job0099</t>
  </si>
  <si>
    <t>Job0132</t>
  </si>
  <si>
    <t>1070000</t>
  </si>
  <si>
    <t>Job0270</t>
  </si>
  <si>
    <t>25-05-2026</t>
  </si>
  <si>
    <t>Job0439</t>
  </si>
  <si>
    <t>1590000</t>
  </si>
  <si>
    <t>Job0012</t>
  </si>
  <si>
    <t>Job0422</t>
  </si>
  <si>
    <t>2155000</t>
  </si>
  <si>
    <t>Job0291</t>
  </si>
  <si>
    <t>Job0339</t>
  </si>
  <si>
    <t>1575000</t>
  </si>
  <si>
    <t>09-03-2026</t>
  </si>
  <si>
    <t>Job0157</t>
  </si>
  <si>
    <t>Job0441</t>
  </si>
  <si>
    <t>1565000</t>
  </si>
  <si>
    <t>Job0016</t>
  </si>
  <si>
    <t>Job0128</t>
  </si>
  <si>
    <t>2755000</t>
  </si>
  <si>
    <t>Job0310</t>
  </si>
  <si>
    <t>1960000</t>
  </si>
  <si>
    <t>Job0100</t>
  </si>
  <si>
    <t>Job0347</t>
  </si>
  <si>
    <t>12-05-2026</t>
  </si>
  <si>
    <t>Job0391</t>
  </si>
  <si>
    <t>Job0170</t>
  </si>
  <si>
    <t>2805000</t>
  </si>
  <si>
    <t>Job0152</t>
  </si>
  <si>
    <t>Job0462</t>
  </si>
  <si>
    <t>Salary_Lakhs</t>
  </si>
  <si>
    <t>Total Jobs</t>
  </si>
  <si>
    <t>Average salary</t>
  </si>
  <si>
    <t>Top Job Role</t>
  </si>
  <si>
    <t>Row Labels</t>
  </si>
  <si>
    <t>Grand Total</t>
  </si>
  <si>
    <t>Count of Job_Title</t>
  </si>
  <si>
    <t>skills</t>
  </si>
  <si>
    <t>Count of skills</t>
  </si>
  <si>
    <t>Most in Demand Skills</t>
  </si>
  <si>
    <t xml:space="preserve"> Skill demand</t>
  </si>
  <si>
    <t>Count of Location</t>
  </si>
  <si>
    <t>Top hiring Location</t>
  </si>
  <si>
    <t>Job Posting</t>
  </si>
  <si>
    <t>Count of Experience</t>
  </si>
  <si>
    <t>Most Hiring Experience</t>
  </si>
  <si>
    <t>0-2 years</t>
  </si>
  <si>
    <t>Count of Work_Mode</t>
  </si>
  <si>
    <t>Most common work  mode</t>
  </si>
  <si>
    <t>Job posting</t>
  </si>
  <si>
    <t>Count of Job_Type</t>
  </si>
  <si>
    <t>Most Common Job Type</t>
  </si>
  <si>
    <t>Average of Salary_Lakhs</t>
  </si>
  <si>
    <t>Highest Paying Job role</t>
  </si>
  <si>
    <t>Average Salary</t>
  </si>
  <si>
    <t>Top Skill</t>
  </si>
  <si>
    <t>Top Hiring Location</t>
  </si>
  <si>
    <t>Filters</t>
  </si>
  <si>
    <t>TRENDS | SKILLS | SALARIES | OPPURTUNITIES</t>
  </si>
  <si>
    <t>JOB  MARKET  INSIGHTS</t>
  </si>
  <si>
    <t>12.98 L</t>
  </si>
  <si>
    <t>Total job</t>
  </si>
  <si>
    <t xml:space="preserve"> Top Job Role</t>
  </si>
  <si>
    <t>Key Insights</t>
  </si>
  <si>
    <t>Data Analyst is the most demanded job role,with 63 job postings</t>
  </si>
  <si>
    <t>Statistics is the most demanded skill,appearing in 149 job postings</t>
  </si>
  <si>
    <t>Ahmedabad is the top hiring location, with 64 job posting</t>
  </si>
  <si>
    <t>0-2 Years is the most common experience level, with 137 job posting</t>
  </si>
  <si>
    <t>Hybrid is the most common work mode, with 268 job postings</t>
  </si>
  <si>
    <t xml:space="preserve">Full Time is the most common job type, with 376 job posting </t>
  </si>
  <si>
    <t>ML Engineer is the highest paying job role,with an average salary of 16.25 lakhs</t>
  </si>
  <si>
    <t xml:space="preserve">Thw average salary across all job posting is 12.98 Lakhs </t>
  </si>
  <si>
    <t>Reccomendation</t>
  </si>
  <si>
    <t>Focus on Statistics, Python, and SQL skills to improve your chance of getting Data Analyst roles</t>
  </si>
  <si>
    <t>Early -career candidates should focus on 0-2 Years job opportunities to target the largest segment in this dataset</t>
  </si>
  <si>
    <t>consider hybrid job opportunities, as Hybrid is the most common work mode in this dataset</t>
  </si>
  <si>
    <t>Develop ML and AI related skills to target higher-paying roles such as ML Engineer</t>
  </si>
  <si>
    <t>Use this Dashboard Slicers to compare job roles,locations,work modes,and experience levels before making career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</si>
</sst>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_ [$₹-4009]\ * #,##0.00_ ;_ [$₹-4009]\ * \-#,##0.00_ ;_ [$₹-4009]\ * &quot;-&quot;??_ ;_ @_ "/>
  </numFmts>
  <fonts count="17" x14ac:knownFonts="1">
    <font>
      <sz val="11"/>
      <color theme="1"/>
      <name val="Calibri"/>
      <family val="2"/>
      <scheme val="minor"/>
    </font>
    <font>
      <b/>
      <sz val="11"/>
      <color rgb="FFFFFFFF"/>
      <name val="Arial"/>
    </font>
    <font>
      <sz val="10"/>
      <name val="Arial"/>
    </font>
    <font>
      <sz val="11"/>
      <color theme="1"/>
      <name val="Calibri"/>
      <family val="2"/>
      <scheme val="minor"/>
    </font>
    <font>
      <sz val="16"/>
      <color theme="1"/>
      <name val="Calibri"/>
      <family val="2"/>
      <scheme val="minor"/>
    </font>
    <font>
      <b/>
      <sz val="20"/>
      <color theme="0"/>
      <name val="Calibri"/>
      <family val="2"/>
      <scheme val="minor"/>
    </font>
    <font>
      <b/>
      <sz val="18"/>
      <color theme="1"/>
      <name val="Calibri"/>
      <family val="2"/>
      <scheme val="minor"/>
    </font>
    <font>
      <b/>
      <sz val="20"/>
      <color theme="1"/>
      <name val="Calibri"/>
      <family val="2"/>
      <scheme val="minor"/>
    </font>
    <font>
      <sz val="20"/>
      <color theme="3"/>
      <name val="Calibri"/>
      <family val="2"/>
      <scheme val="minor"/>
    </font>
    <font>
      <sz val="11"/>
      <color theme="3"/>
      <name val="Calibri"/>
      <family val="2"/>
      <scheme val="minor"/>
    </font>
    <font>
      <b/>
      <sz val="20"/>
      <color theme="3"/>
      <name val="Aptos Display"/>
      <family val="2"/>
    </font>
    <font>
      <sz val="28"/>
      <color theme="1"/>
      <name val="Calibri"/>
      <family val="2"/>
      <scheme val="minor"/>
    </font>
    <font>
      <b/>
      <sz val="24"/>
      <color theme="0"/>
      <name val="Calibri"/>
      <family val="2"/>
      <scheme val="minor"/>
    </font>
    <font>
      <sz val="12"/>
      <color rgb="FFAEE3F4"/>
      <name val="Calibri"/>
      <family val="2"/>
      <scheme val="minor"/>
    </font>
    <font>
      <b/>
      <sz val="22"/>
      <color theme="1"/>
      <name val="Calibri"/>
      <family val="2"/>
      <scheme val="minor"/>
    </font>
    <font>
      <sz val="8"/>
      <name val="Calibri"/>
      <family val="2"/>
      <scheme val="minor"/>
    </font>
    <font>
      <b/>
      <sz val="14"/>
      <color theme="1"/>
      <name val="Calibri"/>
      <family val="2"/>
      <scheme val="minor"/>
    </font>
  </fonts>
  <fills count="17">
    <fill>
      <patternFill patternType="none"/>
    </fill>
    <fill>
      <patternFill patternType="gray125"/>
    </fill>
    <fill>
      <patternFill patternType="solid">
        <fgColor rgb="FF1F4E78"/>
        <bgColor rgb="FF1F4E78"/>
      </patternFill>
    </fill>
    <fill>
      <patternFill patternType="solid">
        <fgColor theme="9" tint="0.59999389629810485"/>
        <bgColor indexed="64"/>
      </patternFill>
    </fill>
    <fill>
      <patternFill patternType="solid">
        <fgColor theme="0"/>
        <bgColor indexed="64"/>
      </patternFill>
    </fill>
    <fill>
      <patternFill patternType="solid">
        <fgColor rgb="FF17375D"/>
        <bgColor indexed="64"/>
      </patternFill>
    </fill>
    <fill>
      <patternFill patternType="solid">
        <fgColor theme="4" tint="0.79998168889431442"/>
        <bgColor indexed="64"/>
      </patternFill>
    </fill>
    <fill>
      <patternFill patternType="solid">
        <fgColor rgb="FFC4FCF4"/>
        <bgColor indexed="64"/>
      </patternFill>
    </fill>
    <fill>
      <patternFill patternType="solid">
        <fgColor rgb="FFBC8FDD"/>
        <bgColor indexed="64"/>
      </patternFill>
    </fill>
    <fill>
      <patternFill patternType="solid">
        <fgColor rgb="FFFFFFCC"/>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rgb="FFF2BCE3"/>
        <bgColor indexed="64"/>
      </patternFill>
    </fill>
  </fills>
  <borders count="10">
    <border>
      <left/>
      <right/>
      <top/>
      <bottom/>
      <diagonal/>
    </border>
    <border>
      <left style="medium">
        <color theme="3" tint="0.39997558519241921"/>
      </left>
      <right/>
      <top style="medium">
        <color theme="3" tint="0.39997558519241921"/>
      </top>
      <bottom/>
      <diagonal/>
    </border>
    <border>
      <left/>
      <right/>
      <top style="medium">
        <color theme="3" tint="0.39997558519241921"/>
      </top>
      <bottom/>
      <diagonal/>
    </border>
    <border>
      <left/>
      <right style="medium">
        <color theme="3" tint="0.39997558519241921"/>
      </right>
      <top style="medium">
        <color theme="3" tint="0.39997558519241921"/>
      </top>
      <bottom/>
      <diagonal/>
    </border>
    <border>
      <left style="medium">
        <color theme="3" tint="0.39997558519241921"/>
      </left>
      <right/>
      <top/>
      <bottom/>
      <diagonal/>
    </border>
    <border>
      <left/>
      <right style="medium">
        <color theme="3" tint="0.39997558519241921"/>
      </right>
      <top/>
      <bottom/>
      <diagonal/>
    </border>
    <border>
      <left style="medium">
        <color theme="3" tint="0.39997558519241921"/>
      </left>
      <right/>
      <top/>
      <bottom style="medium">
        <color theme="3" tint="0.39997558519241921"/>
      </bottom>
      <diagonal/>
    </border>
    <border>
      <left/>
      <right/>
      <top/>
      <bottom style="medium">
        <color theme="3" tint="0.39997558519241921"/>
      </bottom>
      <diagonal/>
    </border>
    <border>
      <left/>
      <right style="medium">
        <color theme="3" tint="0.39997558519241921"/>
      </right>
      <top/>
      <bottom style="medium">
        <color theme="3"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64">
    <xf numFmtId="0" fontId="0" fillId="0" borderId="0" xfId="0"/>
    <xf numFmtId="0" fontId="1" fillId="2" borderId="0" xfId="0" applyFont="1" applyFill="1" applyAlignment="1">
      <alignment horizontal="center" vertical="center"/>
    </xf>
    <xf numFmtId="0" fontId="2" fillId="0" borderId="0" xfId="0" applyFont="1"/>
    <xf numFmtId="3" fontId="2" fillId="0" borderId="0" xfId="0" applyNumberFormat="1" applyFont="1"/>
    <xf numFmtId="43" fontId="0" fillId="0" borderId="0" xfId="1" applyFont="1"/>
    <xf numFmtId="43" fontId="0" fillId="0" borderId="0" xfId="0" applyNumberFormat="1"/>
    <xf numFmtId="0" fontId="0" fillId="0" borderId="0" xfId="0" pivotButton="1"/>
    <xf numFmtId="0" fontId="0" fillId="0" borderId="0" xfId="0" applyAlignment="1">
      <alignment horizontal="left"/>
    </xf>
    <xf numFmtId="14" fontId="0" fillId="0" borderId="0" xfId="0" applyNumberFormat="1"/>
    <xf numFmtId="164" fontId="0" fillId="0" borderId="0" xfId="2" applyNumberFormat="1" applyFont="1"/>
    <xf numFmtId="0" fontId="4" fillId="0" borderId="0" xfId="0" applyFont="1"/>
    <xf numFmtId="0" fontId="8" fillId="0" borderId="0" xfId="0" applyFont="1"/>
    <xf numFmtId="0" fontId="9" fillId="0" borderId="0" xfId="0" applyFont="1"/>
    <xf numFmtId="0" fontId="0" fillId="0" borderId="0" xfId="0" applyAlignment="1">
      <alignment horizontal="center" vertical="top"/>
    </xf>
    <xf numFmtId="0" fontId="9" fillId="4" borderId="0" xfId="0" applyFont="1" applyFill="1"/>
    <xf numFmtId="0" fontId="9" fillId="4" borderId="2" xfId="0" applyFont="1" applyFill="1" applyBorder="1"/>
    <xf numFmtId="0" fontId="9" fillId="4" borderId="3" xfId="0" applyFont="1" applyFill="1" applyBorder="1"/>
    <xf numFmtId="0" fontId="9" fillId="4" borderId="5" xfId="0" applyFont="1" applyFill="1" applyBorder="1"/>
    <xf numFmtId="0" fontId="9" fillId="4" borderId="4" xfId="0" applyFont="1" applyFill="1" applyBorder="1"/>
    <xf numFmtId="0" fontId="9" fillId="0" borderId="6" xfId="0" applyFont="1" applyBorder="1"/>
    <xf numFmtId="0" fontId="9" fillId="0" borderId="7" xfId="0" applyFont="1" applyBorder="1"/>
    <xf numFmtId="0" fontId="0" fillId="0" borderId="5" xfId="0" applyBorder="1"/>
    <xf numFmtId="0" fontId="9" fillId="0" borderId="4" xfId="0" applyFont="1" applyBorder="1"/>
    <xf numFmtId="0" fontId="9" fillId="0" borderId="5" xfId="0" applyFont="1" applyBorder="1"/>
    <xf numFmtId="0" fontId="9" fillId="0" borderId="8" xfId="0" applyFont="1" applyBorder="1"/>
    <xf numFmtId="0" fontId="0" fillId="0" borderId="4" xfId="0" applyBorder="1"/>
    <xf numFmtId="0" fontId="6" fillId="9" borderId="0" xfId="0" applyFont="1" applyFill="1" applyAlignment="1">
      <alignment horizontal="center" vertical="top"/>
    </xf>
    <xf numFmtId="0" fontId="7" fillId="9" borderId="0" xfId="0" applyFont="1" applyFill="1" applyAlignment="1">
      <alignment horizontal="center" vertical="top"/>
    </xf>
    <xf numFmtId="0" fontId="14" fillId="9" borderId="0" xfId="0" applyFont="1" applyFill="1" applyAlignment="1">
      <alignment horizontal="center" vertical="top"/>
    </xf>
    <xf numFmtId="0" fontId="0" fillId="0" borderId="9" xfId="0" applyBorder="1"/>
    <xf numFmtId="0" fontId="0" fillId="10" borderId="9" xfId="0" applyFill="1" applyBorder="1"/>
    <xf numFmtId="0" fontId="0" fillId="11" borderId="9" xfId="0" applyFill="1" applyBorder="1"/>
    <xf numFmtId="0" fontId="0" fillId="12" borderId="9" xfId="0" applyFill="1" applyBorder="1"/>
    <xf numFmtId="0" fontId="0" fillId="13" borderId="9" xfId="0" applyFill="1" applyBorder="1"/>
    <xf numFmtId="0" fontId="0" fillId="14" borderId="9" xfId="0" applyFill="1" applyBorder="1"/>
    <xf numFmtId="0" fontId="0" fillId="8" borderId="9" xfId="0" applyFill="1" applyBorder="1"/>
    <xf numFmtId="0" fontId="0" fillId="8" borderId="9" xfId="0" applyFill="1" applyBorder="1" applyAlignment="1">
      <alignment horizontal="left"/>
    </xf>
    <xf numFmtId="0" fontId="0" fillId="7" borderId="9" xfId="0" applyFill="1" applyBorder="1"/>
    <xf numFmtId="0" fontId="0" fillId="15" borderId="9" xfId="0" applyFill="1" applyBorder="1"/>
    <xf numFmtId="0" fontId="0" fillId="16" borderId="9" xfId="0" applyFill="1" applyBorder="1"/>
    <xf numFmtId="0" fontId="16" fillId="8" borderId="9" xfId="0" applyFont="1" applyFill="1" applyBorder="1"/>
    <xf numFmtId="0" fontId="16" fillId="16" borderId="9" xfId="0" applyFont="1" applyFill="1" applyBorder="1"/>
    <xf numFmtId="0" fontId="7" fillId="8" borderId="0" xfId="0" applyFont="1" applyFill="1" applyAlignment="1">
      <alignment horizontal="center" vertical="top"/>
    </xf>
    <xf numFmtId="0" fontId="6" fillId="3" borderId="0" xfId="0" applyFont="1" applyFill="1" applyAlignment="1">
      <alignment horizontal="center" vertical="top"/>
    </xf>
    <xf numFmtId="0" fontId="14" fillId="3" borderId="0" xfId="0" applyFont="1" applyFill="1" applyAlignment="1">
      <alignment horizontal="center" vertical="top"/>
    </xf>
    <xf numFmtId="0" fontId="7" fillId="3" borderId="0" xfId="0" applyFont="1" applyFill="1" applyAlignment="1">
      <alignment horizontal="center" vertical="top"/>
    </xf>
    <xf numFmtId="0" fontId="6" fillId="4" borderId="0" xfId="0" applyFont="1" applyFill="1" applyAlignment="1">
      <alignment horizontal="center" vertical="center"/>
    </xf>
    <xf numFmtId="0" fontId="6" fillId="6" borderId="0" xfId="0" applyFont="1" applyFill="1" applyAlignment="1">
      <alignment horizontal="center" vertical="center"/>
    </xf>
    <xf numFmtId="0" fontId="14" fillId="6" borderId="0" xfId="0" applyFont="1" applyFill="1" applyAlignment="1">
      <alignment horizontal="center" vertical="center"/>
    </xf>
    <xf numFmtId="0" fontId="6" fillId="7" borderId="0" xfId="0" applyFont="1" applyFill="1" applyAlignment="1">
      <alignment horizontal="center" vertical="top"/>
    </xf>
    <xf numFmtId="164" fontId="14" fillId="7" borderId="0" xfId="3" applyNumberFormat="1" applyFont="1" applyFill="1" applyBorder="1" applyAlignment="1">
      <alignment horizontal="center" vertical="top"/>
    </xf>
    <xf numFmtId="164" fontId="5" fillId="7" borderId="0" xfId="2" applyNumberFormat="1" applyFont="1" applyFill="1" applyBorder="1" applyAlignment="1">
      <alignment horizontal="center" vertical="top"/>
    </xf>
    <xf numFmtId="0" fontId="6" fillId="8" borderId="0" xfId="0" applyFont="1" applyFill="1" applyAlignment="1">
      <alignment horizontal="center" vertical="top"/>
    </xf>
    <xf numFmtId="0" fontId="10" fillId="4" borderId="1"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0" xfId="0" applyFont="1" applyFill="1" applyAlignment="1">
      <alignment horizontal="left" vertical="center" wrapText="1"/>
    </xf>
    <xf numFmtId="0" fontId="11" fillId="4" borderId="0" xfId="0" applyFont="1" applyFill="1" applyAlignment="1">
      <alignment wrapText="1"/>
    </xf>
    <xf numFmtId="0" fontId="12" fillId="5" borderId="0" xfId="0" applyFont="1" applyFill="1" applyAlignment="1">
      <alignment horizontal="center" vertical="center" wrapText="1"/>
    </xf>
    <xf numFmtId="0" fontId="0" fillId="5" borderId="0" xfId="0" applyFill="1" applyAlignment="1">
      <alignment horizontal="center" vertical="center" wrapText="1"/>
    </xf>
    <xf numFmtId="0" fontId="13" fillId="5" borderId="0" xfId="0" applyFont="1" applyFill="1" applyAlignment="1">
      <alignment horizontal="center" vertical="center"/>
    </xf>
    <xf numFmtId="0" fontId="0" fillId="5" borderId="0" xfId="0" applyFill="1" applyAlignment="1">
      <alignment horizontal="center" vertical="center"/>
    </xf>
    <xf numFmtId="0" fontId="14" fillId="8" borderId="0" xfId="0" applyFont="1" applyFill="1" applyAlignment="1">
      <alignment horizontal="center" vertical="top"/>
    </xf>
    <xf numFmtId="0" fontId="10" fillId="4" borderId="0" xfId="0" applyFont="1" applyFill="1" applyAlignment="1">
      <alignment horizontal="left" vertical="center" wrapText="1"/>
    </xf>
  </cellXfs>
  <cellStyles count="4">
    <cellStyle name="Comma" xfId="1" builtinId="3"/>
    <cellStyle name="Currency" xfId="2" builtinId="4"/>
    <cellStyle name="Normal" xfId="0" builtinId="0"/>
    <cellStyle name="Percent" xfId="3" builtinId="5"/>
  </cellStyles>
  <dxfs count="35">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BC8FDD"/>
      <color rgb="FFF2BCE3"/>
      <color rgb="FFE169BF"/>
      <color rgb="FFC4FCF4"/>
      <color rgb="FFFFFF99"/>
      <color rgb="FFFFFFCC"/>
      <color rgb="FF18F4D5"/>
      <color rgb="FF265C9E"/>
      <color rgb="FF17375D"/>
      <color rgb="FF081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[Job_Market_Insights.xlsx]jobrole!PivotTable1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2">
                    <a:lumMod val="50000"/>
                  </a:schemeClr>
                </a:solidFill>
              </a:rPr>
              <a:t>Jobs</a:t>
            </a:r>
            <a:r>
              <a:rPr lang="en-IN" sz="1600" b="1" baseline="0">
                <a:solidFill>
                  <a:schemeClr val="tx2">
                    <a:lumMod val="50000"/>
                  </a:schemeClr>
                </a:solidFill>
              </a:rPr>
              <a:t> by Job Role</a:t>
            </a:r>
            <a:endParaRPr lang="en-IN" sz="1600" b="1">
              <a:solidFill>
                <a:schemeClr val="tx2">
                  <a:lumMod val="50000"/>
                </a:schemeClr>
              </a:solidFill>
            </a:endParaRPr>
          </a:p>
        </c:rich>
      </c:tx>
      <c:layout>
        <c:manualLayout>
          <c:xMode val="edge"/>
          <c:yMode val="edge"/>
          <c:x val="0.3735277777777777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pivotFmt>
      <c:pivotFmt>
        <c:idx val="2"/>
        <c:spPr>
          <a:solidFill>
            <a:schemeClr val="accent6"/>
          </a:solidFill>
          <a:ln>
            <a:noFill/>
          </a:ln>
          <a:effectLst/>
        </c:spPr>
      </c:pivotFmt>
      <c:pivotFmt>
        <c:idx val="3"/>
        <c:spPr>
          <a:solidFill>
            <a:srgbClr val="00B050"/>
          </a:solidFill>
          <a:ln>
            <a:noFill/>
          </a:ln>
          <a:effectLst/>
        </c:spPr>
      </c:pivotFmt>
      <c:pivotFmt>
        <c:idx val="4"/>
        <c:spPr>
          <a:solidFill>
            <a:schemeClr val="accent4"/>
          </a:solidFill>
          <a:ln>
            <a:noFill/>
          </a:ln>
          <a:effectLst/>
        </c:spPr>
      </c:pivotFmt>
      <c:pivotFmt>
        <c:idx val="5"/>
        <c:spPr>
          <a:solidFill>
            <a:schemeClr val="bg2">
              <a:lumMod val="75000"/>
            </a:schemeClr>
          </a:solidFill>
          <a:ln>
            <a:noFill/>
          </a:ln>
          <a:effectLst/>
        </c:spPr>
      </c:pivotFmt>
      <c:pivotFmt>
        <c:idx val="6"/>
        <c:spPr>
          <a:solidFill>
            <a:schemeClr val="accent6">
              <a:lumMod val="60000"/>
              <a:lumOff val="40000"/>
            </a:schemeClr>
          </a:solidFill>
          <a:ln>
            <a:noFill/>
          </a:ln>
          <a:effectLst/>
        </c:spPr>
      </c:pivotFmt>
      <c:pivotFmt>
        <c:idx val="7"/>
        <c:spPr>
          <a:solidFill>
            <a:srgbClr val="C00000"/>
          </a:solidFill>
          <a:ln>
            <a:noFill/>
          </a:ln>
          <a:effectLst/>
        </c:spPr>
      </c:pivotFmt>
      <c:pivotFmt>
        <c:idx val="8"/>
        <c:spPr>
          <a:solidFill>
            <a:schemeClr val="tx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a:noFill/>
          </a:ln>
          <a:effectLst/>
        </c:spPr>
      </c:pivotFmt>
      <c:pivotFmt>
        <c:idx val="13"/>
        <c:spPr>
          <a:solidFill>
            <a:schemeClr val="accent6"/>
          </a:solidFill>
          <a:ln>
            <a:noFill/>
          </a:ln>
          <a:effectLst/>
        </c:spPr>
      </c:pivotFmt>
      <c:pivotFmt>
        <c:idx val="14"/>
        <c:spPr>
          <a:solidFill>
            <a:srgbClr val="00B050"/>
          </a:solidFill>
          <a:ln>
            <a:noFill/>
          </a:ln>
          <a:effectLst/>
        </c:spPr>
      </c:pivotFmt>
      <c:pivotFmt>
        <c:idx val="15"/>
        <c:spPr>
          <a:solidFill>
            <a:schemeClr val="accent4"/>
          </a:solidFill>
          <a:ln>
            <a:noFill/>
          </a:ln>
          <a:effectLst/>
        </c:spPr>
      </c:pivotFmt>
      <c:pivotFmt>
        <c:idx val="16"/>
        <c:spPr>
          <a:solidFill>
            <a:schemeClr val="bg2">
              <a:lumMod val="75000"/>
            </a:schemeClr>
          </a:solidFill>
          <a:ln>
            <a:noFill/>
          </a:ln>
          <a:effectLst/>
        </c:spPr>
      </c:pivotFmt>
      <c:pivotFmt>
        <c:idx val="17"/>
        <c:spPr>
          <a:solidFill>
            <a:schemeClr val="accent6">
              <a:lumMod val="60000"/>
              <a:lumOff val="40000"/>
            </a:schemeClr>
          </a:solidFill>
          <a:ln>
            <a:noFill/>
          </a:ln>
          <a:effectLst/>
        </c:spPr>
      </c:pivotFmt>
      <c:pivotFmt>
        <c:idx val="18"/>
        <c:spPr>
          <a:solidFill>
            <a:srgbClr val="C00000"/>
          </a:solidFill>
          <a:ln>
            <a:noFill/>
          </a:ln>
          <a:effectLst/>
        </c:spPr>
      </c:pivotFmt>
      <c:pivotFmt>
        <c:idx val="19"/>
        <c:spPr>
          <a:solidFill>
            <a:schemeClr val="tx2">
              <a:lumMod val="20000"/>
              <a:lumOff val="80000"/>
            </a:schemeClr>
          </a:solidFill>
          <a:ln>
            <a:noFill/>
          </a:ln>
          <a:effectLst/>
        </c:spPr>
      </c:pivotFmt>
      <c:pivotFmt>
        <c:idx val="20"/>
        <c:spPr>
          <a:solidFill>
            <a:schemeClr val="accent2">
              <a:lumMod val="20000"/>
              <a:lumOff val="80000"/>
            </a:schemeClr>
          </a:solidFill>
          <a:ln>
            <a:noFill/>
          </a:ln>
          <a:effectLst/>
        </c:spPr>
      </c:pivotFmt>
      <c:pivotFmt>
        <c:idx val="21"/>
        <c:spPr>
          <a:solidFill>
            <a:schemeClr val="accent2">
              <a:lumMod val="60000"/>
              <a:lumOff val="4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60000"/>
              <a:lumOff val="40000"/>
            </a:schemeClr>
          </a:solidFill>
          <a:ln>
            <a:noFill/>
          </a:ln>
          <a:effectLst/>
        </c:spPr>
      </c:pivotFmt>
      <c:pivotFmt>
        <c:idx val="24"/>
        <c:spPr>
          <a:solidFill>
            <a:schemeClr val="accent6"/>
          </a:solidFill>
          <a:ln>
            <a:noFill/>
          </a:ln>
          <a:effectLst/>
        </c:spPr>
      </c:pivotFmt>
      <c:pivotFmt>
        <c:idx val="25"/>
        <c:spPr>
          <a:solidFill>
            <a:srgbClr val="00B050"/>
          </a:solidFill>
          <a:ln>
            <a:noFill/>
          </a:ln>
          <a:effectLst/>
        </c:spPr>
      </c:pivotFmt>
      <c:pivotFmt>
        <c:idx val="26"/>
        <c:spPr>
          <a:solidFill>
            <a:schemeClr val="accent4"/>
          </a:solidFill>
          <a:ln>
            <a:noFill/>
          </a:ln>
          <a:effectLst/>
        </c:spPr>
      </c:pivotFmt>
      <c:pivotFmt>
        <c:idx val="27"/>
        <c:spPr>
          <a:solidFill>
            <a:srgbClr val="92D050"/>
          </a:solidFill>
          <a:ln>
            <a:noFill/>
          </a:ln>
          <a:effectLst/>
        </c:spPr>
      </c:pivotFmt>
      <c:pivotFmt>
        <c:idx val="28"/>
        <c:spPr>
          <a:solidFill>
            <a:schemeClr val="accent6">
              <a:lumMod val="60000"/>
              <a:lumOff val="40000"/>
            </a:schemeClr>
          </a:solidFill>
          <a:ln>
            <a:noFill/>
          </a:ln>
          <a:effectLst/>
        </c:spPr>
      </c:pivotFmt>
      <c:pivotFmt>
        <c:idx val="29"/>
        <c:spPr>
          <a:solidFill>
            <a:srgbClr val="C00000"/>
          </a:solidFill>
          <a:ln>
            <a:noFill/>
          </a:ln>
          <a:effectLst/>
        </c:spPr>
      </c:pivotFmt>
      <c:pivotFmt>
        <c:idx val="30"/>
        <c:spPr>
          <a:solidFill>
            <a:schemeClr val="tx2">
              <a:lumMod val="20000"/>
              <a:lumOff val="80000"/>
            </a:schemeClr>
          </a:solidFill>
          <a:ln>
            <a:noFill/>
          </a:ln>
          <a:effectLst/>
        </c:spPr>
      </c:pivotFmt>
      <c:pivotFmt>
        <c:idx val="31"/>
        <c:spPr>
          <a:solidFill>
            <a:schemeClr val="accent2">
              <a:lumMod val="20000"/>
              <a:lumOff val="80000"/>
            </a:schemeClr>
          </a:solidFill>
          <a:ln>
            <a:noFill/>
          </a:ln>
          <a:effectLst/>
        </c:spPr>
      </c:pivotFmt>
      <c:pivotFmt>
        <c:idx val="32"/>
        <c:spPr>
          <a:solidFill>
            <a:schemeClr val="accent2">
              <a:lumMod val="60000"/>
              <a:lumOff val="40000"/>
            </a:schemeClr>
          </a:solidFill>
          <a:ln>
            <a:noFill/>
          </a:ln>
          <a:effectLst/>
        </c:spPr>
      </c:pivotFmt>
    </c:pivotFmts>
    <c:plotArea>
      <c:layout>
        <c:manualLayout>
          <c:layoutTarget val="inner"/>
          <c:xMode val="edge"/>
          <c:yMode val="edge"/>
          <c:x val="7.8373140857392831E-2"/>
          <c:y val="0.22624781277340328"/>
          <c:w val="0.81077493438320214"/>
          <c:h val="0.37470727617381155"/>
        </c:manualLayout>
      </c:layout>
      <c:barChart>
        <c:barDir val="col"/>
        <c:grouping val="clustered"/>
        <c:varyColors val="0"/>
        <c:ser>
          <c:idx val="0"/>
          <c:order val="0"/>
          <c:tx>
            <c:strRef>
              <c:f>jobrole!$B$3</c:f>
              <c:strCache>
                <c:ptCount val="1"/>
                <c:pt idx="0">
                  <c:v>Total</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B7B1-4720-B821-6E3E136279D9}"/>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B7B1-4720-B821-6E3E136279D9}"/>
              </c:ext>
            </c:extLst>
          </c:dPt>
          <c:dPt>
            <c:idx val="2"/>
            <c:invertIfNegative val="0"/>
            <c:bubble3D val="0"/>
            <c:spPr>
              <a:solidFill>
                <a:srgbClr val="00B050"/>
              </a:solidFill>
              <a:ln>
                <a:noFill/>
              </a:ln>
              <a:effectLst/>
            </c:spPr>
            <c:extLst>
              <c:ext xmlns:c16="http://schemas.microsoft.com/office/drawing/2014/chart" uri="{C3380CC4-5D6E-409C-BE32-E72D297353CC}">
                <c16:uniqueId val="{00000005-B7B1-4720-B821-6E3E136279D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7B1-4720-B821-6E3E136279D9}"/>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B7B1-4720-B821-6E3E136279D9}"/>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B-B7B1-4720-B821-6E3E136279D9}"/>
              </c:ext>
            </c:extLst>
          </c:dPt>
          <c:dPt>
            <c:idx val="6"/>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D-B7B1-4720-B821-6E3E136279D9}"/>
              </c:ext>
            </c:extLst>
          </c:dPt>
          <c:dPt>
            <c:idx val="7"/>
            <c:invertIfNegative val="0"/>
            <c:bubble3D val="0"/>
            <c:spPr>
              <a:solidFill>
                <a:srgbClr val="92D050"/>
              </a:solidFill>
              <a:ln>
                <a:noFill/>
              </a:ln>
              <a:effectLst/>
            </c:spPr>
            <c:extLst>
              <c:ext xmlns:c16="http://schemas.microsoft.com/office/drawing/2014/chart" uri="{C3380CC4-5D6E-409C-BE32-E72D297353CC}">
                <c16:uniqueId val="{0000000F-B7B1-4720-B821-6E3E136279D9}"/>
              </c:ext>
            </c:extLst>
          </c:dPt>
          <c:dPt>
            <c:idx val="8"/>
            <c:invertIfNegative val="0"/>
            <c:bubble3D val="0"/>
            <c:spPr>
              <a:solidFill>
                <a:srgbClr val="C00000"/>
              </a:solidFill>
              <a:ln>
                <a:noFill/>
              </a:ln>
              <a:effectLst/>
            </c:spPr>
            <c:extLst>
              <c:ext xmlns:c16="http://schemas.microsoft.com/office/drawing/2014/chart" uri="{C3380CC4-5D6E-409C-BE32-E72D297353CC}">
                <c16:uniqueId val="{00000011-B7B1-4720-B821-6E3E136279D9}"/>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3-B7B1-4720-B821-6E3E136279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jobrole!$A$4:$A$14</c:f>
              <c:strCache>
                <c:ptCount val="10"/>
                <c:pt idx="0">
                  <c:v>Data Analyst</c:v>
                </c:pt>
                <c:pt idx="1">
                  <c:v>Business Analyst</c:v>
                </c:pt>
                <c:pt idx="2">
                  <c:v>Bi Analyst</c:v>
                </c:pt>
                <c:pt idx="3">
                  <c:v>Machine Learning Scientist</c:v>
                </c:pt>
                <c:pt idx="4">
                  <c:v>Data Engineer</c:v>
                </c:pt>
                <c:pt idx="5">
                  <c:v>Ai/Ml Analyst</c:v>
                </c:pt>
                <c:pt idx="6">
                  <c:v>Product Data Analyst</c:v>
                </c:pt>
                <c:pt idx="7">
                  <c:v>Data Scientist</c:v>
                </c:pt>
                <c:pt idx="8">
                  <c:v>Ml Engineer</c:v>
                </c:pt>
                <c:pt idx="9">
                  <c:v>Ai Engineer</c:v>
                </c:pt>
              </c:strCache>
            </c:strRef>
          </c:cat>
          <c:val>
            <c:numRef>
              <c:f>jobrole!$B$4:$B$14</c:f>
              <c:numCache>
                <c:formatCode>General</c:formatCode>
                <c:ptCount val="10"/>
                <c:pt idx="0">
                  <c:v>51</c:v>
                </c:pt>
                <c:pt idx="1">
                  <c:v>48</c:v>
                </c:pt>
                <c:pt idx="2">
                  <c:v>48</c:v>
                </c:pt>
                <c:pt idx="3">
                  <c:v>46</c:v>
                </c:pt>
                <c:pt idx="4">
                  <c:v>45</c:v>
                </c:pt>
                <c:pt idx="5">
                  <c:v>40</c:v>
                </c:pt>
                <c:pt idx="6">
                  <c:v>39</c:v>
                </c:pt>
                <c:pt idx="7">
                  <c:v>37</c:v>
                </c:pt>
                <c:pt idx="8">
                  <c:v>36</c:v>
                </c:pt>
                <c:pt idx="9">
                  <c:v>35</c:v>
                </c:pt>
              </c:numCache>
            </c:numRef>
          </c:val>
          <c:extLst>
            <c:ext xmlns:c16="http://schemas.microsoft.com/office/drawing/2014/chart" uri="{C3380CC4-5D6E-409C-BE32-E72D297353CC}">
              <c16:uniqueId val="{00000014-B7B1-4720-B821-6E3E136279D9}"/>
            </c:ext>
          </c:extLst>
        </c:ser>
        <c:dLbls>
          <c:dLblPos val="outEnd"/>
          <c:showLegendKey val="0"/>
          <c:showVal val="1"/>
          <c:showCatName val="0"/>
          <c:showSerName val="0"/>
          <c:showPercent val="0"/>
          <c:showBubbleSize val="0"/>
        </c:dLbls>
        <c:gapWidth val="182"/>
        <c:axId val="1247064688"/>
        <c:axId val="1981181840"/>
      </c:barChart>
      <c:catAx>
        <c:axId val="12470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81840"/>
        <c:crosses val="autoZero"/>
        <c:auto val="1"/>
        <c:lblAlgn val="ctr"/>
        <c:lblOffset val="100"/>
        <c:noMultiLvlLbl val="0"/>
      </c:catAx>
      <c:valAx>
        <c:axId val="198118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6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[Job_Market_Insights.xlsx]location!PivotTable4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2060"/>
                </a:solidFill>
              </a:rPr>
              <a:t>location wise job</a:t>
            </a:r>
          </a:p>
        </c:rich>
      </c:tx>
      <c:layout>
        <c:manualLayout>
          <c:xMode val="edge"/>
          <c:yMode val="edge"/>
          <c:x val="0.39550644132330903"/>
          <c:y val="6.9905100488043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3">
              <a:lumMod val="75000"/>
            </a:schemeClr>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4">
              <a:lumMod val="60000"/>
              <a:lumOff val="40000"/>
            </a:schemeClr>
          </a:solidFill>
          <a:ln w="19050">
            <a:solidFill>
              <a:schemeClr val="lt1"/>
            </a:solidFill>
          </a:ln>
          <a:effectLst/>
        </c:spPr>
      </c:pivotFmt>
      <c:pivotFmt>
        <c:idx val="17"/>
        <c:spPr>
          <a:solidFill>
            <a:schemeClr val="accent5">
              <a:lumMod val="60000"/>
              <a:lumOff val="40000"/>
            </a:schemeClr>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6">
              <a:lumMod val="60000"/>
              <a:lumOff val="40000"/>
            </a:schemeClr>
          </a:solidFill>
          <a:ln w="19050">
            <a:solidFill>
              <a:schemeClr val="lt1"/>
            </a:solidFill>
          </a:ln>
          <a:effectLst/>
        </c:spPr>
      </c:pivotFmt>
      <c:pivotFmt>
        <c:idx val="20"/>
        <c:spPr>
          <a:solidFill>
            <a:srgbClr val="CCE9AD"/>
          </a:solidFill>
          <a:ln w="19050">
            <a:solidFill>
              <a:schemeClr val="lt1"/>
            </a:solidFill>
          </a:ln>
          <a:effectLst/>
        </c:spPr>
      </c:pivotFmt>
      <c:pivotFmt>
        <c:idx val="21"/>
        <c:spPr>
          <a:solidFill>
            <a:srgbClr val="FA86E1"/>
          </a:solidFill>
          <a:ln w="19050">
            <a:solidFill>
              <a:schemeClr val="lt1"/>
            </a:solidFill>
          </a:ln>
          <a:effectLst/>
        </c:spPr>
      </c:pivotFmt>
      <c:pivotFmt>
        <c:idx val="22"/>
        <c:spPr>
          <a:solidFill>
            <a:schemeClr val="accent2"/>
          </a:solidFill>
          <a:ln w="19050">
            <a:solidFill>
              <a:schemeClr val="lt1"/>
            </a:solidFill>
          </a:ln>
          <a:effectLst/>
        </c:spPr>
      </c:pivotFmt>
    </c:pivotFmts>
    <c:plotArea>
      <c:layout/>
      <c:barChart>
        <c:barDir val="col"/>
        <c:grouping val="stacked"/>
        <c:varyColors val="0"/>
        <c:ser>
          <c:idx val="0"/>
          <c:order val="0"/>
          <c:tx>
            <c:strRef>
              <c:f>location!$B$3</c:f>
              <c:strCache>
                <c:ptCount val="1"/>
                <c:pt idx="0">
                  <c:v>Total</c:v>
                </c:pt>
              </c:strCache>
            </c:strRef>
          </c:tx>
          <c:spPr>
            <a:solidFill>
              <a:schemeClr val="accent2"/>
            </a:solidFill>
            <a:ln w="19050">
              <a:solidFill>
                <a:schemeClr val="lt1"/>
              </a:solidFill>
            </a:ln>
            <a:effectLst/>
          </c:spPr>
          <c:invertIfNegative val="0"/>
          <c:dPt>
            <c:idx val="1"/>
            <c:invertIfNegative val="0"/>
            <c:bubble3D val="0"/>
            <c:extLst>
              <c:ext xmlns:c16="http://schemas.microsoft.com/office/drawing/2014/chart" uri="{C3380CC4-5D6E-409C-BE32-E72D297353CC}">
                <c16:uniqueId val="{00000003-FEFA-483E-A841-9B221ECFE82A}"/>
              </c:ext>
            </c:extLst>
          </c:dPt>
          <c:dPt>
            <c:idx val="2"/>
            <c:invertIfNegative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FEFA-483E-A841-9B221ECFE82A}"/>
              </c:ext>
            </c:extLst>
          </c:dPt>
          <c:dPt>
            <c:idx val="3"/>
            <c:invertIfNegative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A1B8-4DD6-9B54-3A9519E2CD9D}"/>
              </c:ext>
            </c:extLst>
          </c:dPt>
          <c:dPt>
            <c:idx val="4"/>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FEFA-483E-A841-9B221ECFE82A}"/>
              </c:ext>
            </c:extLst>
          </c:dPt>
          <c:dPt>
            <c:idx val="5"/>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8-A1B8-4DD6-9B54-3A9519E2CD9D}"/>
              </c:ext>
            </c:extLst>
          </c:dPt>
          <c:dPt>
            <c:idx val="7"/>
            <c:invertIfNegative val="0"/>
            <c:bubble3D val="0"/>
            <c:spPr>
              <a:solidFill>
                <a:srgbClr val="CCE9AD"/>
              </a:solidFill>
              <a:ln w="19050">
                <a:solidFill>
                  <a:schemeClr val="lt1"/>
                </a:solidFill>
              </a:ln>
              <a:effectLst/>
            </c:spPr>
            <c:extLst>
              <c:ext xmlns:c16="http://schemas.microsoft.com/office/drawing/2014/chart" uri="{C3380CC4-5D6E-409C-BE32-E72D297353CC}">
                <c16:uniqueId val="{0000000F-FEFA-483E-A841-9B221ECFE82A}"/>
              </c:ext>
            </c:extLst>
          </c:dPt>
          <c:dPt>
            <c:idx val="8"/>
            <c:invertIfNegative val="0"/>
            <c:bubble3D val="0"/>
            <c:spPr>
              <a:solidFill>
                <a:srgbClr val="FA86E1"/>
              </a:solidFill>
              <a:ln w="19050">
                <a:solidFill>
                  <a:schemeClr val="lt1"/>
                </a:solidFill>
              </a:ln>
              <a:effectLst/>
            </c:spPr>
            <c:extLst>
              <c:ext xmlns:c16="http://schemas.microsoft.com/office/drawing/2014/chart" uri="{C3380CC4-5D6E-409C-BE32-E72D297353CC}">
                <c16:uniqueId val="{00000011-FEFA-483E-A841-9B221ECFE82A}"/>
              </c:ext>
            </c:extLst>
          </c:dPt>
          <c:dPt>
            <c:idx val="9"/>
            <c:invertIfNegative val="0"/>
            <c:bubble3D val="0"/>
            <c:extLst>
              <c:ext xmlns:c16="http://schemas.microsoft.com/office/drawing/2014/chart" uri="{C3380CC4-5D6E-409C-BE32-E72D297353CC}">
                <c16:uniqueId val="{00000013-FEFA-483E-A841-9B221ECFE82A}"/>
              </c:ext>
            </c:extLst>
          </c:dPt>
          <c:cat>
            <c:strRef>
              <c:f>location!$A$4:$A$14</c:f>
              <c:strCache>
                <c:ptCount val="10"/>
                <c:pt idx="0">
                  <c:v>Ahmedabad</c:v>
                </c:pt>
                <c:pt idx="1">
                  <c:v>Delhi</c:v>
                </c:pt>
                <c:pt idx="2">
                  <c:v>Gurugram</c:v>
                </c:pt>
                <c:pt idx="3">
                  <c:v>Pune</c:v>
                </c:pt>
                <c:pt idx="4">
                  <c:v>Mumbai</c:v>
                </c:pt>
                <c:pt idx="5">
                  <c:v>Bangalore</c:v>
                </c:pt>
                <c:pt idx="6">
                  <c:v>Kolkata</c:v>
                </c:pt>
                <c:pt idx="7">
                  <c:v>Hyderabad</c:v>
                </c:pt>
                <c:pt idx="8">
                  <c:v>Chennai</c:v>
                </c:pt>
                <c:pt idx="9">
                  <c:v>Noida</c:v>
                </c:pt>
              </c:strCache>
            </c:strRef>
          </c:cat>
          <c:val>
            <c:numRef>
              <c:f>location!$B$4:$B$14</c:f>
              <c:numCache>
                <c:formatCode>General</c:formatCode>
                <c:ptCount val="10"/>
                <c:pt idx="0">
                  <c:v>56</c:v>
                </c:pt>
                <c:pt idx="1">
                  <c:v>47</c:v>
                </c:pt>
                <c:pt idx="2">
                  <c:v>46</c:v>
                </c:pt>
                <c:pt idx="3">
                  <c:v>43</c:v>
                </c:pt>
                <c:pt idx="4">
                  <c:v>43</c:v>
                </c:pt>
                <c:pt idx="5">
                  <c:v>43</c:v>
                </c:pt>
                <c:pt idx="6">
                  <c:v>42</c:v>
                </c:pt>
                <c:pt idx="7">
                  <c:v>36</c:v>
                </c:pt>
                <c:pt idx="8">
                  <c:v>36</c:v>
                </c:pt>
                <c:pt idx="9">
                  <c:v>33</c:v>
                </c:pt>
              </c:numCache>
            </c:numRef>
          </c:val>
          <c:extLst>
            <c:ext xmlns:c16="http://schemas.microsoft.com/office/drawing/2014/chart" uri="{C3380CC4-5D6E-409C-BE32-E72D297353CC}">
              <c16:uniqueId val="{00000014-FEFA-483E-A841-9B221ECFE82A}"/>
            </c:ext>
          </c:extLst>
        </c:ser>
        <c:dLbls>
          <c:showLegendKey val="0"/>
          <c:showVal val="0"/>
          <c:showCatName val="0"/>
          <c:showSerName val="0"/>
          <c:showPercent val="0"/>
          <c:showBubbleSize val="0"/>
        </c:dLbls>
        <c:gapWidth val="100"/>
        <c:overlap val="100"/>
        <c:axId val="1874436272"/>
        <c:axId val="1806298288"/>
      </c:barChart>
      <c:catAx>
        <c:axId val="1874436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98288"/>
        <c:crosses val="autoZero"/>
        <c:auto val="1"/>
        <c:lblAlgn val="ctr"/>
        <c:lblOffset val="100"/>
        <c:noMultiLvlLbl val="0"/>
      </c:catAx>
      <c:valAx>
        <c:axId val="180629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3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[Job_Market_Insights.xlsx]skills!PivotTable3</c:name>
    <c:fmtId val="14"/>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a:solidFill>
                  <a:srgbClr val="002060"/>
                </a:solidFill>
              </a:rPr>
              <a:t>Top</a:t>
            </a:r>
            <a:r>
              <a:rPr lang="en-IN" baseline="0">
                <a:solidFill>
                  <a:srgbClr val="002060"/>
                </a:solidFill>
              </a:rPr>
              <a:t> Skills Demand</a:t>
            </a:r>
          </a:p>
          <a:p>
            <a:pPr>
              <a:defRPr>
                <a:solidFill>
                  <a:srgbClr val="002060"/>
                </a:solidFill>
              </a:defRPr>
            </a:pPr>
            <a:endParaRPr lang="en-IN">
              <a:solidFill>
                <a:srgbClr val="002060"/>
              </a:solidFill>
            </a:endParaRPr>
          </a:p>
        </c:rich>
      </c:tx>
      <c:layout>
        <c:manualLayout>
          <c:xMode val="edge"/>
          <c:yMode val="edge"/>
          <c:x val="0.30029083919134913"/>
          <c:y val="5.005113530750426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skills!$B$3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skills!$A$4:$A$17</c:f>
              <c:strCache>
                <c:ptCount val="13"/>
                <c:pt idx="0">
                  <c:v>Statistics</c:v>
                </c:pt>
                <c:pt idx="1">
                  <c:v>Sql</c:v>
                </c:pt>
                <c:pt idx="2">
                  <c:v>Python</c:v>
                </c:pt>
                <c:pt idx="3">
                  <c:v>Deep Learning</c:v>
                </c:pt>
                <c:pt idx="4">
                  <c:v>Excel</c:v>
                </c:pt>
                <c:pt idx="5">
                  <c:v>Tableau</c:v>
                </c:pt>
                <c:pt idx="6">
                  <c:v>Power Query</c:v>
                </c:pt>
                <c:pt idx="7">
                  <c:v>Power Bi</c:v>
                </c:pt>
                <c:pt idx="8">
                  <c:v>Machine Learning</c:v>
                </c:pt>
                <c:pt idx="9">
                  <c:v>Tensorflow</c:v>
                </c:pt>
                <c:pt idx="10">
                  <c:v>Nlp</c:v>
                </c:pt>
                <c:pt idx="11">
                  <c:v>Ai</c:v>
                </c:pt>
                <c:pt idx="12">
                  <c:v>R</c:v>
                </c:pt>
              </c:strCache>
            </c:strRef>
          </c:cat>
          <c:val>
            <c:numRef>
              <c:f>skills!$B$4:$B$17</c:f>
              <c:numCache>
                <c:formatCode>General</c:formatCode>
                <c:ptCount val="13"/>
                <c:pt idx="0">
                  <c:v>149</c:v>
                </c:pt>
                <c:pt idx="1">
                  <c:v>128</c:v>
                </c:pt>
                <c:pt idx="2">
                  <c:v>114</c:v>
                </c:pt>
                <c:pt idx="3">
                  <c:v>113</c:v>
                </c:pt>
                <c:pt idx="4">
                  <c:v>110</c:v>
                </c:pt>
                <c:pt idx="5">
                  <c:v>108</c:v>
                </c:pt>
                <c:pt idx="6">
                  <c:v>108</c:v>
                </c:pt>
                <c:pt idx="7">
                  <c:v>100</c:v>
                </c:pt>
                <c:pt idx="8">
                  <c:v>100</c:v>
                </c:pt>
                <c:pt idx="9">
                  <c:v>78</c:v>
                </c:pt>
                <c:pt idx="10">
                  <c:v>77</c:v>
                </c:pt>
                <c:pt idx="11">
                  <c:v>74</c:v>
                </c:pt>
                <c:pt idx="12">
                  <c:v>67</c:v>
                </c:pt>
              </c:numCache>
            </c:numRef>
          </c:val>
          <c:extLst>
            <c:ext xmlns:c16="http://schemas.microsoft.com/office/drawing/2014/chart" uri="{C3380CC4-5D6E-409C-BE32-E72D297353CC}">
              <c16:uniqueId val="{00000000-D6E0-43ED-82C5-2DC71D18521E}"/>
            </c:ext>
          </c:extLst>
        </c:ser>
        <c:dLbls>
          <c:showLegendKey val="0"/>
          <c:showVal val="0"/>
          <c:showCatName val="0"/>
          <c:showSerName val="0"/>
          <c:showPercent val="0"/>
          <c:showBubbleSize val="0"/>
        </c:dLbls>
        <c:gapWidth val="150"/>
        <c:shape val="box"/>
        <c:axId val="197782496"/>
        <c:axId val="1981197680"/>
        <c:axId val="0"/>
      </c:bar3DChart>
      <c:catAx>
        <c:axId val="19778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97680"/>
        <c:crosses val="autoZero"/>
        <c:auto val="1"/>
        <c:lblAlgn val="ctr"/>
        <c:lblOffset val="100"/>
        <c:noMultiLvlLbl val="0"/>
      </c:catAx>
      <c:valAx>
        <c:axId val="198119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a:softEdge rad="469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[Job_Market_Insights.xlsx]Salary!PivotTable8</c:name>
    <c:fmtId val="12"/>
  </c:pivotSource>
  <c:chart>
    <c:title>
      <c:tx>
        <c:rich>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r>
              <a:rPr lang="en-US" sz="1600" b="1">
                <a:solidFill>
                  <a:srgbClr val="002060"/>
                </a:solidFill>
              </a:rPr>
              <a:t>Salary</a:t>
            </a:r>
            <a:r>
              <a:rPr lang="en-US" sz="1600" b="1" baseline="0">
                <a:solidFill>
                  <a:srgbClr val="002060"/>
                </a:solidFill>
              </a:rPr>
              <a:t> by Roles</a:t>
            </a:r>
            <a:endParaRPr lang="en-US" sz="1600" b="1">
              <a:solidFill>
                <a:srgbClr val="002060"/>
              </a:solidFill>
            </a:endParaRPr>
          </a:p>
        </c:rich>
      </c:tx>
      <c:layout>
        <c:manualLayout>
          <c:xMode val="edge"/>
          <c:yMode val="edge"/>
          <c:x val="0.36854155730533683"/>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C000"/>
          </a:solidFill>
          <a:ln>
            <a:noFill/>
          </a:ln>
          <a:effectLst/>
        </c:spPr>
      </c:pivotFmt>
      <c:pivotFmt>
        <c:idx val="2"/>
        <c:spPr>
          <a:solidFill>
            <a:srgbClr val="92D050"/>
          </a:solidFill>
          <a:ln>
            <a:noFill/>
          </a:ln>
          <a:effectLst/>
        </c:spPr>
      </c:pivotFmt>
      <c:pivotFmt>
        <c:idx val="3"/>
        <c:spPr>
          <a:solidFill>
            <a:srgbClr val="BA3CC4"/>
          </a:solidFill>
          <a:ln>
            <a:noFill/>
          </a:ln>
          <a:effectLst/>
        </c:spPr>
      </c:pivotFmt>
      <c:pivotFmt>
        <c:idx val="4"/>
        <c:spPr>
          <a:solidFill>
            <a:srgbClr val="FFFF66"/>
          </a:solidFill>
          <a:ln>
            <a:noFill/>
          </a:ln>
          <a:effectLst/>
        </c:spPr>
      </c:pivotFmt>
      <c:pivotFmt>
        <c:idx val="5"/>
        <c:spPr>
          <a:solidFill>
            <a:srgbClr val="F9B883"/>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pivotFmt>
      <c:pivotFmt>
        <c:idx val="8"/>
        <c:spPr>
          <a:solidFill>
            <a:srgbClr val="92D050"/>
          </a:solidFill>
          <a:ln>
            <a:noFill/>
          </a:ln>
          <a:effectLst/>
        </c:spPr>
      </c:pivotFmt>
      <c:pivotFmt>
        <c:idx val="9"/>
        <c:spPr>
          <a:solidFill>
            <a:srgbClr val="BA3CC4"/>
          </a:solidFill>
          <a:ln>
            <a:noFill/>
          </a:ln>
          <a:effectLst/>
        </c:spPr>
      </c:pivotFmt>
      <c:pivotFmt>
        <c:idx val="10"/>
        <c:spPr>
          <a:solidFill>
            <a:srgbClr val="FFFF66"/>
          </a:solidFill>
          <a:ln>
            <a:noFill/>
          </a:ln>
          <a:effectLst/>
        </c:spPr>
      </c:pivotFmt>
      <c:pivotFmt>
        <c:idx val="11"/>
        <c:spPr>
          <a:solidFill>
            <a:srgbClr val="F9B883"/>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pivotFmt>
      <c:pivotFmt>
        <c:idx val="14"/>
        <c:spPr>
          <a:solidFill>
            <a:srgbClr val="92D050"/>
          </a:solidFill>
          <a:ln>
            <a:noFill/>
          </a:ln>
          <a:effectLst/>
        </c:spPr>
      </c:pivotFmt>
      <c:pivotFmt>
        <c:idx val="15"/>
        <c:spPr>
          <a:solidFill>
            <a:srgbClr val="BA3CC4"/>
          </a:solidFill>
          <a:ln>
            <a:noFill/>
          </a:ln>
          <a:effectLst/>
        </c:spPr>
      </c:pivotFmt>
      <c:pivotFmt>
        <c:idx val="16"/>
        <c:spPr>
          <a:solidFill>
            <a:srgbClr val="FFFF66"/>
          </a:solidFill>
          <a:ln>
            <a:noFill/>
          </a:ln>
          <a:effectLst/>
        </c:spPr>
      </c:pivotFmt>
      <c:pivotFmt>
        <c:idx val="17"/>
        <c:spPr>
          <a:solidFill>
            <a:srgbClr val="F9B883"/>
          </a:solidFill>
          <a:ln>
            <a:noFill/>
          </a:ln>
          <a:effectLst/>
        </c:spPr>
      </c:pivotFmt>
    </c:pivotFmts>
    <c:plotArea>
      <c:layout/>
      <c:barChart>
        <c:barDir val="col"/>
        <c:grouping val="stacked"/>
        <c:varyColors val="0"/>
        <c:ser>
          <c:idx val="0"/>
          <c:order val="0"/>
          <c:tx>
            <c:strRef>
              <c:f>Salary!$B$3</c:f>
              <c:strCache>
                <c:ptCount val="1"/>
                <c:pt idx="0">
                  <c:v>Total</c:v>
                </c:pt>
              </c:strCache>
            </c:strRef>
          </c:tx>
          <c:spPr>
            <a:solidFill>
              <a:schemeClr val="accent1"/>
            </a:solidFill>
            <a:ln>
              <a:noFill/>
            </a:ln>
            <a:effectLst/>
          </c:spPr>
          <c:invertIfNegative val="0"/>
          <c:dPt>
            <c:idx val="1"/>
            <c:invertIfNegative val="0"/>
            <c:bubble3D val="0"/>
            <c:spPr>
              <a:solidFill>
                <a:srgbClr val="BA3CC4"/>
              </a:solidFill>
              <a:ln>
                <a:noFill/>
              </a:ln>
              <a:effectLst/>
            </c:spPr>
            <c:extLst>
              <c:ext xmlns:c16="http://schemas.microsoft.com/office/drawing/2014/chart" uri="{C3380CC4-5D6E-409C-BE32-E72D297353CC}">
                <c16:uniqueId val="{00000001-DA95-4D5E-8675-5B8360474893}"/>
              </c:ext>
            </c:extLst>
          </c:dPt>
          <c:dPt>
            <c:idx val="2"/>
            <c:invertIfNegative val="0"/>
            <c:bubble3D val="0"/>
            <c:extLst>
              <c:ext xmlns:c16="http://schemas.microsoft.com/office/drawing/2014/chart" uri="{C3380CC4-5D6E-409C-BE32-E72D297353CC}">
                <c16:uniqueId val="{00000003-DA95-4D5E-8675-5B8360474893}"/>
              </c:ext>
            </c:extLst>
          </c:dPt>
          <c:dPt>
            <c:idx val="3"/>
            <c:invertIfNegative val="0"/>
            <c:bubble3D val="0"/>
            <c:spPr>
              <a:solidFill>
                <a:srgbClr val="FFC000"/>
              </a:solidFill>
              <a:ln>
                <a:noFill/>
              </a:ln>
              <a:effectLst/>
            </c:spPr>
            <c:extLst>
              <c:ext xmlns:c16="http://schemas.microsoft.com/office/drawing/2014/chart" uri="{C3380CC4-5D6E-409C-BE32-E72D297353CC}">
                <c16:uniqueId val="{00000005-DA95-4D5E-8675-5B8360474893}"/>
              </c:ext>
            </c:extLst>
          </c:dPt>
          <c:dPt>
            <c:idx val="4"/>
            <c:invertIfNegative val="0"/>
            <c:bubble3D val="0"/>
            <c:spPr>
              <a:solidFill>
                <a:srgbClr val="FFFF66"/>
              </a:solidFill>
              <a:ln>
                <a:noFill/>
              </a:ln>
              <a:effectLst/>
            </c:spPr>
            <c:extLst>
              <c:ext xmlns:c16="http://schemas.microsoft.com/office/drawing/2014/chart" uri="{C3380CC4-5D6E-409C-BE32-E72D297353CC}">
                <c16:uniqueId val="{00000007-DA95-4D5E-8675-5B8360474893}"/>
              </c:ext>
            </c:extLst>
          </c:dPt>
          <c:dPt>
            <c:idx val="5"/>
            <c:invertIfNegative val="0"/>
            <c:bubble3D val="0"/>
            <c:spPr>
              <a:solidFill>
                <a:srgbClr val="92D050"/>
              </a:solidFill>
              <a:ln>
                <a:noFill/>
              </a:ln>
              <a:effectLst/>
            </c:spPr>
            <c:extLst>
              <c:ext xmlns:c16="http://schemas.microsoft.com/office/drawing/2014/chart" uri="{C3380CC4-5D6E-409C-BE32-E72D297353CC}">
                <c16:uniqueId val="{00000009-DA95-4D5E-8675-5B8360474893}"/>
              </c:ext>
            </c:extLst>
          </c:dPt>
          <c:dPt>
            <c:idx val="9"/>
            <c:invertIfNegative val="0"/>
            <c:bubble3D val="0"/>
            <c:spPr>
              <a:solidFill>
                <a:srgbClr val="F9B883"/>
              </a:solidFill>
              <a:ln>
                <a:noFill/>
              </a:ln>
              <a:effectLst/>
            </c:spPr>
            <c:extLst>
              <c:ext xmlns:c16="http://schemas.microsoft.com/office/drawing/2014/chart" uri="{C3380CC4-5D6E-409C-BE32-E72D297353CC}">
                <c16:uniqueId val="{0000000A-6924-4061-9D96-DCDB397520D7}"/>
              </c:ext>
            </c:extLst>
          </c:dPt>
          <c:cat>
            <c:strRef>
              <c:f>Salary!$A$4:$A$14</c:f>
              <c:strCache>
                <c:ptCount val="10"/>
                <c:pt idx="0">
                  <c:v>Ml Engineer</c:v>
                </c:pt>
                <c:pt idx="1">
                  <c:v>Business Analyst</c:v>
                </c:pt>
                <c:pt idx="2">
                  <c:v>Ai/Ml Analyst</c:v>
                </c:pt>
                <c:pt idx="3">
                  <c:v>Ai Engineer</c:v>
                </c:pt>
                <c:pt idx="4">
                  <c:v>Data Analyst</c:v>
                </c:pt>
                <c:pt idx="5">
                  <c:v>Data Scientist</c:v>
                </c:pt>
                <c:pt idx="6">
                  <c:v>Bi Analyst</c:v>
                </c:pt>
                <c:pt idx="7">
                  <c:v>Machine Learning Scientist</c:v>
                </c:pt>
                <c:pt idx="8">
                  <c:v>Product Data Analyst</c:v>
                </c:pt>
                <c:pt idx="9">
                  <c:v>Data Engineer</c:v>
                </c:pt>
              </c:strCache>
            </c:strRef>
          </c:cat>
          <c:val>
            <c:numRef>
              <c:f>Salary!$B$4:$B$14</c:f>
              <c:numCache>
                <c:formatCode>_(* #,##0.00_);_(* \(#,##0.00\);_(* "-"??_);_(@_)</c:formatCode>
                <c:ptCount val="10"/>
                <c:pt idx="0">
                  <c:v>11.694444444444443</c:v>
                </c:pt>
                <c:pt idx="1">
                  <c:v>10.828125000000002</c:v>
                </c:pt>
                <c:pt idx="2">
                  <c:v>10.565000000000001</c:v>
                </c:pt>
                <c:pt idx="3">
                  <c:v>10.172857142857145</c:v>
                </c:pt>
                <c:pt idx="4">
                  <c:v>10.172549019607844</c:v>
                </c:pt>
                <c:pt idx="5">
                  <c:v>9.9837837837837871</c:v>
                </c:pt>
                <c:pt idx="6">
                  <c:v>9.6052083333333336</c:v>
                </c:pt>
                <c:pt idx="7">
                  <c:v>9.4271739130434771</c:v>
                </c:pt>
                <c:pt idx="8">
                  <c:v>8.838461538461539</c:v>
                </c:pt>
                <c:pt idx="9">
                  <c:v>8.6466666666666665</c:v>
                </c:pt>
              </c:numCache>
            </c:numRef>
          </c:val>
          <c:extLst>
            <c:ext xmlns:c16="http://schemas.microsoft.com/office/drawing/2014/chart" uri="{C3380CC4-5D6E-409C-BE32-E72D297353CC}">
              <c16:uniqueId val="{0000000A-DA95-4D5E-8675-5B8360474893}"/>
            </c:ext>
          </c:extLst>
        </c:ser>
        <c:dLbls>
          <c:showLegendKey val="0"/>
          <c:showVal val="0"/>
          <c:showCatName val="0"/>
          <c:showSerName val="0"/>
          <c:showPercent val="0"/>
          <c:showBubbleSize val="0"/>
        </c:dLbls>
        <c:gapWidth val="150"/>
        <c:overlap val="100"/>
        <c:axId val="1807601712"/>
        <c:axId val="1806286768"/>
      </c:barChart>
      <c:catAx>
        <c:axId val="18076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86768"/>
        <c:crosses val="autoZero"/>
        <c:auto val="1"/>
        <c:lblAlgn val="ctr"/>
        <c:lblOffset val="100"/>
        <c:noMultiLvlLbl val="0"/>
      </c:catAx>
      <c:valAx>
        <c:axId val="180628676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60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[Job_Market_Insights.xlsx]work mode!PivotTable6</c:name>
    <c:fmtId val="7"/>
  </c:pivotSource>
  <c:chart>
    <c:title>
      <c:tx>
        <c:rich>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r>
              <a:rPr lang="en-IN" sz="1600" b="1">
                <a:solidFill>
                  <a:srgbClr val="002060"/>
                </a:solidFill>
              </a:rPr>
              <a:t>Work</a:t>
            </a:r>
            <a:r>
              <a:rPr lang="en-IN" sz="1600" b="1" baseline="0">
                <a:solidFill>
                  <a:srgbClr val="002060"/>
                </a:solidFill>
              </a:rPr>
              <a:t> mode</a:t>
            </a:r>
            <a:endParaRPr lang="en-IN" sz="1600" b="1">
              <a:solidFill>
                <a:srgbClr val="002060"/>
              </a:solidFill>
            </a:endParaRPr>
          </a:p>
        </c:rich>
      </c:tx>
      <c:layout>
        <c:manualLayout>
          <c:xMode val="edge"/>
          <c:yMode val="edge"/>
          <c:x val="0.57062756145185456"/>
          <c:y val="4.598845178877304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4"/>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5"/>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7"/>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s>
    <c:plotArea>
      <c:layout/>
      <c:pieChart>
        <c:varyColors val="1"/>
        <c:ser>
          <c:idx val="0"/>
          <c:order val="0"/>
          <c:tx>
            <c:strRef>
              <c:f>'work mode'!$B$3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extLst>
              <c:ext xmlns:c16="http://schemas.microsoft.com/office/drawing/2014/chart" uri="{C3380CC4-5D6E-409C-BE32-E72D297353CC}">
                <c16:uniqueId val="{00000001-0ACF-4395-8A17-C49143617C92}"/>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extLst>
              <c:ext xmlns:c16="http://schemas.microsoft.com/office/drawing/2014/chart" uri="{C3380CC4-5D6E-409C-BE32-E72D297353CC}">
                <c16:uniqueId val="{00000003-0ACF-4395-8A17-C49143617C92}"/>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extLst>
              <c:ext xmlns:c16="http://schemas.microsoft.com/office/drawing/2014/chart" uri="{C3380CC4-5D6E-409C-BE32-E72D297353CC}">
                <c16:uniqueId val="{00000005-0ACF-4395-8A17-C49143617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mode'!$A$4:$A$7</c:f>
              <c:strCache>
                <c:ptCount val="3"/>
                <c:pt idx="0">
                  <c:v>Hybrid</c:v>
                </c:pt>
                <c:pt idx="1">
                  <c:v>On-Site</c:v>
                </c:pt>
                <c:pt idx="2">
                  <c:v>Remote</c:v>
                </c:pt>
              </c:strCache>
            </c:strRef>
          </c:cat>
          <c:val>
            <c:numRef>
              <c:f>'work mode'!$B$4:$B$7</c:f>
              <c:numCache>
                <c:formatCode>General</c:formatCode>
                <c:ptCount val="3"/>
                <c:pt idx="0">
                  <c:v>221</c:v>
                </c:pt>
                <c:pt idx="1">
                  <c:v>142</c:v>
                </c:pt>
                <c:pt idx="2">
                  <c:v>62</c:v>
                </c:pt>
              </c:numCache>
            </c:numRef>
          </c:val>
          <c:extLst>
            <c:ext xmlns:c16="http://schemas.microsoft.com/office/drawing/2014/chart" uri="{C3380CC4-5D6E-409C-BE32-E72D297353CC}">
              <c16:uniqueId val="{00000006-0ACF-4395-8A17-C49143617C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[Job_Market_Insights.xlsx]type!PivotTable7</c:name>
    <c:fmtId val="12"/>
  </c:pivotSource>
  <c:chart>
    <c:title>
      <c:tx>
        <c:rich>
          <a:bodyPr rot="0" spcFirstLastPara="1" vertOverflow="ellipsis" vert="horz" wrap="square" anchor="ctr" anchorCtr="1"/>
          <a:lstStyle/>
          <a:p>
            <a:pPr>
              <a:defRPr sz="1600" b="1" i="0" u="none" strike="noStrike" kern="1200" cap="all" spc="150" baseline="0">
                <a:solidFill>
                  <a:srgbClr val="002060"/>
                </a:solidFill>
                <a:latin typeface="+mn-lt"/>
                <a:ea typeface="+mn-ea"/>
                <a:cs typeface="+mn-cs"/>
              </a:defRPr>
            </a:pPr>
            <a:r>
              <a:rPr lang="en-US" sz="1600">
                <a:solidFill>
                  <a:srgbClr val="002060"/>
                </a:solidFill>
              </a:rPr>
              <a:t>Job</a:t>
            </a:r>
            <a:r>
              <a:rPr lang="en-US" sz="1600" baseline="0">
                <a:solidFill>
                  <a:srgbClr val="002060"/>
                </a:solidFill>
              </a:rPr>
              <a:t> Type</a:t>
            </a:r>
            <a:endParaRPr lang="en-US" sz="1600">
              <a:solidFill>
                <a:srgbClr val="002060"/>
              </a:solidFill>
            </a:endParaRPr>
          </a:p>
        </c:rich>
      </c:tx>
      <c:layout>
        <c:manualLayout>
          <c:xMode val="edge"/>
          <c:yMode val="edge"/>
          <c:x val="0.54971449114503712"/>
          <c:y val="3.131362987873041E-2"/>
        </c:manualLayout>
      </c:layout>
      <c:overlay val="0"/>
      <c:spPr>
        <a:noFill/>
        <a:ln>
          <a:noFill/>
        </a:ln>
        <a:effectLst/>
      </c:spPr>
      <c:txPr>
        <a:bodyPr rot="0" spcFirstLastPara="1" vertOverflow="ellipsis" vert="horz" wrap="square" anchor="ctr" anchorCtr="1"/>
        <a:lstStyle/>
        <a:p>
          <a:pPr>
            <a:defRPr sz="1600" b="1" i="0" u="none" strike="noStrike" kern="1200" cap="all" spc="150" baseline="0">
              <a:solidFill>
                <a:srgbClr val="002060"/>
              </a:solidFill>
              <a:latin typeface="+mn-lt"/>
              <a:ea typeface="+mn-ea"/>
              <a:cs typeface="+mn-cs"/>
            </a:defRPr>
          </a:pPr>
          <a:endParaRPr lang="en-US"/>
        </a:p>
      </c:txPr>
    </c:title>
    <c:autoTitleDeleted val="0"/>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pieChart>
        <c:varyColors val="1"/>
        <c:ser>
          <c:idx val="0"/>
          <c:order val="0"/>
          <c:tx>
            <c:strRef>
              <c:f>type!$B$3</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8E66-43B2-9115-068273C2C68F}"/>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8E66-43B2-9115-068273C2C68F}"/>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8E66-43B2-9115-068273C2C6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type!$A$4:$A$7</c:f>
              <c:strCache>
                <c:ptCount val="3"/>
                <c:pt idx="0">
                  <c:v>Full Time</c:v>
                </c:pt>
                <c:pt idx="1">
                  <c:v>Contract</c:v>
                </c:pt>
                <c:pt idx="2">
                  <c:v>Internship</c:v>
                </c:pt>
              </c:strCache>
            </c:strRef>
          </c:cat>
          <c:val>
            <c:numRef>
              <c:f>type!$B$4:$B$7</c:f>
              <c:numCache>
                <c:formatCode>General</c:formatCode>
                <c:ptCount val="3"/>
                <c:pt idx="0">
                  <c:v>313</c:v>
                </c:pt>
                <c:pt idx="1">
                  <c:v>68</c:v>
                </c:pt>
                <c:pt idx="2">
                  <c:v>44</c:v>
                </c:pt>
              </c:numCache>
            </c:numRef>
          </c:val>
          <c:extLst>
            <c:ext xmlns:c16="http://schemas.microsoft.com/office/drawing/2014/chart" uri="{C3380CC4-5D6E-409C-BE32-E72D297353CC}">
              <c16:uniqueId val="{00000006-8E66-43B2-9115-068273C2C68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[Job_Market_Insights.xlsx]Experience!PivotTable5</c:name>
    <c:fmtId val="1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solidFill>
                  <a:srgbClr val="002060"/>
                </a:solidFill>
              </a:rPr>
              <a:t>Experience</a:t>
            </a:r>
            <a:r>
              <a:rPr lang="en-IN" sz="1600" b="1">
                <a:solidFill>
                  <a:schemeClr val="tx2">
                    <a:lumMod val="50000"/>
                  </a:schemeClr>
                </a:solidFill>
              </a:rPr>
              <a:t> Level</a:t>
            </a:r>
          </a:p>
        </c:rich>
      </c:tx>
      <c:layout>
        <c:manualLayout>
          <c:xMode val="edge"/>
          <c:yMode val="edge"/>
          <c:x val="0.3345256587872088"/>
          <c:y val="4.21838763009847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pivotFmt>
      <c:pivotFmt>
        <c:idx val="9"/>
        <c:spPr>
          <a:solidFill>
            <a:srgbClr val="00B0F0"/>
          </a:solidFill>
          <a:ln w="19050">
            <a:solidFill>
              <a:schemeClr val="lt1"/>
            </a:solidFill>
          </a:ln>
          <a:effectLst/>
        </c:spPr>
      </c:pivotFmt>
      <c:pivotFmt>
        <c:idx val="10"/>
        <c:spPr>
          <a:solidFill>
            <a:srgbClr val="902E98"/>
          </a:solidFill>
          <a:ln w="19050">
            <a:solidFill>
              <a:schemeClr val="lt1"/>
            </a:solidFill>
          </a:ln>
          <a:effectLst/>
        </c:spPr>
      </c:pivotFmt>
      <c:pivotFmt>
        <c:idx val="11"/>
        <c:spPr>
          <a:solidFill>
            <a:srgbClr val="18F4D5"/>
          </a:solidFill>
          <a:ln w="19050">
            <a:solidFill>
              <a:schemeClr val="lt1"/>
            </a:solidFill>
          </a:ln>
          <a:effectLst/>
        </c:spPr>
      </c:pivotFmt>
      <c:pivotFmt>
        <c:idx val="12"/>
      </c:pivotFmt>
    </c:pivotFmts>
    <c:plotArea>
      <c:layout/>
      <c:barChart>
        <c:barDir val="col"/>
        <c:grouping val="clustered"/>
        <c:varyColors val="0"/>
        <c:ser>
          <c:idx val="0"/>
          <c:order val="0"/>
          <c:tx>
            <c:strRef>
              <c:f>Experience!$B$3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1-B3A7-498E-8DC8-C33405F63A2C}"/>
              </c:ext>
            </c:extLst>
          </c:dPt>
          <c:dPt>
            <c:idx val="1"/>
            <c:invertIfNegative val="0"/>
            <c:bubble3D val="0"/>
            <c:spPr>
              <a:solidFill>
                <a:srgbClr val="00B0F0"/>
              </a:solidFill>
              <a:ln w="19050">
                <a:solidFill>
                  <a:schemeClr val="lt1"/>
                </a:solidFill>
              </a:ln>
              <a:effectLst/>
            </c:spPr>
            <c:extLst>
              <c:ext xmlns:c16="http://schemas.microsoft.com/office/drawing/2014/chart" uri="{C3380CC4-5D6E-409C-BE32-E72D297353CC}">
                <c16:uniqueId val="{00000003-B3A7-498E-8DC8-C33405F63A2C}"/>
              </c:ext>
            </c:extLst>
          </c:dPt>
          <c:dPt>
            <c:idx val="2"/>
            <c:invertIfNegative val="0"/>
            <c:bubble3D val="0"/>
            <c:spPr>
              <a:solidFill>
                <a:srgbClr val="902E98"/>
              </a:solidFill>
              <a:ln w="19050">
                <a:solidFill>
                  <a:schemeClr val="lt1"/>
                </a:solidFill>
              </a:ln>
              <a:effectLst/>
            </c:spPr>
            <c:extLst>
              <c:ext xmlns:c16="http://schemas.microsoft.com/office/drawing/2014/chart" uri="{C3380CC4-5D6E-409C-BE32-E72D297353CC}">
                <c16:uniqueId val="{00000005-B3A7-498E-8DC8-C33405F63A2C}"/>
              </c:ext>
            </c:extLst>
          </c:dPt>
          <c:dPt>
            <c:idx val="3"/>
            <c:invertIfNegative val="0"/>
            <c:bubble3D val="0"/>
            <c:spPr>
              <a:solidFill>
                <a:srgbClr val="18F4D5"/>
              </a:solidFill>
              <a:ln w="19050">
                <a:solidFill>
                  <a:schemeClr val="lt1"/>
                </a:solidFill>
              </a:ln>
              <a:effectLst/>
            </c:spPr>
            <c:extLst>
              <c:ext xmlns:c16="http://schemas.microsoft.com/office/drawing/2014/chart" uri="{C3380CC4-5D6E-409C-BE32-E72D297353CC}">
                <c16:uniqueId val="{00000007-B3A7-498E-8DC8-C33405F63A2C}"/>
              </c:ext>
            </c:extLst>
          </c:dPt>
          <c:cat>
            <c:strRef>
              <c:f>Experience!$A$4:$A$8</c:f>
              <c:strCache>
                <c:ptCount val="4"/>
                <c:pt idx="0">
                  <c:v>0-2 Years</c:v>
                </c:pt>
                <c:pt idx="1">
                  <c:v>3-5 Years</c:v>
                </c:pt>
                <c:pt idx="2">
                  <c:v>1-3 Years</c:v>
                </c:pt>
                <c:pt idx="3">
                  <c:v>2-5 Years</c:v>
                </c:pt>
              </c:strCache>
            </c:strRef>
          </c:cat>
          <c:val>
            <c:numRef>
              <c:f>Experience!$B$4:$B$8</c:f>
              <c:numCache>
                <c:formatCode>General</c:formatCode>
                <c:ptCount val="4"/>
                <c:pt idx="0">
                  <c:v>137</c:v>
                </c:pt>
                <c:pt idx="1">
                  <c:v>108</c:v>
                </c:pt>
                <c:pt idx="2">
                  <c:v>95</c:v>
                </c:pt>
                <c:pt idx="3">
                  <c:v>85</c:v>
                </c:pt>
              </c:numCache>
            </c:numRef>
          </c:val>
          <c:extLst>
            <c:ext xmlns:c16="http://schemas.microsoft.com/office/drawing/2014/chart" uri="{C3380CC4-5D6E-409C-BE32-E72D297353CC}">
              <c16:uniqueId val="{0000000A-B3A7-498E-8DC8-C33405F63A2C}"/>
            </c:ext>
          </c:extLst>
        </c:ser>
        <c:dLbls>
          <c:showLegendKey val="0"/>
          <c:showVal val="0"/>
          <c:showCatName val="0"/>
          <c:showSerName val="0"/>
          <c:showPercent val="0"/>
          <c:showBubbleSize val="0"/>
        </c:dLbls>
        <c:gapWidth val="100"/>
        <c:axId val="2030989920"/>
        <c:axId val="1806392368"/>
      </c:barChart>
      <c:catAx>
        <c:axId val="2030989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392368"/>
        <c:crosses val="autoZero"/>
        <c:auto val="1"/>
        <c:lblAlgn val="ctr"/>
        <c:lblOffset val="100"/>
        <c:noMultiLvlLbl val="0"/>
      </c:catAx>
      <c:valAx>
        <c:axId val="180639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8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[Job_Market_Insights.xlsx]jobrole!PivotTable1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Jobs</a:t>
            </a:r>
            <a:r>
              <a:rPr lang="en-IN" baseline="0"/>
              <a:t> by Job Role</a:t>
            </a:r>
            <a:endParaRPr lang="en-IN"/>
          </a:p>
        </c:rich>
      </c:tx>
      <c:layout>
        <c:manualLayout>
          <c:xMode val="edge"/>
          <c:yMode val="edge"/>
          <c:x val="0.3735277777777777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pivotFmt>
      <c:pivotFmt>
        <c:idx val="2"/>
        <c:spPr>
          <a:solidFill>
            <a:schemeClr val="accent6"/>
          </a:solidFill>
          <a:ln>
            <a:noFill/>
          </a:ln>
          <a:effectLst/>
        </c:spPr>
      </c:pivotFmt>
      <c:pivotFmt>
        <c:idx val="3"/>
        <c:spPr>
          <a:solidFill>
            <a:srgbClr val="00B050"/>
          </a:solidFill>
          <a:ln>
            <a:noFill/>
          </a:ln>
          <a:effectLst/>
        </c:spPr>
      </c:pivotFmt>
      <c:pivotFmt>
        <c:idx val="4"/>
        <c:spPr>
          <a:solidFill>
            <a:schemeClr val="accent4"/>
          </a:solidFill>
          <a:ln>
            <a:noFill/>
          </a:ln>
          <a:effectLst/>
        </c:spPr>
      </c:pivotFmt>
      <c:pivotFmt>
        <c:idx val="5"/>
        <c:spPr>
          <a:solidFill>
            <a:schemeClr val="bg2">
              <a:lumMod val="75000"/>
            </a:schemeClr>
          </a:solidFill>
          <a:ln>
            <a:noFill/>
          </a:ln>
          <a:effectLst/>
        </c:spPr>
      </c:pivotFmt>
      <c:pivotFmt>
        <c:idx val="6"/>
        <c:spPr>
          <a:solidFill>
            <a:schemeClr val="accent6">
              <a:lumMod val="60000"/>
              <a:lumOff val="40000"/>
            </a:schemeClr>
          </a:solidFill>
          <a:ln>
            <a:noFill/>
          </a:ln>
          <a:effectLst/>
        </c:spPr>
      </c:pivotFmt>
      <c:pivotFmt>
        <c:idx val="7"/>
        <c:spPr>
          <a:solidFill>
            <a:srgbClr val="C00000"/>
          </a:solidFill>
          <a:ln>
            <a:noFill/>
          </a:ln>
          <a:effectLst/>
        </c:spPr>
      </c:pivotFmt>
      <c:pivotFmt>
        <c:idx val="8"/>
        <c:spPr>
          <a:solidFill>
            <a:schemeClr val="tx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60000"/>
              <a:lumOff val="40000"/>
            </a:schemeClr>
          </a:solidFill>
          <a:ln>
            <a:noFill/>
          </a:ln>
          <a:effectLst/>
        </c:spPr>
      </c:pivotFmt>
    </c:pivotFmts>
    <c:plotArea>
      <c:layout>
        <c:manualLayout>
          <c:layoutTarget val="inner"/>
          <c:xMode val="edge"/>
          <c:yMode val="edge"/>
          <c:x val="7.8373140857392831E-2"/>
          <c:y val="0.22624781277340328"/>
          <c:w val="0.81077493438320214"/>
          <c:h val="0.37470727617381155"/>
        </c:manualLayout>
      </c:layout>
      <c:barChart>
        <c:barDir val="col"/>
        <c:grouping val="clustered"/>
        <c:varyColors val="0"/>
        <c:ser>
          <c:idx val="0"/>
          <c:order val="0"/>
          <c:tx>
            <c:strRef>
              <c:f>jobrole!$B$3</c:f>
              <c:strCache>
                <c:ptCount val="1"/>
                <c:pt idx="0">
                  <c:v>Total</c:v>
                </c:pt>
              </c:strCache>
            </c:strRef>
          </c:tx>
          <c:spPr>
            <a:solidFill>
              <a:schemeClr val="accent1"/>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2-9AF4-4BF7-A6F8-8B81857E998F}"/>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9AF4-4BF7-A6F8-8B81857E998F}"/>
              </c:ext>
            </c:extLst>
          </c:dPt>
          <c:dPt>
            <c:idx val="2"/>
            <c:invertIfNegative val="0"/>
            <c:bubble3D val="0"/>
            <c:spPr>
              <a:solidFill>
                <a:srgbClr val="00B050"/>
              </a:solidFill>
              <a:ln>
                <a:noFill/>
              </a:ln>
              <a:effectLst/>
            </c:spPr>
            <c:extLst>
              <c:ext xmlns:c16="http://schemas.microsoft.com/office/drawing/2014/chart" uri="{C3380CC4-5D6E-409C-BE32-E72D297353CC}">
                <c16:uniqueId val="{00000004-9AF4-4BF7-A6F8-8B81857E998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9AF4-4BF7-A6F8-8B81857E998F}"/>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9AF4-4BF7-A6F8-8B81857E998F}"/>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9AF4-4BF7-A6F8-8B81857E998F}"/>
              </c:ext>
            </c:extLst>
          </c:dPt>
          <c:dPt>
            <c:idx val="6"/>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D-C1AF-4C20-993E-906D70678E45}"/>
              </c:ext>
            </c:extLst>
          </c:dPt>
          <c:dPt>
            <c:idx val="7"/>
            <c:invertIfNegative val="0"/>
            <c:bubble3D val="0"/>
            <c:spPr>
              <a:solidFill>
                <a:schemeClr val="bg2">
                  <a:lumMod val="75000"/>
                </a:schemeClr>
              </a:solidFill>
              <a:ln>
                <a:noFill/>
              </a:ln>
              <a:effectLst/>
            </c:spPr>
            <c:extLst>
              <c:ext xmlns:c16="http://schemas.microsoft.com/office/drawing/2014/chart" uri="{C3380CC4-5D6E-409C-BE32-E72D297353CC}">
                <c16:uniqueId val="{0000000F-C1AF-4C20-993E-906D70678E45}"/>
              </c:ext>
            </c:extLst>
          </c:dPt>
          <c:dPt>
            <c:idx val="8"/>
            <c:invertIfNegative val="0"/>
            <c:bubble3D val="0"/>
            <c:spPr>
              <a:solidFill>
                <a:srgbClr val="C00000"/>
              </a:solidFill>
              <a:ln>
                <a:noFill/>
              </a:ln>
              <a:effectLst/>
            </c:spPr>
            <c:extLst>
              <c:ext xmlns:c16="http://schemas.microsoft.com/office/drawing/2014/chart" uri="{C3380CC4-5D6E-409C-BE32-E72D297353CC}">
                <c16:uniqueId val="{00000011-C1AF-4C20-993E-906D70678E45}"/>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3-C1AF-4C20-993E-906D70678E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jobrole!$A$4:$A$14</c:f>
              <c:strCache>
                <c:ptCount val="10"/>
                <c:pt idx="0">
                  <c:v>Data Analyst</c:v>
                </c:pt>
                <c:pt idx="1">
                  <c:v>Business Analyst</c:v>
                </c:pt>
                <c:pt idx="2">
                  <c:v>Bi Analyst</c:v>
                </c:pt>
                <c:pt idx="3">
                  <c:v>Machine Learning Scientist</c:v>
                </c:pt>
                <c:pt idx="4">
                  <c:v>Data Engineer</c:v>
                </c:pt>
                <c:pt idx="5">
                  <c:v>Ai/Ml Analyst</c:v>
                </c:pt>
                <c:pt idx="6">
                  <c:v>Product Data Analyst</c:v>
                </c:pt>
                <c:pt idx="7">
                  <c:v>Data Scientist</c:v>
                </c:pt>
                <c:pt idx="8">
                  <c:v>Ml Engineer</c:v>
                </c:pt>
                <c:pt idx="9">
                  <c:v>Ai Engineer</c:v>
                </c:pt>
              </c:strCache>
            </c:strRef>
          </c:cat>
          <c:val>
            <c:numRef>
              <c:f>jobrole!$B$4:$B$14</c:f>
              <c:numCache>
                <c:formatCode>General</c:formatCode>
                <c:ptCount val="10"/>
                <c:pt idx="0">
                  <c:v>51</c:v>
                </c:pt>
                <c:pt idx="1">
                  <c:v>48</c:v>
                </c:pt>
                <c:pt idx="2">
                  <c:v>48</c:v>
                </c:pt>
                <c:pt idx="3">
                  <c:v>46</c:v>
                </c:pt>
                <c:pt idx="4">
                  <c:v>45</c:v>
                </c:pt>
                <c:pt idx="5">
                  <c:v>40</c:v>
                </c:pt>
                <c:pt idx="6">
                  <c:v>39</c:v>
                </c:pt>
                <c:pt idx="7">
                  <c:v>37</c:v>
                </c:pt>
                <c:pt idx="8">
                  <c:v>36</c:v>
                </c:pt>
                <c:pt idx="9">
                  <c:v>35</c:v>
                </c:pt>
              </c:numCache>
            </c:numRef>
          </c:val>
          <c:extLst>
            <c:ext xmlns:c16="http://schemas.microsoft.com/office/drawing/2014/chart" uri="{C3380CC4-5D6E-409C-BE32-E72D297353CC}">
              <c16:uniqueId val="{00000000-AAF1-416D-A0F8-043D1E66AA28}"/>
            </c:ext>
          </c:extLst>
        </c:ser>
        <c:dLbls>
          <c:dLblPos val="outEnd"/>
          <c:showLegendKey val="0"/>
          <c:showVal val="1"/>
          <c:showCatName val="0"/>
          <c:showSerName val="0"/>
          <c:showPercent val="0"/>
          <c:showBubbleSize val="0"/>
        </c:dLbls>
        <c:gapWidth val="182"/>
        <c:axId val="1247064688"/>
        <c:axId val="1981181840"/>
      </c:barChart>
      <c:catAx>
        <c:axId val="12470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81840"/>
        <c:crosses val="autoZero"/>
        <c:auto val="1"/>
        <c:lblAlgn val="ctr"/>
        <c:lblOffset val="100"/>
        <c:noMultiLvlLbl val="0"/>
      </c:catAx>
      <c:valAx>
        <c:axId val="198118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6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[Job_Market_Insights.xlsx]skills!PivotTable3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a:t>
            </a:r>
            <a:r>
              <a:rPr lang="en-IN" baseline="0"/>
              <a:t> Skills Demand</a:t>
            </a:r>
          </a:p>
          <a:p>
            <a:pPr>
              <a:defRPr/>
            </a:pPr>
            <a:endParaRPr lang="en-IN"/>
          </a:p>
        </c:rich>
      </c:tx>
      <c:layout>
        <c:manualLayout>
          <c:xMode val="edge"/>
          <c:yMode val="edge"/>
          <c:x val="0.30318134872130154"/>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skills!$B$3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skills!$A$4:$A$17</c:f>
              <c:strCache>
                <c:ptCount val="13"/>
                <c:pt idx="0">
                  <c:v>Statistics</c:v>
                </c:pt>
                <c:pt idx="1">
                  <c:v>Sql</c:v>
                </c:pt>
                <c:pt idx="2">
                  <c:v>Python</c:v>
                </c:pt>
                <c:pt idx="3">
                  <c:v>Deep Learning</c:v>
                </c:pt>
                <c:pt idx="4">
                  <c:v>Excel</c:v>
                </c:pt>
                <c:pt idx="5">
                  <c:v>Tableau</c:v>
                </c:pt>
                <c:pt idx="6">
                  <c:v>Power Query</c:v>
                </c:pt>
                <c:pt idx="7">
                  <c:v>Power Bi</c:v>
                </c:pt>
                <c:pt idx="8">
                  <c:v>Machine Learning</c:v>
                </c:pt>
                <c:pt idx="9">
                  <c:v>Tensorflow</c:v>
                </c:pt>
                <c:pt idx="10">
                  <c:v>Nlp</c:v>
                </c:pt>
                <c:pt idx="11">
                  <c:v>Ai</c:v>
                </c:pt>
                <c:pt idx="12">
                  <c:v>R</c:v>
                </c:pt>
              </c:strCache>
            </c:strRef>
          </c:cat>
          <c:val>
            <c:numRef>
              <c:f>skills!$B$4:$B$17</c:f>
              <c:numCache>
                <c:formatCode>General</c:formatCode>
                <c:ptCount val="13"/>
                <c:pt idx="0">
                  <c:v>149</c:v>
                </c:pt>
                <c:pt idx="1">
                  <c:v>128</c:v>
                </c:pt>
                <c:pt idx="2">
                  <c:v>114</c:v>
                </c:pt>
                <c:pt idx="3">
                  <c:v>113</c:v>
                </c:pt>
                <c:pt idx="4">
                  <c:v>110</c:v>
                </c:pt>
                <c:pt idx="5">
                  <c:v>108</c:v>
                </c:pt>
                <c:pt idx="6">
                  <c:v>108</c:v>
                </c:pt>
                <c:pt idx="7">
                  <c:v>100</c:v>
                </c:pt>
                <c:pt idx="8">
                  <c:v>100</c:v>
                </c:pt>
                <c:pt idx="9">
                  <c:v>78</c:v>
                </c:pt>
                <c:pt idx="10">
                  <c:v>77</c:v>
                </c:pt>
                <c:pt idx="11">
                  <c:v>74</c:v>
                </c:pt>
                <c:pt idx="12">
                  <c:v>67</c:v>
                </c:pt>
              </c:numCache>
            </c:numRef>
          </c:val>
          <c:extLst>
            <c:ext xmlns:c16="http://schemas.microsoft.com/office/drawing/2014/chart" uri="{C3380CC4-5D6E-409C-BE32-E72D297353CC}">
              <c16:uniqueId val="{00000000-5A8F-48AE-BA82-C3670809E521}"/>
            </c:ext>
          </c:extLst>
        </c:ser>
        <c:dLbls>
          <c:showLegendKey val="0"/>
          <c:showVal val="0"/>
          <c:showCatName val="0"/>
          <c:showSerName val="0"/>
          <c:showPercent val="0"/>
          <c:showBubbleSize val="0"/>
        </c:dLbls>
        <c:gapWidth val="150"/>
        <c:shape val="box"/>
        <c:axId val="197782496"/>
        <c:axId val="1981197680"/>
        <c:axId val="0"/>
      </c:bar3DChart>
      <c:catAx>
        <c:axId val="19778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97680"/>
        <c:crosses val="autoZero"/>
        <c:auto val="1"/>
        <c:lblAlgn val="ctr"/>
        <c:lblOffset val="100"/>
        <c:noMultiLvlLbl val="0"/>
      </c:catAx>
      <c:valAx>
        <c:axId val="198119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469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[Job_Market_Insights.xlsx]location!PivotTable4</c:name>
    <c:fmtId val="1"/>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location wise job</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location!$B$3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2F05-4FB2-930B-48EF6917BA4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F05-4FB2-930B-48EF6917BA4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2F05-4FB2-930B-48EF6917BA4C}"/>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2F05-4FB2-930B-48EF6917BA4C}"/>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2F05-4FB2-930B-48EF6917BA4C}"/>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2F05-4FB2-930B-48EF6917BA4C}"/>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2F05-4FB2-930B-48EF6917BA4C}"/>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2F05-4FB2-930B-48EF6917BA4C}"/>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2F05-4FB2-930B-48EF6917BA4C}"/>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2F05-4FB2-930B-48EF6917BA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location!$A$4:$A$14</c:f>
              <c:strCache>
                <c:ptCount val="10"/>
                <c:pt idx="0">
                  <c:v>Ahmedabad</c:v>
                </c:pt>
                <c:pt idx="1">
                  <c:v>Delhi</c:v>
                </c:pt>
                <c:pt idx="2">
                  <c:v>Gurugram</c:v>
                </c:pt>
                <c:pt idx="3">
                  <c:v>Pune</c:v>
                </c:pt>
                <c:pt idx="4">
                  <c:v>Mumbai</c:v>
                </c:pt>
                <c:pt idx="5">
                  <c:v>Bangalore</c:v>
                </c:pt>
                <c:pt idx="6">
                  <c:v>Kolkata</c:v>
                </c:pt>
                <c:pt idx="7">
                  <c:v>Hyderabad</c:v>
                </c:pt>
                <c:pt idx="8">
                  <c:v>Chennai</c:v>
                </c:pt>
                <c:pt idx="9">
                  <c:v>Noida</c:v>
                </c:pt>
              </c:strCache>
            </c:strRef>
          </c:cat>
          <c:val>
            <c:numRef>
              <c:f>location!$B$4:$B$14</c:f>
              <c:numCache>
                <c:formatCode>General</c:formatCode>
                <c:ptCount val="10"/>
                <c:pt idx="0">
                  <c:v>56</c:v>
                </c:pt>
                <c:pt idx="1">
                  <c:v>47</c:v>
                </c:pt>
                <c:pt idx="2">
                  <c:v>46</c:v>
                </c:pt>
                <c:pt idx="3">
                  <c:v>43</c:v>
                </c:pt>
                <c:pt idx="4">
                  <c:v>43</c:v>
                </c:pt>
                <c:pt idx="5">
                  <c:v>43</c:v>
                </c:pt>
                <c:pt idx="6">
                  <c:v>42</c:v>
                </c:pt>
                <c:pt idx="7">
                  <c:v>36</c:v>
                </c:pt>
                <c:pt idx="8">
                  <c:v>36</c:v>
                </c:pt>
                <c:pt idx="9">
                  <c:v>33</c:v>
                </c:pt>
              </c:numCache>
            </c:numRef>
          </c:val>
          <c:extLst>
            <c:ext xmlns:c16="http://schemas.microsoft.com/office/drawing/2014/chart" uri="{C3380CC4-5D6E-409C-BE32-E72D297353CC}">
              <c16:uniqueId val="{00000000-2FAB-4DB7-BB8C-FBD7CE2EC5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[Job_Market_Insights.xlsx]Experience!PivotTable5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Experience</a:t>
            </a:r>
            <a:r>
              <a:rPr lang="en-IN" baseline="0"/>
              <a:t>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Experience!$B$3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B5-4C93-9085-BD36F634B4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B5-4C93-9085-BD36F634B4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B5-4C93-9085-BD36F634B4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B5-4C93-9085-BD36F634B4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Experience!$A$4:$A$8</c:f>
              <c:strCache>
                <c:ptCount val="4"/>
                <c:pt idx="0">
                  <c:v>0-2 Years</c:v>
                </c:pt>
                <c:pt idx="1">
                  <c:v>3-5 Years</c:v>
                </c:pt>
                <c:pt idx="2">
                  <c:v>1-3 Years</c:v>
                </c:pt>
                <c:pt idx="3">
                  <c:v>2-5 Years</c:v>
                </c:pt>
              </c:strCache>
            </c:strRef>
          </c:cat>
          <c:val>
            <c:numRef>
              <c:f>Experience!$B$4:$B$8</c:f>
              <c:numCache>
                <c:formatCode>General</c:formatCode>
                <c:ptCount val="4"/>
                <c:pt idx="0">
                  <c:v>137</c:v>
                </c:pt>
                <c:pt idx="1">
                  <c:v>108</c:v>
                </c:pt>
                <c:pt idx="2">
                  <c:v>95</c:v>
                </c:pt>
                <c:pt idx="3">
                  <c:v>85</c:v>
                </c:pt>
              </c:numCache>
            </c:numRef>
          </c:val>
          <c:extLst>
            <c:ext xmlns:c16="http://schemas.microsoft.com/office/drawing/2014/chart" uri="{C3380CC4-5D6E-409C-BE32-E72D297353CC}">
              <c16:uniqueId val="{00000000-FC87-4ADC-ADCB-EE3E281C19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[Job_Market_Insights.xlsx]work mode!PivotTable6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2"/>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pivotFmt>
    </c:pivotFmts>
    <c:plotArea>
      <c:layout/>
      <c:pieChart>
        <c:varyColors val="1"/>
        <c:ser>
          <c:idx val="0"/>
          <c:order val="0"/>
          <c:tx>
            <c:strRef>
              <c:f>'work mode'!$B$3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extLst>
              <c:ext xmlns:c16="http://schemas.microsoft.com/office/drawing/2014/chart" uri="{C3380CC4-5D6E-409C-BE32-E72D297353CC}">
                <c16:uniqueId val="{00000001-596C-435F-81B2-CD6EBB10D157}"/>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extLst>
              <c:ext xmlns:c16="http://schemas.microsoft.com/office/drawing/2014/chart" uri="{C3380CC4-5D6E-409C-BE32-E72D297353CC}">
                <c16:uniqueId val="{00000003-596C-435F-81B2-CD6EBB10D157}"/>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alpha val="55000"/>
                  </a:schemeClr>
                </a:glow>
                <a:softEdge rad="0"/>
              </a:effectLst>
            </c:spPr>
            <c:extLst>
              <c:ext xmlns:c16="http://schemas.microsoft.com/office/drawing/2014/chart" uri="{C3380CC4-5D6E-409C-BE32-E72D297353CC}">
                <c16:uniqueId val="{00000005-596C-435F-81B2-CD6EBB10D1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mode'!$A$4:$A$7</c:f>
              <c:strCache>
                <c:ptCount val="3"/>
                <c:pt idx="0">
                  <c:v>Hybrid</c:v>
                </c:pt>
                <c:pt idx="1">
                  <c:v>On-Site</c:v>
                </c:pt>
                <c:pt idx="2">
                  <c:v>Remote</c:v>
                </c:pt>
              </c:strCache>
            </c:strRef>
          </c:cat>
          <c:val>
            <c:numRef>
              <c:f>'work mode'!$B$4:$B$7</c:f>
              <c:numCache>
                <c:formatCode>General</c:formatCode>
                <c:ptCount val="3"/>
                <c:pt idx="0">
                  <c:v>221</c:v>
                </c:pt>
                <c:pt idx="1">
                  <c:v>142</c:v>
                </c:pt>
                <c:pt idx="2">
                  <c:v>62</c:v>
                </c:pt>
              </c:numCache>
            </c:numRef>
          </c:val>
          <c:extLst>
            <c:ext xmlns:c16="http://schemas.microsoft.com/office/drawing/2014/chart" uri="{C3380CC4-5D6E-409C-BE32-E72D297353CC}">
              <c16:uniqueId val="{00000000-7F10-4C8E-8E88-755CA3F214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[Job_Market_Insights.xlsx]type!PivotTable7</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Job</a:t>
            </a:r>
            <a:r>
              <a:rPr lang="en-US" baseline="0">
                <a:solidFill>
                  <a:schemeClr val="tx1"/>
                </a:solidFill>
              </a:rPr>
              <a:t> Type</a:t>
            </a:r>
            <a:endParaRPr lang="en-US">
              <a:solidFill>
                <a:schemeClr val="tx1"/>
              </a:solidFill>
            </a:endParaRPr>
          </a:p>
        </c:rich>
      </c:tx>
      <c:layout>
        <c:manualLayout>
          <c:xMode val="edge"/>
          <c:yMode val="edge"/>
          <c:x val="0.34654816717825521"/>
          <c:y val="3.601633129192184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type!$B$3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9D8-4A0E-8738-0A3F0414244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9D8-4A0E-8738-0A3F0414244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9D8-4A0E-8738-0A3F041424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type!$A$4:$A$7</c:f>
              <c:strCache>
                <c:ptCount val="3"/>
                <c:pt idx="0">
                  <c:v>Full Time</c:v>
                </c:pt>
                <c:pt idx="1">
                  <c:v>Contract</c:v>
                </c:pt>
                <c:pt idx="2">
                  <c:v>Internship</c:v>
                </c:pt>
              </c:strCache>
            </c:strRef>
          </c:cat>
          <c:val>
            <c:numRef>
              <c:f>type!$B$4:$B$7</c:f>
              <c:numCache>
                <c:formatCode>General</c:formatCode>
                <c:ptCount val="3"/>
                <c:pt idx="0">
                  <c:v>313</c:v>
                </c:pt>
                <c:pt idx="1">
                  <c:v>68</c:v>
                </c:pt>
                <c:pt idx="2">
                  <c:v>44</c:v>
                </c:pt>
              </c:numCache>
            </c:numRef>
          </c:val>
          <c:extLst>
            <c:ext xmlns:c16="http://schemas.microsoft.com/office/drawing/2014/chart" uri="{C3380CC4-5D6E-409C-BE32-E72D297353CC}">
              <c16:uniqueId val="{00000000-81CA-45C9-9B05-E46DF88FC1D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[Job_Market_Insights.xlsx]Salary!PivotTable8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Roles</a:t>
            </a:r>
            <a:endParaRPr lang="en-US"/>
          </a:p>
        </c:rich>
      </c:tx>
      <c:layout>
        <c:manualLayout>
          <c:xMode val="edge"/>
          <c:yMode val="edge"/>
          <c:x val="0.3685415573053368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92D050"/>
          </a:solidFill>
          <a:ln>
            <a:noFill/>
          </a:ln>
          <a:effectLst/>
        </c:spPr>
      </c:pivotFmt>
      <c:pivotFmt>
        <c:idx val="3"/>
        <c:spPr>
          <a:solidFill>
            <a:srgbClr val="BA3CC4"/>
          </a:solidFill>
          <a:ln>
            <a:noFill/>
          </a:ln>
          <a:effectLst/>
        </c:spPr>
      </c:pivotFmt>
      <c:pivotFmt>
        <c:idx val="4"/>
        <c:spPr>
          <a:solidFill>
            <a:srgbClr val="FFFF66"/>
          </a:solidFill>
          <a:ln>
            <a:noFill/>
          </a:ln>
          <a:effectLst/>
        </c:spPr>
      </c:pivotFmt>
      <c:pivotFmt>
        <c:idx val="5"/>
        <c:spPr>
          <a:solidFill>
            <a:srgbClr val="F9B883"/>
          </a:solidFill>
          <a:ln>
            <a:noFill/>
          </a:ln>
          <a:effectLst/>
        </c:spPr>
      </c:pivotFmt>
    </c:pivotFmts>
    <c:plotArea>
      <c:layout/>
      <c:barChart>
        <c:barDir val="col"/>
        <c:grouping val="stacked"/>
        <c:varyColors val="0"/>
        <c:ser>
          <c:idx val="0"/>
          <c:order val="0"/>
          <c:tx>
            <c:strRef>
              <c:f>Salary!$B$3</c:f>
              <c:strCache>
                <c:ptCount val="1"/>
                <c:pt idx="0">
                  <c:v>Total</c:v>
                </c:pt>
              </c:strCache>
            </c:strRef>
          </c:tx>
          <c:spPr>
            <a:solidFill>
              <a:schemeClr val="accent1"/>
            </a:solidFill>
            <a:ln>
              <a:noFill/>
            </a:ln>
            <a:effectLst/>
          </c:spPr>
          <c:invertIfNegative val="0"/>
          <c:dPt>
            <c:idx val="1"/>
            <c:invertIfNegative val="0"/>
            <c:bubble3D val="0"/>
            <c:spPr>
              <a:solidFill>
                <a:srgbClr val="BA3CC4"/>
              </a:solidFill>
              <a:ln>
                <a:noFill/>
              </a:ln>
              <a:effectLst/>
            </c:spPr>
            <c:extLst>
              <c:ext xmlns:c16="http://schemas.microsoft.com/office/drawing/2014/chart" uri="{C3380CC4-5D6E-409C-BE32-E72D297353CC}">
                <c16:uniqueId val="{00000001-3D8C-4323-8732-6AEF99B44C0D}"/>
              </c:ext>
            </c:extLst>
          </c:dPt>
          <c:dPt>
            <c:idx val="2"/>
            <c:invertIfNegative val="0"/>
            <c:bubble3D val="0"/>
            <c:extLst>
              <c:ext xmlns:c16="http://schemas.microsoft.com/office/drawing/2014/chart" uri="{C3380CC4-5D6E-409C-BE32-E72D297353CC}">
                <c16:uniqueId val="{00000003-CB2C-42FF-9CD1-C6FFC2C5B641}"/>
              </c:ext>
            </c:extLst>
          </c:dPt>
          <c:dPt>
            <c:idx val="3"/>
            <c:invertIfNegative val="0"/>
            <c:bubble3D val="0"/>
            <c:spPr>
              <a:solidFill>
                <a:srgbClr val="FFC000"/>
              </a:solidFill>
              <a:ln>
                <a:noFill/>
              </a:ln>
              <a:effectLst/>
            </c:spPr>
            <c:extLst>
              <c:ext xmlns:c16="http://schemas.microsoft.com/office/drawing/2014/chart" uri="{C3380CC4-5D6E-409C-BE32-E72D297353CC}">
                <c16:uniqueId val="{00000004-3D8C-4323-8732-6AEF99B44C0D}"/>
              </c:ext>
            </c:extLst>
          </c:dPt>
          <c:dPt>
            <c:idx val="4"/>
            <c:invertIfNegative val="0"/>
            <c:bubble3D val="0"/>
            <c:spPr>
              <a:solidFill>
                <a:srgbClr val="FFFF66"/>
              </a:solidFill>
              <a:ln>
                <a:noFill/>
              </a:ln>
              <a:effectLst/>
            </c:spPr>
            <c:extLst>
              <c:ext xmlns:c16="http://schemas.microsoft.com/office/drawing/2014/chart" uri="{C3380CC4-5D6E-409C-BE32-E72D297353CC}">
                <c16:uniqueId val="{00000006-3D8C-4323-8732-6AEF99B44C0D}"/>
              </c:ext>
            </c:extLst>
          </c:dPt>
          <c:dPt>
            <c:idx val="5"/>
            <c:invertIfNegative val="0"/>
            <c:bubble3D val="0"/>
            <c:spPr>
              <a:solidFill>
                <a:srgbClr val="92D050"/>
              </a:solidFill>
              <a:ln>
                <a:noFill/>
              </a:ln>
              <a:effectLst/>
            </c:spPr>
            <c:extLst>
              <c:ext xmlns:c16="http://schemas.microsoft.com/office/drawing/2014/chart" uri="{C3380CC4-5D6E-409C-BE32-E72D297353CC}">
                <c16:uniqueId val="{00000006-CB2C-42FF-9CD1-C6FFC2C5B641}"/>
              </c:ext>
            </c:extLst>
          </c:dPt>
          <c:dPt>
            <c:idx val="9"/>
            <c:invertIfNegative val="0"/>
            <c:bubble3D val="0"/>
            <c:spPr>
              <a:solidFill>
                <a:srgbClr val="F9B883"/>
              </a:solidFill>
              <a:ln>
                <a:noFill/>
              </a:ln>
              <a:effectLst/>
            </c:spPr>
            <c:extLst>
              <c:ext xmlns:c16="http://schemas.microsoft.com/office/drawing/2014/chart" uri="{C3380CC4-5D6E-409C-BE32-E72D297353CC}">
                <c16:uniqueId val="{0000000A-3D8C-4323-8732-6AEF99B44C0D}"/>
              </c:ext>
            </c:extLst>
          </c:dPt>
          <c:cat>
            <c:strRef>
              <c:f>Salary!$A$4:$A$14</c:f>
              <c:strCache>
                <c:ptCount val="10"/>
                <c:pt idx="0">
                  <c:v>Ml Engineer</c:v>
                </c:pt>
                <c:pt idx="1">
                  <c:v>Business Analyst</c:v>
                </c:pt>
                <c:pt idx="2">
                  <c:v>Ai/Ml Analyst</c:v>
                </c:pt>
                <c:pt idx="3">
                  <c:v>Ai Engineer</c:v>
                </c:pt>
                <c:pt idx="4">
                  <c:v>Data Analyst</c:v>
                </c:pt>
                <c:pt idx="5">
                  <c:v>Data Scientist</c:v>
                </c:pt>
                <c:pt idx="6">
                  <c:v>Bi Analyst</c:v>
                </c:pt>
                <c:pt idx="7">
                  <c:v>Machine Learning Scientist</c:v>
                </c:pt>
                <c:pt idx="8">
                  <c:v>Product Data Analyst</c:v>
                </c:pt>
                <c:pt idx="9">
                  <c:v>Data Engineer</c:v>
                </c:pt>
              </c:strCache>
            </c:strRef>
          </c:cat>
          <c:val>
            <c:numRef>
              <c:f>Salary!$B$4:$B$14</c:f>
              <c:numCache>
                <c:formatCode>_(* #,##0.00_);_(* \(#,##0.00\);_(* "-"??_);_(@_)</c:formatCode>
                <c:ptCount val="10"/>
                <c:pt idx="0">
                  <c:v>11.694444444444443</c:v>
                </c:pt>
                <c:pt idx="1">
                  <c:v>10.828125000000002</c:v>
                </c:pt>
                <c:pt idx="2">
                  <c:v>10.565000000000001</c:v>
                </c:pt>
                <c:pt idx="3">
                  <c:v>10.172857142857145</c:v>
                </c:pt>
                <c:pt idx="4">
                  <c:v>10.172549019607844</c:v>
                </c:pt>
                <c:pt idx="5">
                  <c:v>9.9837837837837871</c:v>
                </c:pt>
                <c:pt idx="6">
                  <c:v>9.6052083333333336</c:v>
                </c:pt>
                <c:pt idx="7">
                  <c:v>9.4271739130434771</c:v>
                </c:pt>
                <c:pt idx="8">
                  <c:v>8.838461538461539</c:v>
                </c:pt>
                <c:pt idx="9">
                  <c:v>8.6466666666666665</c:v>
                </c:pt>
              </c:numCache>
            </c:numRef>
          </c:val>
          <c:extLst>
            <c:ext xmlns:c16="http://schemas.microsoft.com/office/drawing/2014/chart" uri="{C3380CC4-5D6E-409C-BE32-E72D297353CC}">
              <c16:uniqueId val="{00000000-CB2C-42FF-9CD1-C6FFC2C5B641}"/>
            </c:ext>
          </c:extLst>
        </c:ser>
        <c:dLbls>
          <c:showLegendKey val="0"/>
          <c:showVal val="0"/>
          <c:showCatName val="0"/>
          <c:showSerName val="0"/>
          <c:showPercent val="0"/>
          <c:showBubbleSize val="0"/>
        </c:dLbls>
        <c:gapWidth val="150"/>
        <c:overlap val="100"/>
        <c:axId val="1807601712"/>
        <c:axId val="1806286768"/>
      </c:barChart>
      <c:catAx>
        <c:axId val="18076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86768"/>
        <c:crosses val="autoZero"/>
        <c:auto val="1"/>
        <c:lblAlgn val="ctr"/>
        <c:lblOffset val="100"/>
        <c:noMultiLvlLbl val="0"/>
      </c:catAx>
      <c:valAx>
        <c:axId val="180628676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60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21" Type="http://schemas.openxmlformats.org/officeDocument/2006/relationships/image" Target="../media/image14.svg"/><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11907</xdr:colOff>
      <xdr:row>9</xdr:row>
      <xdr:rowOff>11906</xdr:rowOff>
    </xdr:from>
    <xdr:to>
      <xdr:col>6</xdr:col>
      <xdr:colOff>773906</xdr:colOff>
      <xdr:row>22</xdr:row>
      <xdr:rowOff>0</xdr:rowOff>
    </xdr:to>
    <xdr:graphicFrame macro="">
      <xdr:nvGraphicFramePr>
        <xdr:cNvPr id="9" name="Chart 8">
          <a:extLst>
            <a:ext uri="{FF2B5EF4-FFF2-40B4-BE49-F238E27FC236}">
              <a16:creationId xmlns:a16="http://schemas.microsoft.com/office/drawing/2014/main" id="{9D49104C-0ADE-45D8-814B-7E57B1237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45156</xdr:colOff>
      <xdr:row>39</xdr:row>
      <xdr:rowOff>85193</xdr:rowOff>
    </xdr:from>
    <xdr:to>
      <xdr:col>12</xdr:col>
      <xdr:colOff>1926608</xdr:colOff>
      <xdr:row>54</xdr:row>
      <xdr:rowOff>61382</xdr:rowOff>
    </xdr:to>
    <xdr:graphicFrame macro="">
      <xdr:nvGraphicFramePr>
        <xdr:cNvPr id="10" name="Chart 9">
          <a:extLst>
            <a:ext uri="{FF2B5EF4-FFF2-40B4-BE49-F238E27FC236}">
              <a16:creationId xmlns:a16="http://schemas.microsoft.com/office/drawing/2014/main" id="{DB4B775A-F36A-4836-8A05-404EE1D11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1012030</xdr:colOff>
      <xdr:row>9</xdr:row>
      <xdr:rowOff>23811</xdr:rowOff>
    </xdr:from>
    <xdr:to>
      <xdr:col>12</xdr:col>
      <xdr:colOff>2048933</xdr:colOff>
      <xdr:row>22</xdr:row>
      <xdr:rowOff>11906</xdr:rowOff>
    </xdr:to>
    <xdr:graphicFrame macro="">
      <xdr:nvGraphicFramePr>
        <xdr:cNvPr id="11" name="Chart 10">
          <a:extLst>
            <a:ext uri="{FF2B5EF4-FFF2-40B4-BE49-F238E27FC236}">
              <a16:creationId xmlns:a16="http://schemas.microsoft.com/office/drawing/2014/main" id="{EF8DE5BD-C9E6-49EC-A446-91B113CD4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11906</xdr:colOff>
      <xdr:row>23</xdr:row>
      <xdr:rowOff>11907</xdr:rowOff>
    </xdr:from>
    <xdr:to>
      <xdr:col>5</xdr:col>
      <xdr:colOff>321469</xdr:colOff>
      <xdr:row>38</xdr:row>
      <xdr:rowOff>33678</xdr:rowOff>
    </xdr:to>
    <xdr:graphicFrame macro="">
      <xdr:nvGraphicFramePr>
        <xdr:cNvPr id="12" name="Chart 11">
          <a:extLst>
            <a:ext uri="{FF2B5EF4-FFF2-40B4-BE49-F238E27FC236}">
              <a16:creationId xmlns:a16="http://schemas.microsoft.com/office/drawing/2014/main" id="{0F523F19-D9D7-418E-AE3F-39629640D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428628</xdr:colOff>
      <xdr:row>23</xdr:row>
      <xdr:rowOff>11909</xdr:rowOff>
    </xdr:from>
    <xdr:to>
      <xdr:col>9</xdr:col>
      <xdr:colOff>508000</xdr:colOff>
      <xdr:row>38</xdr:row>
      <xdr:rowOff>33680</xdr:rowOff>
    </xdr:to>
    <xdr:graphicFrame macro="">
      <xdr:nvGraphicFramePr>
        <xdr:cNvPr id="13" name="Chart 12">
          <a:extLst>
            <a:ext uri="{FF2B5EF4-FFF2-40B4-BE49-F238E27FC236}">
              <a16:creationId xmlns:a16="http://schemas.microsoft.com/office/drawing/2014/main" id="{74523CC5-24B4-4168-A2D5-64594A442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660401</xdr:colOff>
      <xdr:row>23</xdr:row>
      <xdr:rowOff>14173</xdr:rowOff>
    </xdr:from>
    <xdr:to>
      <xdr:col>12</xdr:col>
      <xdr:colOff>2053167</xdr:colOff>
      <xdr:row>38</xdr:row>
      <xdr:rowOff>35943</xdr:rowOff>
    </xdr:to>
    <xdr:graphicFrame macro="">
      <xdr:nvGraphicFramePr>
        <xdr:cNvPr id="14" name="Chart 13">
          <a:extLst>
            <a:ext uri="{FF2B5EF4-FFF2-40B4-BE49-F238E27FC236}">
              <a16:creationId xmlns:a16="http://schemas.microsoft.com/office/drawing/2014/main" id="{7F4C28E4-793E-47CC-B0AB-C12198254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59530</xdr:colOff>
      <xdr:row>39</xdr:row>
      <xdr:rowOff>119061</xdr:rowOff>
    </xdr:from>
    <xdr:to>
      <xdr:col>5</xdr:col>
      <xdr:colOff>491067</xdr:colOff>
      <xdr:row>54</xdr:row>
      <xdr:rowOff>83344</xdr:rowOff>
    </xdr:to>
    <xdr:graphicFrame macro="">
      <xdr:nvGraphicFramePr>
        <xdr:cNvPr id="15" name="Chart 14">
          <a:extLst>
            <a:ext uri="{FF2B5EF4-FFF2-40B4-BE49-F238E27FC236}">
              <a16:creationId xmlns:a16="http://schemas.microsoft.com/office/drawing/2014/main" id="{17D4E646-F8C2-4F8C-B0DC-61FF75698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42797</xdr:colOff>
      <xdr:row>5</xdr:row>
      <xdr:rowOff>279688</xdr:rowOff>
    </xdr:from>
    <xdr:to>
      <xdr:col>16</xdr:col>
      <xdr:colOff>0</xdr:colOff>
      <xdr:row>19</xdr:row>
      <xdr:rowOff>66842</xdr:rowOff>
    </xdr:to>
    <mc:AlternateContent xmlns:mc="http://schemas.openxmlformats.org/markup-compatibility/2006" xmlns:a14="http://schemas.microsoft.com/office/drawing/2010/main">
      <mc:Choice Requires="a14">
        <xdr:graphicFrame macro="">
          <xdr:nvGraphicFramePr>
            <xdr:cNvPr id="16" name="Job_Title">
              <a:extLst>
                <a:ext uri="{FF2B5EF4-FFF2-40B4-BE49-F238E27FC236}">
                  <a16:creationId xmlns:a16="http://schemas.microsoft.com/office/drawing/2014/main" id="{4FBCDEFF-AFD0-FB04-067B-FDEFA37847C6}"/>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1686157" y="1437928"/>
              <a:ext cx="1816483" cy="2682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140968</xdr:colOff>
      <xdr:row>15</xdr:row>
      <xdr:rowOff>26932</xdr:rowOff>
    </xdr:from>
    <xdr:to>
      <xdr:col>19</xdr:col>
      <xdr:colOff>374329</xdr:colOff>
      <xdr:row>22</xdr:row>
      <xdr:rowOff>76465</xdr:rowOff>
    </xdr:to>
    <mc:AlternateContent xmlns:mc="http://schemas.openxmlformats.org/markup-compatibility/2006" xmlns:a14="http://schemas.microsoft.com/office/drawing/2010/main">
      <mc:Choice Requires="a14">
        <xdr:graphicFrame macro="">
          <xdr:nvGraphicFramePr>
            <xdr:cNvPr id="18" name="Work_Mode">
              <a:extLst>
                <a:ext uri="{FF2B5EF4-FFF2-40B4-BE49-F238E27FC236}">
                  <a16:creationId xmlns:a16="http://schemas.microsoft.com/office/drawing/2014/main" id="{681E4285-C8D7-0235-6BCE-3C097CFCCD75}"/>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mlns="">
        <xdr:sp macro="" textlink="">
          <xdr:nvSpPr>
            <xdr:cNvPr id="0" name=""/>
            <xdr:cNvSpPr>
              <a:spLocks noTextEdit="1"/>
            </xdr:cNvSpPr>
          </xdr:nvSpPr>
          <xdr:spPr>
            <a:xfrm>
              <a:off x="13569421" y="3362479"/>
              <a:ext cx="1829248" cy="1357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124036</xdr:colOff>
      <xdr:row>6</xdr:row>
      <xdr:rowOff>102606</xdr:rowOff>
    </xdr:from>
    <xdr:to>
      <xdr:col>19</xdr:col>
      <xdr:colOff>357397</xdr:colOff>
      <xdr:row>13</xdr:row>
      <xdr:rowOff>10583</xdr:rowOff>
    </xdr:to>
    <mc:AlternateContent xmlns:mc="http://schemas.openxmlformats.org/markup-compatibility/2006" xmlns:a14="http://schemas.microsoft.com/office/drawing/2010/main">
      <mc:Choice Requires="a14">
        <xdr:graphicFrame macro="">
          <xdr:nvGraphicFramePr>
            <xdr:cNvPr id="19" name="Job_Type">
              <a:extLst>
                <a:ext uri="{FF2B5EF4-FFF2-40B4-BE49-F238E27FC236}">
                  <a16:creationId xmlns:a16="http://schemas.microsoft.com/office/drawing/2014/main" id="{842ADD0C-EA02-241C-35F0-49E3695431AF}"/>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13591220" y="1626606"/>
              <a:ext cx="1835116" cy="1354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176689</xdr:colOff>
      <xdr:row>23</xdr:row>
      <xdr:rowOff>181717</xdr:rowOff>
    </xdr:from>
    <xdr:to>
      <xdr:col>19</xdr:col>
      <xdr:colOff>410050</xdr:colOff>
      <xdr:row>34</xdr:row>
      <xdr:rowOff>76467</xdr:rowOff>
    </xdr:to>
    <mc:AlternateContent xmlns:mc="http://schemas.openxmlformats.org/markup-compatibility/2006" xmlns:a14="http://schemas.microsoft.com/office/drawing/2010/main">
      <mc:Choice Requires="a14">
        <xdr:graphicFrame macro="">
          <xdr:nvGraphicFramePr>
            <xdr:cNvPr id="20" name="Experience">
              <a:extLst>
                <a:ext uri="{FF2B5EF4-FFF2-40B4-BE49-F238E27FC236}">
                  <a16:creationId xmlns:a16="http://schemas.microsoft.com/office/drawing/2014/main" id="{A484D63F-B0CA-1C5A-71D3-74276C53C6AA}"/>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13643873" y="5018084"/>
              <a:ext cx="1835116" cy="1947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59479</xdr:colOff>
      <xdr:row>20</xdr:row>
      <xdr:rowOff>13369</xdr:rowOff>
    </xdr:from>
    <xdr:to>
      <xdr:col>16</xdr:col>
      <xdr:colOff>0</xdr:colOff>
      <xdr:row>34</xdr:row>
      <xdr:rowOff>166689</xdr:rowOff>
    </xdr:to>
    <mc:AlternateContent xmlns:mc="http://schemas.openxmlformats.org/markup-compatibility/2006" xmlns:a14="http://schemas.microsoft.com/office/drawing/2010/main">
      <mc:Choice Requires="a14">
        <xdr:graphicFrame macro="">
          <xdr:nvGraphicFramePr>
            <xdr:cNvPr id="22" name="Location 1">
              <a:extLst>
                <a:ext uri="{FF2B5EF4-FFF2-40B4-BE49-F238E27FC236}">
                  <a16:creationId xmlns:a16="http://schemas.microsoft.com/office/drawing/2014/main" id="{ECB8AE04-D377-3C8E-2D81-508CE9727A7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660540" y="4476902"/>
              <a:ext cx="1806644" cy="2578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66822</xdr:colOff>
      <xdr:row>39</xdr:row>
      <xdr:rowOff>63588</xdr:rowOff>
    </xdr:from>
    <xdr:to>
      <xdr:col>19</xdr:col>
      <xdr:colOff>522170</xdr:colOff>
      <xdr:row>53</xdr:row>
      <xdr:rowOff>46654</xdr:rowOff>
    </xdr:to>
    <xdr:sp macro="" textlink="">
      <xdr:nvSpPr>
        <xdr:cNvPr id="23" name="Rectangle 22">
          <a:extLst>
            <a:ext uri="{FF2B5EF4-FFF2-40B4-BE49-F238E27FC236}">
              <a16:creationId xmlns:a16="http://schemas.microsoft.com/office/drawing/2014/main" id="{9A1502EA-6DCB-5D0C-E3B8-4C6809800C47}"/>
            </a:ext>
          </a:extLst>
        </xdr:cNvPr>
        <xdr:cNvSpPr/>
      </xdr:nvSpPr>
      <xdr:spPr>
        <a:xfrm>
          <a:off x="11667883" y="7885751"/>
          <a:ext cx="3923226" cy="2595638"/>
        </a:xfrm>
        <a:prstGeom prst="rect">
          <a:avLst/>
        </a:prstGeom>
        <a:solidFill>
          <a:srgbClr val="EBF6F9"/>
        </a:solidFill>
        <a:ln>
          <a:solidFill>
            <a:srgbClr val="AEE3F4"/>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2400" i="1">
            <a:solidFill>
              <a:srgbClr val="002060"/>
            </a:solidFill>
          </a:endParaRPr>
        </a:p>
        <a:p>
          <a:pPr algn="ctr"/>
          <a:endParaRPr lang="en-IN" sz="2400" i="1">
            <a:solidFill>
              <a:srgbClr val="002060"/>
            </a:solidFill>
          </a:endParaRPr>
        </a:p>
        <a:p>
          <a:pPr algn="ctr"/>
          <a:r>
            <a:rPr lang="en-IN" sz="2400" i="1">
              <a:solidFill>
                <a:srgbClr val="002060"/>
              </a:solidFill>
              <a:latin typeface="Aptos Display" panose="020B0004020202020204" pitchFamily="34" charset="0"/>
            </a:rPr>
            <a:t>The</a:t>
          </a:r>
          <a:r>
            <a:rPr lang="en-IN" sz="2400" i="1" baseline="0">
              <a:solidFill>
                <a:srgbClr val="002060"/>
              </a:solidFill>
              <a:latin typeface="Aptos Display" panose="020B0004020202020204" pitchFamily="34" charset="0"/>
            </a:rPr>
            <a:t> Future Belongs to those who build it with data,skills and curiosity.</a:t>
          </a:r>
        </a:p>
        <a:p>
          <a:pPr algn="ctr"/>
          <a:endParaRPr lang="en-IN" sz="2400" i="1" baseline="0">
            <a:solidFill>
              <a:srgbClr val="002060"/>
            </a:solidFill>
            <a:latin typeface="Aptos Display" panose="020B0004020202020204" pitchFamily="34" charset="0"/>
          </a:endParaRPr>
        </a:p>
        <a:p>
          <a:pPr algn="ctr"/>
          <a:endParaRPr lang="en-IN" sz="2400" i="1" baseline="0">
            <a:solidFill>
              <a:srgbClr val="002060"/>
            </a:solidFill>
            <a:latin typeface="Aptos Display" panose="020B0004020202020204" pitchFamily="34" charset="0"/>
          </a:endParaRPr>
        </a:p>
        <a:p>
          <a:pPr algn="ctr"/>
          <a:endParaRPr lang="en-IN" sz="2400" i="1" baseline="0">
            <a:solidFill>
              <a:srgbClr val="002060"/>
            </a:solidFill>
          </a:endParaRPr>
        </a:p>
        <a:p>
          <a:pPr algn="ctr"/>
          <a:endParaRPr lang="en-IN" sz="2400" i="0"/>
        </a:p>
      </xdr:txBody>
    </xdr:sp>
    <xdr:clientData/>
  </xdr:twoCellAnchor>
  <xdr:twoCellAnchor>
    <xdr:from>
      <xdr:col>14</xdr:col>
      <xdr:colOff>1480457</xdr:colOff>
      <xdr:row>50</xdr:row>
      <xdr:rowOff>0</xdr:rowOff>
    </xdr:from>
    <xdr:to>
      <xdr:col>17</xdr:col>
      <xdr:colOff>515257</xdr:colOff>
      <xdr:row>50</xdr:row>
      <xdr:rowOff>0</xdr:rowOff>
    </xdr:to>
    <xdr:cxnSp macro="">
      <xdr:nvCxnSpPr>
        <xdr:cNvPr id="29" name="Straight Connector 28">
          <a:extLst>
            <a:ext uri="{FF2B5EF4-FFF2-40B4-BE49-F238E27FC236}">
              <a16:creationId xmlns:a16="http://schemas.microsoft.com/office/drawing/2014/main" id="{FF3378C6-FB6C-D17F-C0B6-65D748A83C09}"/>
            </a:ext>
          </a:extLst>
        </xdr:cNvPr>
        <xdr:cNvCxnSpPr/>
      </xdr:nvCxnSpPr>
      <xdr:spPr>
        <a:xfrm>
          <a:off x="13081518" y="9874898"/>
          <a:ext cx="900923" cy="0"/>
        </a:xfrm>
        <a:prstGeom prst="line">
          <a:avLst/>
        </a:prstGeom>
        <a:ln>
          <a:solidFill>
            <a:srgbClr val="08121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653143</xdr:colOff>
      <xdr:row>5</xdr:row>
      <xdr:rowOff>320791</xdr:rowOff>
    </xdr:from>
    <xdr:to>
      <xdr:col>0</xdr:col>
      <xdr:colOff>979714</xdr:colOff>
      <xdr:row>6</xdr:row>
      <xdr:rowOff>289904</xdr:rowOff>
    </xdr:to>
    <xdr:pic>
      <xdr:nvPicPr>
        <xdr:cNvPr id="35" name="Graphic 34" descr="Briefcase with solid fill">
          <a:extLst>
            <a:ext uri="{FF2B5EF4-FFF2-40B4-BE49-F238E27FC236}">
              <a16:creationId xmlns:a16="http://schemas.microsoft.com/office/drawing/2014/main" id="{8E25EFDD-EA25-DF92-CA5F-01A2AF62D23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53143" y="1471567"/>
          <a:ext cx="326571" cy="342337"/>
        </a:xfrm>
        <a:prstGeom prst="rect">
          <a:avLst/>
        </a:prstGeom>
      </xdr:spPr>
    </xdr:pic>
    <xdr:clientData/>
  </xdr:twoCellAnchor>
  <xdr:twoCellAnchor editAs="oneCell">
    <xdr:from>
      <xdr:col>18</xdr:col>
      <xdr:colOff>466530</xdr:colOff>
      <xdr:row>0</xdr:row>
      <xdr:rowOff>46654</xdr:rowOff>
    </xdr:from>
    <xdr:to>
      <xdr:col>19</xdr:col>
      <xdr:colOff>494521</xdr:colOff>
      <xdr:row>3</xdr:row>
      <xdr:rowOff>31102</xdr:rowOff>
    </xdr:to>
    <xdr:pic>
      <xdr:nvPicPr>
        <xdr:cNvPr id="52" name="Graphic 51" descr="Bar graph with upward trend with solid fill">
          <a:extLst>
            <a:ext uri="{FF2B5EF4-FFF2-40B4-BE49-F238E27FC236}">
              <a16:creationId xmlns:a16="http://schemas.microsoft.com/office/drawing/2014/main" id="{59A00BDD-3C51-9BCB-30F4-2DB8E058F9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928979" y="46654"/>
          <a:ext cx="634481" cy="622040"/>
        </a:xfrm>
        <a:prstGeom prst="rect">
          <a:avLst/>
        </a:prstGeom>
      </xdr:spPr>
    </xdr:pic>
    <xdr:clientData/>
  </xdr:twoCellAnchor>
  <xdr:twoCellAnchor editAs="oneCell">
    <xdr:from>
      <xdr:col>3</xdr:col>
      <xdr:colOff>388776</xdr:colOff>
      <xdr:row>5</xdr:row>
      <xdr:rowOff>357673</xdr:rowOff>
    </xdr:from>
    <xdr:to>
      <xdr:col>4</xdr:col>
      <xdr:colOff>62205</xdr:colOff>
      <xdr:row>6</xdr:row>
      <xdr:rowOff>311021</xdr:rowOff>
    </xdr:to>
    <xdr:pic>
      <xdr:nvPicPr>
        <xdr:cNvPr id="54" name="Graphic 53" descr="Dollar with solid fill">
          <a:extLst>
            <a:ext uri="{FF2B5EF4-FFF2-40B4-BE49-F238E27FC236}">
              <a16:creationId xmlns:a16="http://schemas.microsoft.com/office/drawing/2014/main" id="{BC2392F8-9483-7C83-C51C-6B5EFFB1E4C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97021" y="1508449"/>
          <a:ext cx="637592" cy="326572"/>
        </a:xfrm>
        <a:prstGeom prst="rect">
          <a:avLst/>
        </a:prstGeom>
      </xdr:spPr>
    </xdr:pic>
    <xdr:clientData/>
  </xdr:twoCellAnchor>
  <xdr:twoCellAnchor editAs="oneCell">
    <xdr:from>
      <xdr:col>12</xdr:col>
      <xdr:colOff>746450</xdr:colOff>
      <xdr:row>5</xdr:row>
      <xdr:rowOff>311020</xdr:rowOff>
    </xdr:from>
    <xdr:to>
      <xdr:col>12</xdr:col>
      <xdr:colOff>1259634</xdr:colOff>
      <xdr:row>7</xdr:row>
      <xdr:rowOff>1</xdr:rowOff>
    </xdr:to>
    <xdr:pic>
      <xdr:nvPicPr>
        <xdr:cNvPr id="3" name="Graphic 2" descr="Marker with solid fill">
          <a:extLst>
            <a:ext uri="{FF2B5EF4-FFF2-40B4-BE49-F238E27FC236}">
              <a16:creationId xmlns:a16="http://schemas.microsoft.com/office/drawing/2014/main" id="{EBD920F0-BBDD-6623-7BB8-71B9E68F234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123715" y="1461796"/>
          <a:ext cx="513184" cy="388776"/>
        </a:xfrm>
        <a:prstGeom prst="rect">
          <a:avLst/>
        </a:prstGeom>
      </xdr:spPr>
    </xdr:pic>
    <xdr:clientData/>
  </xdr:twoCellAnchor>
  <xdr:twoCellAnchor editAs="oneCell">
    <xdr:from>
      <xdr:col>18</xdr:col>
      <xdr:colOff>326571</xdr:colOff>
      <xdr:row>50</xdr:row>
      <xdr:rowOff>62203</xdr:rowOff>
    </xdr:from>
    <xdr:to>
      <xdr:col>19</xdr:col>
      <xdr:colOff>326570</xdr:colOff>
      <xdr:row>52</xdr:row>
      <xdr:rowOff>108858</xdr:rowOff>
    </xdr:to>
    <xdr:pic>
      <xdr:nvPicPr>
        <xdr:cNvPr id="5" name="Graphic 4" descr="Bullseye with solid fill">
          <a:extLst>
            <a:ext uri="{FF2B5EF4-FFF2-40B4-BE49-F238E27FC236}">
              <a16:creationId xmlns:a16="http://schemas.microsoft.com/office/drawing/2014/main" id="{E3B969AC-0656-6406-6CC4-33A329E1CDD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789020" y="9937101"/>
          <a:ext cx="606489" cy="419879"/>
        </a:xfrm>
        <a:prstGeom prst="rect">
          <a:avLst/>
        </a:prstGeom>
      </xdr:spPr>
    </xdr:pic>
    <xdr:clientData/>
  </xdr:twoCellAnchor>
  <xdr:twoCellAnchor editAs="oneCell">
    <xdr:from>
      <xdr:col>14</xdr:col>
      <xdr:colOff>1464831</xdr:colOff>
      <xdr:row>39</xdr:row>
      <xdr:rowOff>130476</xdr:rowOff>
    </xdr:from>
    <xdr:to>
      <xdr:col>17</xdr:col>
      <xdr:colOff>516218</xdr:colOff>
      <xdr:row>43</xdr:row>
      <xdr:rowOff>161578</xdr:rowOff>
    </xdr:to>
    <xdr:pic>
      <xdr:nvPicPr>
        <xdr:cNvPr id="26" name="Graphic 25" descr="Open book with solid fill">
          <a:extLst>
            <a:ext uri="{FF2B5EF4-FFF2-40B4-BE49-F238E27FC236}">
              <a16:creationId xmlns:a16="http://schemas.microsoft.com/office/drawing/2014/main" id="{EA45A6D9-57C2-1293-468B-3DBB15DF842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117855" y="7936330"/>
          <a:ext cx="928509" cy="774516"/>
        </a:xfrm>
        <a:prstGeom prst="rect">
          <a:avLst/>
        </a:prstGeom>
      </xdr:spPr>
    </xdr:pic>
    <xdr:clientData/>
  </xdr:twoCellAnchor>
  <xdr:twoCellAnchor editAs="oneCell">
    <xdr:from>
      <xdr:col>6</xdr:col>
      <xdr:colOff>862732</xdr:colOff>
      <xdr:row>5</xdr:row>
      <xdr:rowOff>295468</xdr:rowOff>
    </xdr:from>
    <xdr:to>
      <xdr:col>6</xdr:col>
      <xdr:colOff>1181877</xdr:colOff>
      <xdr:row>7</xdr:row>
      <xdr:rowOff>15552</xdr:rowOff>
    </xdr:to>
    <xdr:pic>
      <xdr:nvPicPr>
        <xdr:cNvPr id="36" name="Graphic 35" descr="User with solid fill">
          <a:extLst>
            <a:ext uri="{FF2B5EF4-FFF2-40B4-BE49-F238E27FC236}">
              <a16:creationId xmlns:a16="http://schemas.microsoft.com/office/drawing/2014/main" id="{8B1593A7-E4A9-1E97-7C07-901A975E0BA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248120" y="1446244"/>
          <a:ext cx="319145" cy="419879"/>
        </a:xfrm>
        <a:prstGeom prst="rect">
          <a:avLst/>
        </a:prstGeom>
      </xdr:spPr>
    </xdr:pic>
    <xdr:clientData/>
  </xdr:twoCellAnchor>
  <xdr:twoCellAnchor editAs="oneCell">
    <xdr:from>
      <xdr:col>9</xdr:col>
      <xdr:colOff>590938</xdr:colOff>
      <xdr:row>5</xdr:row>
      <xdr:rowOff>295467</xdr:rowOff>
    </xdr:from>
    <xdr:to>
      <xdr:col>10</xdr:col>
      <xdr:colOff>43542</xdr:colOff>
      <xdr:row>6</xdr:row>
      <xdr:rowOff>311020</xdr:rowOff>
    </xdr:to>
    <xdr:pic>
      <xdr:nvPicPr>
        <xdr:cNvPr id="44" name="Graphic 43" descr="Bar chart with solid fill">
          <a:extLst>
            <a:ext uri="{FF2B5EF4-FFF2-40B4-BE49-F238E27FC236}">
              <a16:creationId xmlns:a16="http://schemas.microsoft.com/office/drawing/2014/main" id="{0D46BD47-A231-F8F2-3DF5-B5143BF2B29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682203" y="1446243"/>
          <a:ext cx="525625" cy="3887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2</xdr:row>
      <xdr:rowOff>140970</xdr:rowOff>
    </xdr:from>
    <xdr:to>
      <xdr:col>10</xdr:col>
      <xdr:colOff>83820</xdr:colOff>
      <xdr:row>17</xdr:row>
      <xdr:rowOff>140970</xdr:rowOff>
    </xdr:to>
    <xdr:graphicFrame macro="">
      <xdr:nvGraphicFramePr>
        <xdr:cNvPr id="3" name="Chart 2">
          <a:extLst>
            <a:ext uri="{FF2B5EF4-FFF2-40B4-BE49-F238E27FC236}">
              <a16:creationId xmlns:a16="http://schemas.microsoft.com/office/drawing/2014/main" id="{033BF02F-4DC9-65F5-EB7C-460DC9D0D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2</xdr:row>
      <xdr:rowOff>163830</xdr:rowOff>
    </xdr:from>
    <xdr:to>
      <xdr:col>9</xdr:col>
      <xdr:colOff>259080</xdr:colOff>
      <xdr:row>17</xdr:row>
      <xdr:rowOff>163830</xdr:rowOff>
    </xdr:to>
    <xdr:graphicFrame macro="">
      <xdr:nvGraphicFramePr>
        <xdr:cNvPr id="2" name="Chart 1">
          <a:extLst>
            <a:ext uri="{FF2B5EF4-FFF2-40B4-BE49-F238E27FC236}">
              <a16:creationId xmlns:a16="http://schemas.microsoft.com/office/drawing/2014/main" id="{2EBF9978-87DB-F90D-3F5D-0D1C599F3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1</xdr:row>
      <xdr:rowOff>3810</xdr:rowOff>
    </xdr:from>
    <xdr:to>
      <xdr:col>9</xdr:col>
      <xdr:colOff>464820</xdr:colOff>
      <xdr:row>16</xdr:row>
      <xdr:rowOff>3810</xdr:rowOff>
    </xdr:to>
    <xdr:graphicFrame macro="">
      <xdr:nvGraphicFramePr>
        <xdr:cNvPr id="2" name="Chart 1">
          <a:extLst>
            <a:ext uri="{FF2B5EF4-FFF2-40B4-BE49-F238E27FC236}">
              <a16:creationId xmlns:a16="http://schemas.microsoft.com/office/drawing/2014/main" id="{6A7DD33B-FA71-2E67-0AA0-A773492E3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1</xdr:row>
      <xdr:rowOff>30480</xdr:rowOff>
    </xdr:from>
    <xdr:to>
      <xdr:col>8</xdr:col>
      <xdr:colOff>571500</xdr:colOff>
      <xdr:row>14</xdr:row>
      <xdr:rowOff>57150</xdr:rowOff>
    </xdr:to>
    <xdr:graphicFrame macro="">
      <xdr:nvGraphicFramePr>
        <xdr:cNvPr id="3" name="Chart 2">
          <a:extLst>
            <a:ext uri="{FF2B5EF4-FFF2-40B4-BE49-F238E27FC236}">
              <a16:creationId xmlns:a16="http://schemas.microsoft.com/office/drawing/2014/main" id="{5CEEFC00-8FD4-26BC-5030-26CCE5995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0</xdr:row>
      <xdr:rowOff>179070</xdr:rowOff>
    </xdr:from>
    <xdr:to>
      <xdr:col>9</xdr:col>
      <xdr:colOff>419100</xdr:colOff>
      <xdr:row>15</xdr:row>
      <xdr:rowOff>179070</xdr:rowOff>
    </xdr:to>
    <xdr:graphicFrame macro="">
      <xdr:nvGraphicFramePr>
        <xdr:cNvPr id="3" name="Chart 2">
          <a:extLst>
            <a:ext uri="{FF2B5EF4-FFF2-40B4-BE49-F238E27FC236}">
              <a16:creationId xmlns:a16="http://schemas.microsoft.com/office/drawing/2014/main" id="{97CF60F7-12EE-B7B7-A3FC-89C2E0E75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4</xdr:row>
      <xdr:rowOff>179070</xdr:rowOff>
    </xdr:from>
    <xdr:to>
      <xdr:col>9</xdr:col>
      <xdr:colOff>556260</xdr:colOff>
      <xdr:row>19</xdr:row>
      <xdr:rowOff>179070</xdr:rowOff>
    </xdr:to>
    <xdr:graphicFrame macro="">
      <xdr:nvGraphicFramePr>
        <xdr:cNvPr id="3" name="Chart 2">
          <a:extLst>
            <a:ext uri="{FF2B5EF4-FFF2-40B4-BE49-F238E27FC236}">
              <a16:creationId xmlns:a16="http://schemas.microsoft.com/office/drawing/2014/main" id="{B108C0B3-F8CE-8980-1E55-178ACB29D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190500</xdr:colOff>
      <xdr:row>5</xdr:row>
      <xdr:rowOff>80010</xdr:rowOff>
    </xdr:from>
    <xdr:to>
      <xdr:col>9</xdr:col>
      <xdr:colOff>495300</xdr:colOff>
      <xdr:row>20</xdr:row>
      <xdr:rowOff>80010</xdr:rowOff>
    </xdr:to>
    <xdr:graphicFrame macro="">
      <xdr:nvGraphicFramePr>
        <xdr:cNvPr id="4" name="Chart 3">
          <a:extLst>
            <a:ext uri="{FF2B5EF4-FFF2-40B4-BE49-F238E27FC236}">
              <a16:creationId xmlns:a16="http://schemas.microsoft.com/office/drawing/2014/main" id="{C9F95EBB-BFBC-6190-E40A-8696433C3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a" refreshedDate="46270.900357638886" createdVersion="8" refreshedVersion="8" minRefreshableVersion="3" recordCount="500" xr:uid="{A22EB72A-DB09-4F84-8A6F-C201118D78B1}">
  <cacheSource type="worksheet">
    <worksheetSource name="JobData"/>
  </cacheSource>
  <cacheFields count="13">
    <cacheField name="Job_ID" numFmtId="0">
      <sharedItems/>
    </cacheField>
    <cacheField name="Job_Title" numFmtId="0">
      <sharedItems count="10">
        <s v="Product Data Analyst"/>
        <s v="Data Engineer"/>
        <s v="Ml Engineer"/>
        <s v="Machine Learning Scientist"/>
        <s v="Data Analyst"/>
        <s v="Bi Analyst"/>
        <s v="Data Scientist"/>
        <s v="Business Analyst"/>
        <s v="Ai/Ml Analyst"/>
        <s v="Ai Engineer"/>
      </sharedItems>
    </cacheField>
    <cacheField name="Company" numFmtId="0">
      <sharedItems/>
    </cacheField>
    <cacheField name="Location" numFmtId="0">
      <sharedItems count="10">
        <s v="Kolkata"/>
        <s v="Gurugram"/>
        <s v="Bangalore"/>
        <s v="Noida"/>
        <s v="Chennai"/>
        <s v="Ahmedabad"/>
        <s v="Delhi"/>
        <s v="Mumbai"/>
        <s v="Hyderabad"/>
        <s v="Pune"/>
      </sharedItems>
    </cacheField>
    <cacheField name="Experience" numFmtId="0">
      <sharedItems count="5">
        <s v="1-3 Years"/>
        <s v="3-5 Years"/>
        <s v="0-2 Years"/>
        <s v="5+ Years"/>
        <s v="2-5 Years"/>
      </sharedItems>
    </cacheField>
    <cacheField name="Salary_INR" numFmtId="43">
      <sharedItems containsMixedTypes="1" containsNumber="1" containsInteger="1" minValue="1000000" maxValue="1000000"/>
    </cacheField>
    <cacheField name="Salary_Lakhs" numFmtId="43">
      <sharedItems containsSemiMixedTypes="0" containsString="0" containsNumber="1" minValue="2.0499999999999998" maxValue="44.5" count="311">
        <n v="10"/>
        <n v="9.15"/>
        <n v="16.25"/>
        <n v="10.95"/>
        <n v="2.1"/>
        <n v="5.7"/>
        <n v="7.2"/>
        <n v="7.55"/>
        <n v="18.45"/>
        <n v="29.35"/>
        <n v="21.05"/>
        <n v="11.2"/>
        <n v="7.5"/>
        <n v="5.15"/>
        <n v="14"/>
        <n v="35.049999999999997"/>
        <n v="14.45"/>
        <n v="4.3499999999999996"/>
        <n v="14.15"/>
        <n v="14.9"/>
        <n v="17.25"/>
        <n v="10.050000000000001"/>
        <n v="10.65"/>
        <n v="7.3"/>
        <n v="34.15"/>
        <n v="19.25"/>
        <n v="29.8"/>
        <n v="27.9"/>
        <n v="14.85"/>
        <n v="16.899999999999999"/>
        <n v="4.5999999999999996"/>
        <n v="4.1500000000000004"/>
        <n v="16.850000000000001"/>
        <n v="15.1"/>
        <n v="19.899999999999999"/>
        <n v="3.9"/>
        <n v="6.9"/>
        <n v="15.85"/>
        <n v="13.6"/>
        <n v="4.3"/>
        <n v="21.75"/>
        <n v="7.6"/>
        <n v="6.5"/>
        <n v="26.6"/>
        <n v="31.1"/>
        <n v="14.05"/>
        <n v="6.6"/>
        <n v="41.9"/>
        <n v="10.45"/>
        <n v="11.75"/>
        <n v="12.65"/>
        <n v="28.25"/>
        <n v="10.35"/>
        <n v="17.600000000000001"/>
        <n v="42.7"/>
        <n v="6.35"/>
        <n v="2.9"/>
        <n v="3.1"/>
        <n v="43.55"/>
        <n v="11.8"/>
        <n v="9.25"/>
        <n v="11.25"/>
        <n v="11.55"/>
        <n v="20.05"/>
        <n v="4.05"/>
        <n v="5.25"/>
        <n v="11.45"/>
        <n v="10.25"/>
        <n v="26.35"/>
        <n v="22.4"/>
        <n v="14.1"/>
        <n v="7.9"/>
        <n v="6.15"/>
        <n v="9.9"/>
        <n v="6.4"/>
        <n v="6.3"/>
        <n v="4.0999999999999996"/>
        <n v="8.3000000000000007"/>
        <n v="27.05"/>
        <n v="4.9000000000000004"/>
        <n v="9.0500000000000007"/>
        <n v="19.45"/>
        <n v="6.65"/>
        <n v="3.8"/>
        <n v="10.199999999999999"/>
        <n v="24.35"/>
        <n v="13.55"/>
        <n v="8.85"/>
        <n v="29.95"/>
        <n v="20.350000000000001"/>
        <n v="19.05"/>
        <n v="20.75"/>
        <n v="12"/>
        <n v="9.6"/>
        <n v="5.8"/>
        <n v="40.450000000000003"/>
        <n v="4.5"/>
        <n v="27.2"/>
        <n v="12.25"/>
        <n v="10.1"/>
        <n v="13.15"/>
        <n v="5.65"/>
        <n v="7.35"/>
        <n v="24.2"/>
        <n v="4.45"/>
        <n v="42.5"/>
        <n v="14.2"/>
        <n v="15.55"/>
        <n v="8.8000000000000007"/>
        <n v="36.4"/>
        <n v="4.6500000000000004"/>
        <n v="13.8"/>
        <n v="11.1"/>
        <n v="12.7"/>
        <n v="19.95"/>
        <n v="2.5499999999999998"/>
        <n v="20.85"/>
        <n v="17.95"/>
        <n v="8.1999999999999993"/>
        <n v="2.0499999999999998"/>
        <n v="20.6"/>
        <n v="18.25"/>
        <n v="13.7"/>
        <n v="5"/>
        <n v="20.45"/>
        <n v="11"/>
        <n v="9.4"/>
        <n v="21.7"/>
        <n v="10.4"/>
        <n v="13.05"/>
        <n v="4.7"/>
        <n v="4.25"/>
        <n v="12.05"/>
        <n v="10.55"/>
        <n v="6"/>
        <n v="13.95"/>
        <n v="10.6"/>
        <n v="7.85"/>
        <n v="5.35"/>
        <n v="8.65"/>
        <n v="5.75"/>
        <n v="43.7"/>
        <n v="22.7"/>
        <n v="17.45"/>
        <n v="3.15"/>
        <n v="6.2"/>
        <n v="5.4"/>
        <n v="6.8"/>
        <n v="11.6"/>
        <n v="6.85"/>
        <n v="14.25"/>
        <n v="40.15"/>
        <n v="3.85"/>
        <n v="8.4499999999999993"/>
        <n v="6.05"/>
        <n v="4.8"/>
        <n v="9.5500000000000007"/>
        <n v="7.8"/>
        <n v="18.5"/>
        <n v="32.4"/>
        <n v="10.15"/>
        <n v="20.25"/>
        <n v="25"/>
        <n v="16.8"/>
        <n v="3.6"/>
        <n v="6.55"/>
        <n v="16.05"/>
        <n v="15.45"/>
        <n v="12.2"/>
        <n v="8.0500000000000007"/>
        <n v="16.2"/>
        <n v="6.7"/>
        <n v="7.25"/>
        <n v="23.7"/>
        <n v="7.7"/>
        <n v="14.95"/>
        <n v="5.85"/>
        <n v="27.5"/>
        <n v="15.4"/>
        <n v="2.85"/>
        <n v="18.2"/>
        <n v="7.4"/>
        <n v="20.149999999999999"/>
        <n v="29.6"/>
        <n v="19"/>
        <n v="6.1"/>
        <n v="9.6999999999999993"/>
        <n v="4.2"/>
        <n v="10.8"/>
        <n v="14.5"/>
        <n v="12.1"/>
        <n v="16.45"/>
        <n v="33.4"/>
        <n v="20.100000000000001"/>
        <n v="4"/>
        <n v="33.85"/>
        <n v="17"/>
        <n v="6.45"/>
        <n v="16.3"/>
        <n v="20.9"/>
        <n v="9"/>
        <n v="16"/>
        <n v="4.95"/>
        <n v="9.65"/>
        <n v="10.5"/>
        <n v="8.15"/>
        <n v="15.7"/>
        <n v="7.75"/>
        <n v="17.350000000000001"/>
        <n v="13.65"/>
        <n v="6.75"/>
        <n v="31.45"/>
        <n v="9.3000000000000007"/>
        <n v="9.75"/>
        <n v="7.65"/>
        <n v="14.3"/>
        <n v="11.05"/>
        <n v="15.25"/>
        <n v="19.3"/>
        <n v="8.5"/>
        <n v="2.25"/>
        <n v="44.5"/>
        <n v="26.5"/>
        <n v="40.200000000000003"/>
        <n v="40.25"/>
        <n v="18"/>
        <n v="10.3"/>
        <n v="3.55"/>
        <n v="32.6"/>
        <n v="33.549999999999997"/>
        <n v="12.4"/>
        <n v="20.399999999999999"/>
        <n v="2.5"/>
        <n v="31.85"/>
        <n v="30.65"/>
        <n v="18.899999999999999"/>
        <n v="11.4"/>
        <n v="21.45"/>
        <n v="9.1"/>
        <n v="20.3"/>
        <n v="3.2"/>
        <n v="3.45"/>
        <n v="12.45"/>
        <n v="15.5"/>
        <n v="21.1"/>
        <n v="5.6"/>
        <n v="9.5"/>
        <n v="16.399999999999999"/>
        <n v="29.05"/>
        <n v="2.95"/>
        <n v="38.6"/>
        <n v="18.600000000000001"/>
        <n v="8"/>
        <n v="30.7"/>
        <n v="23.25"/>
        <n v="4.55"/>
        <n v="2.8"/>
        <n v="4.4000000000000004"/>
        <n v="17.55"/>
        <n v="7.95"/>
        <n v="2.7"/>
        <n v="39.200000000000003"/>
        <n v="5.3"/>
        <n v="9.1999999999999993"/>
        <n v="43.95"/>
        <n v="16.5"/>
        <n v="20"/>
        <n v="8.6999999999999993"/>
        <n v="3.5"/>
        <n v="5.55"/>
        <n v="17.3"/>
        <n v="36.450000000000003"/>
        <n v="13.25"/>
        <n v="5.45"/>
        <n v="2.4"/>
        <n v="17.75"/>
        <n v="26.25"/>
        <n v="34.299999999999997"/>
        <n v="6.95"/>
        <n v="19.149999999999999"/>
        <n v="35.15"/>
        <n v="7.05"/>
        <n v="3.4"/>
        <n v="11.7"/>
        <n v="18.399999999999999"/>
        <n v="9.85"/>
        <n v="30.15"/>
        <n v="43.1"/>
        <n v="8.9499999999999993"/>
        <n v="43.5"/>
        <n v="6.25"/>
        <n v="4.75"/>
        <n v="40.9"/>
        <n v="4.8499999999999996"/>
        <n v="11.9"/>
        <n v="5.05"/>
        <n v="12.3"/>
        <n v="23"/>
        <n v="18.7"/>
        <n v="11.65"/>
        <n v="32.700000000000003"/>
        <n v="3.75"/>
        <n v="3.7"/>
        <n v="10.7"/>
        <n v="15.9"/>
        <n v="21.55"/>
        <n v="15.75"/>
        <n v="15.65"/>
        <n v="27.55"/>
        <n v="19.600000000000001"/>
        <n v="28.05"/>
      </sharedItems>
    </cacheField>
    <cacheField name="Job_Type" numFmtId="0">
      <sharedItems count="3">
        <s v="Contract"/>
        <s v="Full Time"/>
        <s v="Internship"/>
      </sharedItems>
    </cacheField>
    <cacheField name="Work_Mode" numFmtId="0">
      <sharedItems count="3">
        <s v="On-Site"/>
        <s v="Hybrid"/>
        <s v="Remote"/>
      </sharedItems>
    </cacheField>
    <cacheField name="Skill_1" numFmtId="0">
      <sharedItems count="15">
        <s v="Sql"/>
        <s v="Machine Learning"/>
        <s v="Tensorflow"/>
        <s v="Statistics"/>
        <s v="Python"/>
        <s v="R"/>
        <s v="Nlp"/>
        <s v="Azure"/>
        <s v="Tableau"/>
        <s v="Power Bi"/>
        <s v="Excel"/>
        <s v="Deep Learning"/>
        <s v="Aws"/>
        <s v="Power Query"/>
        <s v="Ai"/>
      </sharedItems>
    </cacheField>
    <cacheField name="Skill_2" numFmtId="0">
      <sharedItems count="15">
        <s v="Deep Learning"/>
        <s v="R"/>
        <s v="Azure"/>
        <s v="Python"/>
        <s v="Sql"/>
        <s v="Power Bi"/>
        <s v="Power Query"/>
        <s v="Tableau"/>
        <s v="Machine Learning"/>
        <s v="Aws"/>
        <s v="Ai"/>
        <s v="Excel"/>
        <s v="Statistics"/>
        <s v="Tensorflow"/>
        <s v="Nlp"/>
      </sharedItems>
    </cacheField>
    <cacheField name="Skill_3" numFmtId="0">
      <sharedItems count="15">
        <s v="Excel"/>
        <s v="Power Query"/>
        <s v="Deep Learning"/>
        <s v="Machine Learning"/>
        <s v="Tableau"/>
        <s v="Tensorflow"/>
        <s v="Sql"/>
        <s v="Power Bi"/>
        <s v="Python"/>
        <s v="Nlp"/>
        <s v="Azure"/>
        <s v="Aws"/>
        <s v="R"/>
        <s v="Ai"/>
        <s v="Statistics"/>
      </sharedItems>
    </cacheField>
    <cacheField name="Posted_Date" numFmtId="0">
      <sharedItems/>
    </cacheField>
  </cacheFields>
  <extLst>
    <ext xmlns:x14="http://schemas.microsoft.com/office/spreadsheetml/2009/9/main" uri="{725AE2AE-9491-48be-B2B4-4EB974FC3084}">
      <x14:pivotCacheDefinition pivotCacheId="9248670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a" refreshedDate="46270.909626620371" createdVersion="8" refreshedVersion="8" minRefreshableVersion="3" recordCount="1500" xr:uid="{905C641F-DBD0-4035-8D2F-C1B13CF93C1F}">
  <cacheSource type="worksheet">
    <worksheetSource name="JobData_1"/>
  </cacheSource>
  <cacheFields count="11">
    <cacheField name="Job_ID" numFmtId="0">
      <sharedItems/>
    </cacheField>
    <cacheField name="Job_Title" numFmtId="0">
      <sharedItems/>
    </cacheField>
    <cacheField name="Company" numFmtId="0">
      <sharedItems/>
    </cacheField>
    <cacheField name="Location" numFmtId="0">
      <sharedItems/>
    </cacheField>
    <cacheField name="Experience" numFmtId="0">
      <sharedItems/>
    </cacheField>
    <cacheField name="Salary_INR" numFmtId="0">
      <sharedItems containsSemiMixedTypes="0" containsString="0" containsNumber="1" containsInteger="1" minValue="205000" maxValue="4450000"/>
    </cacheField>
    <cacheField name="Salary_Lakhs" numFmtId="0">
      <sharedItems containsSemiMixedTypes="0" containsString="0" containsNumber="1" minValue="2.0499999999999998" maxValue="44.5"/>
    </cacheField>
    <cacheField name="Job_Type" numFmtId="0">
      <sharedItems/>
    </cacheField>
    <cacheField name="Work_Mode" numFmtId="0">
      <sharedItems/>
    </cacheField>
    <cacheField name="Posted_Date" numFmtId="14">
      <sharedItems containsSemiMixedTypes="0" containsNonDate="0" containsDate="1" containsString="0" minDate="2026-01-01T00:00:00" maxDate="2026-09-01T00:00:00"/>
    </cacheField>
    <cacheField name="skills" numFmtId="0">
      <sharedItems count="15">
        <s v="Sql"/>
        <s v="Deep Learning"/>
        <s v="Excel"/>
        <s v="Machine Learning"/>
        <s v="R"/>
        <s v="Power Query"/>
        <s v="Tensorflow"/>
        <s v="Azure"/>
        <s v="Statistics"/>
        <s v="Python"/>
        <s v="Tableau"/>
        <s v="Nlp"/>
        <s v="Power Bi"/>
        <s v="Aws"/>
        <s v="A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Job0258"/>
    <x v="0"/>
    <s v="Mindtree"/>
    <x v="0"/>
    <x v="0"/>
    <n v="1000000"/>
    <x v="0"/>
    <x v="0"/>
    <x v="0"/>
    <x v="0"/>
    <x v="0"/>
    <x v="0"/>
    <s v="04-06-2026"/>
  </r>
  <r>
    <s v="Job0182"/>
    <x v="1"/>
    <s v="Tredence"/>
    <x v="1"/>
    <x v="0"/>
    <s v="915000"/>
    <x v="1"/>
    <x v="1"/>
    <x v="1"/>
    <x v="1"/>
    <x v="1"/>
    <x v="1"/>
    <s v="16-06-2026"/>
  </r>
  <r>
    <s v="Job0065"/>
    <x v="2"/>
    <s v="Accenture India"/>
    <x v="2"/>
    <x v="1"/>
    <s v="1625000"/>
    <x v="2"/>
    <x v="1"/>
    <x v="1"/>
    <x v="2"/>
    <x v="2"/>
    <x v="2"/>
    <s v="24-01-2026"/>
  </r>
  <r>
    <s v="Job0434"/>
    <x v="3"/>
    <s v="Icici Bank"/>
    <x v="3"/>
    <x v="1"/>
    <s v="1095000"/>
    <x v="3"/>
    <x v="1"/>
    <x v="1"/>
    <x v="3"/>
    <x v="3"/>
    <x v="3"/>
    <s v="07-02-2026"/>
  </r>
  <r>
    <s v="Job0032"/>
    <x v="4"/>
    <s v="Fractal Analytics"/>
    <x v="4"/>
    <x v="2"/>
    <s v="210000"/>
    <x v="4"/>
    <x v="2"/>
    <x v="1"/>
    <x v="2"/>
    <x v="4"/>
    <x v="4"/>
    <s v="19-08-2026"/>
  </r>
  <r>
    <s v="Job0305"/>
    <x v="5"/>
    <s v="Wns Global Services"/>
    <x v="3"/>
    <x v="0"/>
    <s v="570000"/>
    <x v="5"/>
    <x v="1"/>
    <x v="2"/>
    <x v="4"/>
    <x v="4"/>
    <x v="5"/>
    <s v="22-08-2026"/>
  </r>
  <r>
    <s v="Job0212"/>
    <x v="6"/>
    <s v="Mu Sigma"/>
    <x v="5"/>
    <x v="0"/>
    <s v="720000"/>
    <x v="6"/>
    <x v="1"/>
    <x v="2"/>
    <x v="5"/>
    <x v="4"/>
    <x v="2"/>
    <s v="06-06-2026"/>
  </r>
  <r>
    <s v="Job0062"/>
    <x v="1"/>
    <s v="Byju'S"/>
    <x v="0"/>
    <x v="0"/>
    <s v="755000"/>
    <x v="7"/>
    <x v="1"/>
    <x v="1"/>
    <x v="6"/>
    <x v="3"/>
    <x v="6"/>
    <s v="16-01-2026"/>
  </r>
  <r>
    <s v="Job0073"/>
    <x v="5"/>
    <s v="Accenture India"/>
    <x v="6"/>
    <x v="1"/>
    <s v="1845000"/>
    <x v="8"/>
    <x v="0"/>
    <x v="1"/>
    <x v="7"/>
    <x v="5"/>
    <x v="4"/>
    <s v="09-05-2026"/>
  </r>
  <r>
    <s v="Job0369"/>
    <x v="7"/>
    <s v="Icici Bank"/>
    <x v="7"/>
    <x v="3"/>
    <s v="2935000"/>
    <x v="9"/>
    <x v="1"/>
    <x v="2"/>
    <x v="8"/>
    <x v="6"/>
    <x v="7"/>
    <s v="17-02-2026"/>
  </r>
  <r>
    <s v="Job0210"/>
    <x v="6"/>
    <s v="Persistent Systems"/>
    <x v="8"/>
    <x v="3"/>
    <s v="2105000"/>
    <x v="10"/>
    <x v="1"/>
    <x v="1"/>
    <x v="9"/>
    <x v="1"/>
    <x v="5"/>
    <s v="11-06-2026"/>
  </r>
  <r>
    <s v="Job0074"/>
    <x v="0"/>
    <s v="Sap Labs India"/>
    <x v="7"/>
    <x v="1"/>
    <s v="1120000"/>
    <x v="11"/>
    <x v="0"/>
    <x v="2"/>
    <x v="10"/>
    <x v="5"/>
    <x v="8"/>
    <s v="28-03-2026"/>
  </r>
  <r>
    <s v="Job0038"/>
    <x v="5"/>
    <s v="Freshworks"/>
    <x v="2"/>
    <x v="2"/>
    <s v="750000"/>
    <x v="12"/>
    <x v="0"/>
    <x v="0"/>
    <x v="5"/>
    <x v="5"/>
    <x v="1"/>
    <s v="05-03-2026"/>
  </r>
  <r>
    <s v="Job0115"/>
    <x v="5"/>
    <s v="Thoughtworks"/>
    <x v="6"/>
    <x v="2"/>
    <s v="515000"/>
    <x v="13"/>
    <x v="1"/>
    <x v="1"/>
    <x v="11"/>
    <x v="5"/>
    <x v="9"/>
    <s v="05-02-2026"/>
  </r>
  <r>
    <s v="Job0201"/>
    <x v="0"/>
    <s v="Goldman Sachs India"/>
    <x v="6"/>
    <x v="1"/>
    <s v="1400000"/>
    <x v="14"/>
    <x v="0"/>
    <x v="0"/>
    <x v="4"/>
    <x v="7"/>
    <x v="3"/>
    <s v="04-06-2026"/>
  </r>
  <r>
    <s v="Job0477"/>
    <x v="4"/>
    <s v="Pwc India"/>
    <x v="9"/>
    <x v="3"/>
    <s v="3505000"/>
    <x v="15"/>
    <x v="0"/>
    <x v="0"/>
    <x v="6"/>
    <x v="6"/>
    <x v="6"/>
    <s v="07-04-2026"/>
  </r>
  <r>
    <s v="Job0352"/>
    <x v="4"/>
    <s v="Larsen &amp; Toubro"/>
    <x v="5"/>
    <x v="1"/>
    <s v="1445000"/>
    <x v="16"/>
    <x v="1"/>
    <x v="1"/>
    <x v="5"/>
    <x v="5"/>
    <x v="1"/>
    <s v="25-07-2026"/>
  </r>
  <r>
    <s v="Job0323"/>
    <x v="2"/>
    <s v="Hdfc Bank"/>
    <x v="2"/>
    <x v="2"/>
    <s v="435000"/>
    <x v="17"/>
    <x v="1"/>
    <x v="1"/>
    <x v="12"/>
    <x v="8"/>
    <x v="4"/>
    <s v="30-05-2026"/>
  </r>
  <r>
    <s v="Job0171"/>
    <x v="1"/>
    <s v="Deloitte India"/>
    <x v="9"/>
    <x v="1"/>
    <s v="1415000"/>
    <x v="18"/>
    <x v="1"/>
    <x v="0"/>
    <x v="0"/>
    <x v="0"/>
    <x v="0"/>
    <s v="15-03-2026"/>
  </r>
  <r>
    <s v="Job0216"/>
    <x v="5"/>
    <s v="Dunzo"/>
    <x v="5"/>
    <x v="1"/>
    <s v="1490000"/>
    <x v="19"/>
    <x v="1"/>
    <x v="0"/>
    <x v="9"/>
    <x v="3"/>
    <x v="4"/>
    <s v="16-03-2026"/>
  </r>
  <r>
    <s v="Job0090"/>
    <x v="7"/>
    <s v="Infosys"/>
    <x v="4"/>
    <x v="0"/>
    <s v="1095000"/>
    <x v="3"/>
    <x v="1"/>
    <x v="0"/>
    <x v="10"/>
    <x v="5"/>
    <x v="6"/>
    <s v="31-05-2026"/>
  </r>
  <r>
    <s v="Job0158"/>
    <x v="4"/>
    <s v="Makemytrip"/>
    <x v="7"/>
    <x v="4"/>
    <s v="1725000"/>
    <x v="20"/>
    <x v="1"/>
    <x v="0"/>
    <x v="13"/>
    <x v="4"/>
    <x v="0"/>
    <s v="07-06-2026"/>
  </r>
  <r>
    <s v="Job0366"/>
    <x v="1"/>
    <s v="Ola"/>
    <x v="8"/>
    <x v="4"/>
    <s v="1005000"/>
    <x v="21"/>
    <x v="1"/>
    <x v="1"/>
    <x v="0"/>
    <x v="1"/>
    <x v="10"/>
    <s v="07-06-2026"/>
  </r>
  <r>
    <s v="Job0191"/>
    <x v="5"/>
    <s v="Goldman Sachs India"/>
    <x v="5"/>
    <x v="1"/>
    <s v="1065000"/>
    <x v="22"/>
    <x v="1"/>
    <x v="2"/>
    <x v="3"/>
    <x v="7"/>
    <x v="1"/>
    <s v="24-08-2026"/>
  </r>
  <r>
    <s v="Job0121"/>
    <x v="5"/>
    <s v="Publicis Sapient"/>
    <x v="6"/>
    <x v="0"/>
    <s v="730000"/>
    <x v="23"/>
    <x v="1"/>
    <x v="1"/>
    <x v="3"/>
    <x v="4"/>
    <x v="4"/>
    <s v="05-02-2026"/>
  </r>
  <r>
    <s v="Job0401"/>
    <x v="1"/>
    <s v="Meesho"/>
    <x v="8"/>
    <x v="3"/>
    <s v="3415000"/>
    <x v="24"/>
    <x v="1"/>
    <x v="0"/>
    <x v="13"/>
    <x v="9"/>
    <x v="10"/>
    <s v="29-06-2026"/>
  </r>
  <r>
    <s v="Job0363"/>
    <x v="3"/>
    <s v="Goldman Sachs India"/>
    <x v="0"/>
    <x v="1"/>
    <s v="1925000"/>
    <x v="25"/>
    <x v="1"/>
    <x v="0"/>
    <x v="10"/>
    <x v="3"/>
    <x v="2"/>
    <s v="18-01-2026"/>
  </r>
  <r>
    <s v="Job0192"/>
    <x v="4"/>
    <s v="Razorpay"/>
    <x v="8"/>
    <x v="3"/>
    <s v="2980000"/>
    <x v="26"/>
    <x v="1"/>
    <x v="2"/>
    <x v="13"/>
    <x v="10"/>
    <x v="11"/>
    <s v="18-06-2026"/>
  </r>
  <r>
    <s v="Job0138"/>
    <x v="2"/>
    <s v="Hsbc India"/>
    <x v="1"/>
    <x v="3"/>
    <s v="2790000"/>
    <x v="27"/>
    <x v="1"/>
    <x v="1"/>
    <x v="11"/>
    <x v="4"/>
    <x v="11"/>
    <s v="30-03-2026"/>
  </r>
  <r>
    <s v="Job0190"/>
    <x v="3"/>
    <s v="Freshworks"/>
    <x v="8"/>
    <x v="4"/>
    <s v="1485000"/>
    <x v="28"/>
    <x v="0"/>
    <x v="1"/>
    <x v="5"/>
    <x v="11"/>
    <x v="6"/>
    <s v="14-04-2026"/>
  </r>
  <r>
    <s v="Job0136"/>
    <x v="6"/>
    <s v="Lenskart"/>
    <x v="5"/>
    <x v="4"/>
    <s v="1690000"/>
    <x v="29"/>
    <x v="0"/>
    <x v="0"/>
    <x v="7"/>
    <x v="3"/>
    <x v="12"/>
    <s v="03-04-2026"/>
  </r>
  <r>
    <s v="Job0231"/>
    <x v="7"/>
    <s v="Freshworks"/>
    <x v="4"/>
    <x v="2"/>
    <s v="460000"/>
    <x v="30"/>
    <x v="1"/>
    <x v="0"/>
    <x v="9"/>
    <x v="4"/>
    <x v="1"/>
    <s v="05-06-2026"/>
  </r>
  <r>
    <s v="Job0283"/>
    <x v="7"/>
    <s v="Tcs"/>
    <x v="8"/>
    <x v="2"/>
    <s v="415000"/>
    <x v="31"/>
    <x v="2"/>
    <x v="0"/>
    <x v="1"/>
    <x v="5"/>
    <x v="6"/>
    <s v="30-04-2026"/>
  </r>
  <r>
    <s v="Job0406"/>
    <x v="2"/>
    <s v="Pwc India"/>
    <x v="0"/>
    <x v="1"/>
    <s v="1685000"/>
    <x v="32"/>
    <x v="1"/>
    <x v="2"/>
    <x v="13"/>
    <x v="2"/>
    <x v="11"/>
    <s v="29-07-2026"/>
  </r>
  <r>
    <s v="Job0297"/>
    <x v="8"/>
    <s v="Persistent Systems"/>
    <x v="7"/>
    <x v="4"/>
    <s v="1510000"/>
    <x v="33"/>
    <x v="0"/>
    <x v="1"/>
    <x v="4"/>
    <x v="12"/>
    <x v="11"/>
    <s v="19-06-2026"/>
  </r>
  <r>
    <s v="Job0164"/>
    <x v="1"/>
    <s v="Sonata Software"/>
    <x v="0"/>
    <x v="1"/>
    <s v="1990000"/>
    <x v="34"/>
    <x v="1"/>
    <x v="2"/>
    <x v="12"/>
    <x v="3"/>
    <x v="6"/>
    <s v="08-03-2026"/>
  </r>
  <r>
    <s v="Job0096"/>
    <x v="3"/>
    <s v="Ibm India"/>
    <x v="7"/>
    <x v="2"/>
    <s v="390000"/>
    <x v="35"/>
    <x v="1"/>
    <x v="0"/>
    <x v="14"/>
    <x v="11"/>
    <x v="11"/>
    <s v="24-05-2026"/>
  </r>
  <r>
    <s v="Job0328"/>
    <x v="3"/>
    <s v="Accenture India"/>
    <x v="4"/>
    <x v="0"/>
    <s v="690000"/>
    <x v="36"/>
    <x v="1"/>
    <x v="2"/>
    <x v="5"/>
    <x v="10"/>
    <x v="9"/>
    <s v="02-01-2026"/>
  </r>
  <r>
    <s v="Job0222"/>
    <x v="7"/>
    <s v="Adobe India"/>
    <x v="8"/>
    <x v="1"/>
    <s v="1585000"/>
    <x v="37"/>
    <x v="1"/>
    <x v="1"/>
    <x v="0"/>
    <x v="12"/>
    <x v="1"/>
    <s v="11-07-2026"/>
  </r>
  <r>
    <s v="Job0177"/>
    <x v="7"/>
    <s v="Cred"/>
    <x v="8"/>
    <x v="1"/>
    <s v="1360000"/>
    <x v="38"/>
    <x v="1"/>
    <x v="0"/>
    <x v="13"/>
    <x v="3"/>
    <x v="10"/>
    <s v="23-06-2026"/>
  </r>
  <r>
    <s v="Job0214"/>
    <x v="6"/>
    <s v="Ola"/>
    <x v="4"/>
    <x v="2"/>
    <s v="430000"/>
    <x v="39"/>
    <x v="1"/>
    <x v="1"/>
    <x v="12"/>
    <x v="8"/>
    <x v="2"/>
    <s v="12-06-2026"/>
  </r>
  <r>
    <s v="Job0076"/>
    <x v="2"/>
    <s v="Razorpay"/>
    <x v="7"/>
    <x v="1"/>
    <s v="2175000"/>
    <x v="40"/>
    <x v="1"/>
    <x v="0"/>
    <x v="4"/>
    <x v="7"/>
    <x v="5"/>
    <s v="23-07-2026"/>
  </r>
  <r>
    <s v="Job0161"/>
    <x v="0"/>
    <s v="Razorpay"/>
    <x v="5"/>
    <x v="2"/>
    <s v="760000"/>
    <x v="41"/>
    <x v="1"/>
    <x v="0"/>
    <x v="2"/>
    <x v="11"/>
    <x v="4"/>
    <s v="12-08-2026"/>
  </r>
  <r>
    <s v="Job0271"/>
    <x v="4"/>
    <s v="L&amp;T Infotech"/>
    <x v="7"/>
    <x v="2"/>
    <s v="650000"/>
    <x v="42"/>
    <x v="0"/>
    <x v="1"/>
    <x v="14"/>
    <x v="7"/>
    <x v="1"/>
    <s v="18-04-2026"/>
  </r>
  <r>
    <s v="Job0084"/>
    <x v="7"/>
    <s v="Phonepe"/>
    <x v="3"/>
    <x v="3"/>
    <s v="2660000"/>
    <x v="43"/>
    <x v="0"/>
    <x v="2"/>
    <x v="13"/>
    <x v="0"/>
    <x v="3"/>
    <s v="13-06-2026"/>
  </r>
  <r>
    <s v="Job0390"/>
    <x v="9"/>
    <s v="Zensar Technologies"/>
    <x v="9"/>
    <x v="3"/>
    <s v="3110000"/>
    <x v="44"/>
    <x v="1"/>
    <x v="1"/>
    <x v="11"/>
    <x v="3"/>
    <x v="13"/>
    <s v="12-06-2026"/>
  </r>
  <r>
    <s v="Job0044"/>
    <x v="5"/>
    <s v="Zs Associates"/>
    <x v="9"/>
    <x v="1"/>
    <s v="1405000"/>
    <x v="45"/>
    <x v="1"/>
    <x v="1"/>
    <x v="12"/>
    <x v="5"/>
    <x v="0"/>
    <s v="01-06-2026"/>
  </r>
  <r>
    <s v="Job0159"/>
    <x v="0"/>
    <s v="Ola"/>
    <x v="8"/>
    <x v="2"/>
    <s v="650000"/>
    <x v="42"/>
    <x v="1"/>
    <x v="1"/>
    <x v="1"/>
    <x v="4"/>
    <x v="4"/>
    <s v="17-07-2026"/>
  </r>
  <r>
    <s v="Job0500"/>
    <x v="1"/>
    <s v="Sap Labs India"/>
    <x v="2"/>
    <x v="2"/>
    <s v="660000"/>
    <x v="46"/>
    <x v="1"/>
    <x v="2"/>
    <x v="11"/>
    <x v="13"/>
    <x v="8"/>
    <s v="14-07-2026"/>
  </r>
  <r>
    <s v="Job0267"/>
    <x v="6"/>
    <s v="Oracle India"/>
    <x v="0"/>
    <x v="3"/>
    <s v="4190000"/>
    <x v="47"/>
    <x v="1"/>
    <x v="1"/>
    <x v="4"/>
    <x v="13"/>
    <x v="14"/>
    <s v="22-02-2026"/>
  </r>
  <r>
    <s v="Job0089"/>
    <x v="0"/>
    <s v="Wipro"/>
    <x v="9"/>
    <x v="4"/>
    <s v="1045000"/>
    <x v="48"/>
    <x v="1"/>
    <x v="1"/>
    <x v="9"/>
    <x v="1"/>
    <x v="0"/>
    <s v="26-03-2026"/>
  </r>
  <r>
    <s v="Job0174"/>
    <x v="8"/>
    <s v="Tata Consultancy Services"/>
    <x v="5"/>
    <x v="1"/>
    <s v="1990000"/>
    <x v="34"/>
    <x v="1"/>
    <x v="1"/>
    <x v="1"/>
    <x v="3"/>
    <x v="7"/>
    <s v="18-04-2026"/>
  </r>
  <r>
    <s v="Job0345"/>
    <x v="9"/>
    <s v="Deloitte India"/>
    <x v="5"/>
    <x v="4"/>
    <s v="1175000"/>
    <x v="49"/>
    <x v="0"/>
    <x v="1"/>
    <x v="1"/>
    <x v="0"/>
    <x v="9"/>
    <s v="02-01-2026"/>
  </r>
  <r>
    <s v="Job0368"/>
    <x v="7"/>
    <s v="Thoughtworks"/>
    <x v="4"/>
    <x v="1"/>
    <s v="1265000"/>
    <x v="50"/>
    <x v="1"/>
    <x v="2"/>
    <x v="8"/>
    <x v="12"/>
    <x v="13"/>
    <s v="18-07-2026"/>
  </r>
  <r>
    <s v="Job0123"/>
    <x v="7"/>
    <s v="Lenskart"/>
    <x v="0"/>
    <x v="3"/>
    <s v="2825000"/>
    <x v="51"/>
    <x v="1"/>
    <x v="1"/>
    <x v="7"/>
    <x v="11"/>
    <x v="5"/>
    <s v="03-08-2026"/>
  </r>
  <r>
    <s v="Job0454"/>
    <x v="9"/>
    <s v="Adobe India"/>
    <x v="1"/>
    <x v="1"/>
    <s v="1035000"/>
    <x v="52"/>
    <x v="1"/>
    <x v="1"/>
    <x v="7"/>
    <x v="14"/>
    <x v="4"/>
    <s v="02-02-2026"/>
  </r>
  <r>
    <s v="Job0333"/>
    <x v="7"/>
    <s v="Hsbc India"/>
    <x v="5"/>
    <x v="4"/>
    <s v="1760000"/>
    <x v="53"/>
    <x v="1"/>
    <x v="1"/>
    <x v="5"/>
    <x v="14"/>
    <x v="14"/>
    <s v="15-06-2026"/>
  </r>
  <r>
    <s v="Job0063"/>
    <x v="7"/>
    <s v="Microsoft India"/>
    <x v="0"/>
    <x v="3"/>
    <s v="4270000"/>
    <x v="54"/>
    <x v="1"/>
    <x v="1"/>
    <x v="14"/>
    <x v="12"/>
    <x v="0"/>
    <s v="03-06-2026"/>
  </r>
  <r>
    <s v="Job0001"/>
    <x v="6"/>
    <s v="Hcltech"/>
    <x v="4"/>
    <x v="0"/>
    <s v="635000"/>
    <x v="55"/>
    <x v="1"/>
    <x v="1"/>
    <x v="0"/>
    <x v="9"/>
    <x v="5"/>
    <s v="09-01-2026"/>
  </r>
  <r>
    <s v="Job0086"/>
    <x v="3"/>
    <s v="Amazon India"/>
    <x v="3"/>
    <x v="2"/>
    <s v="290000"/>
    <x v="56"/>
    <x v="2"/>
    <x v="1"/>
    <x v="13"/>
    <x v="12"/>
    <x v="2"/>
    <s v="21-06-2026"/>
  </r>
  <r>
    <s v="Job0167"/>
    <x v="1"/>
    <s v="Quantiphi"/>
    <x v="1"/>
    <x v="2"/>
    <s v="310000"/>
    <x v="57"/>
    <x v="2"/>
    <x v="0"/>
    <x v="5"/>
    <x v="10"/>
    <x v="1"/>
    <s v="20-06-2026"/>
  </r>
  <r>
    <s v="Job0431"/>
    <x v="8"/>
    <s v="American Express India"/>
    <x v="5"/>
    <x v="3"/>
    <s v="4355000"/>
    <x v="58"/>
    <x v="1"/>
    <x v="1"/>
    <x v="14"/>
    <x v="8"/>
    <x v="1"/>
    <s v="15-02-2026"/>
  </r>
  <r>
    <s v="Job0154"/>
    <x v="4"/>
    <s v="Bajaj Finserv"/>
    <x v="6"/>
    <x v="1"/>
    <s v="1180000"/>
    <x v="59"/>
    <x v="1"/>
    <x v="1"/>
    <x v="3"/>
    <x v="11"/>
    <x v="6"/>
    <s v="13-05-2026"/>
  </r>
  <r>
    <s v="Job0466"/>
    <x v="6"/>
    <s v="Mindtree"/>
    <x v="5"/>
    <x v="4"/>
    <s v="1265000"/>
    <x v="50"/>
    <x v="1"/>
    <x v="0"/>
    <x v="5"/>
    <x v="2"/>
    <x v="8"/>
    <s v="25-06-2026"/>
  </r>
  <r>
    <s v="Job0261"/>
    <x v="5"/>
    <s v="Zs Associates"/>
    <x v="6"/>
    <x v="0"/>
    <s v="925000"/>
    <x v="60"/>
    <x v="1"/>
    <x v="0"/>
    <x v="0"/>
    <x v="11"/>
    <x v="10"/>
    <s v="07-07-2026"/>
  </r>
  <r>
    <s v="Job0378"/>
    <x v="6"/>
    <s v="Zomato"/>
    <x v="2"/>
    <x v="1"/>
    <s v="1125000"/>
    <x v="61"/>
    <x v="1"/>
    <x v="0"/>
    <x v="1"/>
    <x v="3"/>
    <x v="14"/>
    <s v="08-06-2026"/>
  </r>
  <r>
    <s v="Job0365"/>
    <x v="8"/>
    <s v="Sonata Software"/>
    <x v="1"/>
    <x v="4"/>
    <s v="1155000"/>
    <x v="62"/>
    <x v="0"/>
    <x v="1"/>
    <x v="7"/>
    <x v="5"/>
    <x v="2"/>
    <s v="08-07-2026"/>
  </r>
  <r>
    <s v="Job0329"/>
    <x v="6"/>
    <s v="Zomato"/>
    <x v="8"/>
    <x v="1"/>
    <s v="2005000"/>
    <x v="63"/>
    <x v="1"/>
    <x v="0"/>
    <x v="3"/>
    <x v="1"/>
    <x v="5"/>
    <s v="15-06-2026"/>
  </r>
  <r>
    <s v="Job0079"/>
    <x v="6"/>
    <s v="Bajaj Finserv"/>
    <x v="6"/>
    <x v="2"/>
    <s v="405000"/>
    <x v="64"/>
    <x v="2"/>
    <x v="1"/>
    <x v="1"/>
    <x v="14"/>
    <x v="2"/>
    <s v="27-05-2026"/>
  </r>
  <r>
    <s v="Job0421"/>
    <x v="7"/>
    <s v="Microsoft India"/>
    <x v="5"/>
    <x v="0"/>
    <s v="760000"/>
    <x v="41"/>
    <x v="0"/>
    <x v="0"/>
    <x v="0"/>
    <x v="8"/>
    <x v="8"/>
    <s v="23-03-2026"/>
  </r>
  <r>
    <s v="Job0483"/>
    <x v="6"/>
    <s v="Delhivery"/>
    <x v="8"/>
    <x v="2"/>
    <s v="525000"/>
    <x v="65"/>
    <x v="1"/>
    <x v="0"/>
    <x v="0"/>
    <x v="0"/>
    <x v="8"/>
    <s v="11-06-2026"/>
  </r>
  <r>
    <s v="Job0014"/>
    <x v="9"/>
    <s v="Bajaj Finserv"/>
    <x v="5"/>
    <x v="1"/>
    <s v="1145000"/>
    <x v="66"/>
    <x v="1"/>
    <x v="1"/>
    <x v="4"/>
    <x v="10"/>
    <x v="10"/>
    <s v="11-06-2026"/>
  </r>
  <r>
    <s v="Job0289"/>
    <x v="9"/>
    <s v="Pwc India"/>
    <x v="8"/>
    <x v="4"/>
    <s v="1025000"/>
    <x v="67"/>
    <x v="0"/>
    <x v="1"/>
    <x v="1"/>
    <x v="7"/>
    <x v="11"/>
    <s v="17-03-2026"/>
  </r>
  <r>
    <s v="Job0256"/>
    <x v="2"/>
    <s v="Cognizant"/>
    <x v="1"/>
    <x v="3"/>
    <s v="2635000"/>
    <x v="68"/>
    <x v="1"/>
    <x v="1"/>
    <x v="12"/>
    <x v="6"/>
    <x v="10"/>
    <s v="15-01-2026"/>
  </r>
  <r>
    <s v="Job0325"/>
    <x v="9"/>
    <s v="Deloitte India"/>
    <x v="6"/>
    <x v="3"/>
    <s v="2240000"/>
    <x v="69"/>
    <x v="1"/>
    <x v="2"/>
    <x v="11"/>
    <x v="3"/>
    <x v="5"/>
    <s v="26-02-2026"/>
  </r>
  <r>
    <s v="Job0071"/>
    <x v="7"/>
    <s v="Ibm India"/>
    <x v="4"/>
    <x v="1"/>
    <s v="1410000"/>
    <x v="70"/>
    <x v="0"/>
    <x v="1"/>
    <x v="13"/>
    <x v="7"/>
    <x v="14"/>
    <s v="10-08-2026"/>
  </r>
  <r>
    <s v="Job0308"/>
    <x v="8"/>
    <s v="Kpmg India"/>
    <x v="3"/>
    <x v="0"/>
    <s v="790000"/>
    <x v="71"/>
    <x v="1"/>
    <x v="1"/>
    <x v="4"/>
    <x v="9"/>
    <x v="7"/>
    <s v="28-08-2026"/>
  </r>
  <r>
    <s v="Job0049"/>
    <x v="5"/>
    <s v="Hsbc India"/>
    <x v="8"/>
    <x v="2"/>
    <s v="615000"/>
    <x v="72"/>
    <x v="0"/>
    <x v="1"/>
    <x v="8"/>
    <x v="14"/>
    <x v="1"/>
    <s v="20-07-2026"/>
  </r>
  <r>
    <s v="Job0146"/>
    <x v="7"/>
    <s v="Adobe India"/>
    <x v="0"/>
    <x v="4"/>
    <s v="990000"/>
    <x v="73"/>
    <x v="1"/>
    <x v="0"/>
    <x v="10"/>
    <x v="0"/>
    <x v="14"/>
    <s v="10-05-2026"/>
  </r>
  <r>
    <s v="Job0119"/>
    <x v="0"/>
    <s v="Quantiphi"/>
    <x v="4"/>
    <x v="2"/>
    <s v="640000"/>
    <x v="74"/>
    <x v="0"/>
    <x v="1"/>
    <x v="3"/>
    <x v="4"/>
    <x v="0"/>
    <s v="11-03-2026"/>
  </r>
  <r>
    <s v="Job0396"/>
    <x v="8"/>
    <s v="Goldman Sachs India"/>
    <x v="2"/>
    <x v="2"/>
    <s v="630000"/>
    <x v="75"/>
    <x v="1"/>
    <x v="1"/>
    <x v="7"/>
    <x v="4"/>
    <x v="3"/>
    <s v="15-05-2026"/>
  </r>
  <r>
    <s v="Job0221"/>
    <x v="2"/>
    <s v="Unacademy"/>
    <x v="5"/>
    <x v="2"/>
    <s v="410000"/>
    <x v="76"/>
    <x v="1"/>
    <x v="1"/>
    <x v="2"/>
    <x v="2"/>
    <x v="3"/>
    <s v="05-03-2026"/>
  </r>
  <r>
    <s v="Job0402"/>
    <x v="5"/>
    <s v="Mu Sigma"/>
    <x v="2"/>
    <x v="0"/>
    <s v="830000"/>
    <x v="77"/>
    <x v="1"/>
    <x v="1"/>
    <x v="3"/>
    <x v="8"/>
    <x v="11"/>
    <s v="06-04-2026"/>
  </r>
  <r>
    <s v="Job0407"/>
    <x v="6"/>
    <s v="Amazon India"/>
    <x v="9"/>
    <x v="3"/>
    <s v="2705000"/>
    <x v="78"/>
    <x v="0"/>
    <x v="0"/>
    <x v="13"/>
    <x v="8"/>
    <x v="5"/>
    <s v="17-07-2026"/>
  </r>
  <r>
    <s v="Job0338"/>
    <x v="9"/>
    <s v="Tata Consultancy Services"/>
    <x v="2"/>
    <x v="2"/>
    <s v="490000"/>
    <x v="79"/>
    <x v="0"/>
    <x v="0"/>
    <x v="2"/>
    <x v="2"/>
    <x v="4"/>
    <s v="26-03-2026"/>
  </r>
  <r>
    <s v="Job0197"/>
    <x v="7"/>
    <s v="American Express India"/>
    <x v="6"/>
    <x v="4"/>
    <s v="905000"/>
    <x v="80"/>
    <x v="1"/>
    <x v="1"/>
    <x v="10"/>
    <x v="4"/>
    <x v="14"/>
    <s v="25-04-2026"/>
  </r>
  <r>
    <s v="Job0357"/>
    <x v="6"/>
    <s v="Paytm"/>
    <x v="5"/>
    <x v="1"/>
    <s v="1945000"/>
    <x v="81"/>
    <x v="0"/>
    <x v="1"/>
    <x v="4"/>
    <x v="11"/>
    <x v="5"/>
    <s v="30-07-2026"/>
  </r>
  <r>
    <s v="Job0468"/>
    <x v="2"/>
    <s v="Nykaa"/>
    <x v="2"/>
    <x v="2"/>
    <s v="665000"/>
    <x v="82"/>
    <x v="1"/>
    <x v="1"/>
    <x v="10"/>
    <x v="9"/>
    <x v="3"/>
    <s v="27-05-2026"/>
  </r>
  <r>
    <s v="Job0273"/>
    <x v="7"/>
    <s v="Paytm"/>
    <x v="8"/>
    <x v="0"/>
    <s v="525000"/>
    <x v="65"/>
    <x v="1"/>
    <x v="1"/>
    <x v="13"/>
    <x v="7"/>
    <x v="10"/>
    <s v="23-08-2026"/>
  </r>
  <r>
    <s v="Job0039"/>
    <x v="6"/>
    <s v="Icici Bank"/>
    <x v="2"/>
    <x v="2"/>
    <s v="380000"/>
    <x v="83"/>
    <x v="2"/>
    <x v="0"/>
    <x v="12"/>
    <x v="14"/>
    <x v="14"/>
    <s v="17-08-2026"/>
  </r>
  <r>
    <s v="Job0145"/>
    <x v="6"/>
    <s v="Google India"/>
    <x v="8"/>
    <x v="1"/>
    <s v="1145000"/>
    <x v="66"/>
    <x v="1"/>
    <x v="2"/>
    <x v="2"/>
    <x v="0"/>
    <x v="11"/>
    <s v="19-08-2026"/>
  </r>
  <r>
    <s v="Job0081"/>
    <x v="2"/>
    <s v="Razorpay"/>
    <x v="0"/>
    <x v="4"/>
    <s v="1020000"/>
    <x v="84"/>
    <x v="1"/>
    <x v="1"/>
    <x v="2"/>
    <x v="2"/>
    <x v="8"/>
    <s v="20-08-2026"/>
  </r>
  <r>
    <s v="Job0478"/>
    <x v="0"/>
    <s v="Flipkart"/>
    <x v="7"/>
    <x v="0"/>
    <s v="650000"/>
    <x v="42"/>
    <x v="1"/>
    <x v="0"/>
    <x v="13"/>
    <x v="7"/>
    <x v="12"/>
    <s v="17-07-2026"/>
  </r>
  <r>
    <s v="Job0341"/>
    <x v="7"/>
    <s v="Samsung R&amp;D Institute India"/>
    <x v="3"/>
    <x v="0"/>
    <s v="1035000"/>
    <x v="52"/>
    <x v="1"/>
    <x v="0"/>
    <x v="3"/>
    <x v="5"/>
    <x v="1"/>
    <s v="03-01-2026"/>
  </r>
  <r>
    <s v="Job0217"/>
    <x v="4"/>
    <s v="Policybazaar"/>
    <x v="8"/>
    <x v="3"/>
    <s v="2435000"/>
    <x v="85"/>
    <x v="0"/>
    <x v="1"/>
    <x v="0"/>
    <x v="14"/>
    <x v="7"/>
    <s v="18-07-2026"/>
  </r>
  <r>
    <s v="Job0491"/>
    <x v="7"/>
    <s v="Reliance Jio"/>
    <x v="2"/>
    <x v="4"/>
    <s v="1355000"/>
    <x v="86"/>
    <x v="1"/>
    <x v="0"/>
    <x v="5"/>
    <x v="2"/>
    <x v="6"/>
    <s v="05-01-2026"/>
  </r>
  <r>
    <s v="Job0254"/>
    <x v="5"/>
    <s v="Quantiphi"/>
    <x v="3"/>
    <x v="0"/>
    <s v="885000"/>
    <x v="87"/>
    <x v="0"/>
    <x v="1"/>
    <x v="14"/>
    <x v="1"/>
    <x v="0"/>
    <s v="08-04-2026"/>
  </r>
  <r>
    <s v="Job0153"/>
    <x v="2"/>
    <s v="Razorpay"/>
    <x v="9"/>
    <x v="3"/>
    <s v="2995000"/>
    <x v="88"/>
    <x v="1"/>
    <x v="0"/>
    <x v="1"/>
    <x v="3"/>
    <x v="11"/>
    <s v="18-02-2026"/>
  </r>
  <r>
    <s v="Job0169"/>
    <x v="8"/>
    <s v="Swiggy"/>
    <x v="0"/>
    <x v="3"/>
    <s v="2035000"/>
    <x v="89"/>
    <x v="1"/>
    <x v="1"/>
    <x v="0"/>
    <x v="3"/>
    <x v="14"/>
    <s v="25-04-2026"/>
  </r>
  <r>
    <s v="Job0194"/>
    <x v="5"/>
    <s v="Delhivery"/>
    <x v="6"/>
    <x v="1"/>
    <s v="1905000"/>
    <x v="90"/>
    <x v="1"/>
    <x v="0"/>
    <x v="9"/>
    <x v="8"/>
    <x v="0"/>
    <s v="01-03-2026"/>
  </r>
  <r>
    <s v="Job0040"/>
    <x v="8"/>
    <s v="Tata Consultancy Services"/>
    <x v="5"/>
    <x v="1"/>
    <s v="2075000"/>
    <x v="91"/>
    <x v="1"/>
    <x v="1"/>
    <x v="3"/>
    <x v="14"/>
    <x v="10"/>
    <s v="05-05-2026"/>
  </r>
  <r>
    <s v="Job0489"/>
    <x v="0"/>
    <s v="Persistent Systems"/>
    <x v="0"/>
    <x v="2"/>
    <s v="720000"/>
    <x v="6"/>
    <x v="1"/>
    <x v="1"/>
    <x v="10"/>
    <x v="5"/>
    <x v="8"/>
    <s v="27-07-2026"/>
  </r>
  <r>
    <s v="Job0007"/>
    <x v="4"/>
    <s v="Razorpay"/>
    <x v="9"/>
    <x v="4"/>
    <s v="1200000"/>
    <x v="92"/>
    <x v="1"/>
    <x v="0"/>
    <x v="3"/>
    <x v="7"/>
    <x v="3"/>
    <s v="15-08-2026"/>
  </r>
  <r>
    <s v="Job0133"/>
    <x v="5"/>
    <s v="Tech Mahindra"/>
    <x v="0"/>
    <x v="2"/>
    <s v="310000"/>
    <x v="57"/>
    <x v="2"/>
    <x v="0"/>
    <x v="3"/>
    <x v="6"/>
    <x v="4"/>
    <s v="30-01-2026"/>
  </r>
  <r>
    <s v="Job0447"/>
    <x v="8"/>
    <s v="Microsoft India"/>
    <x v="6"/>
    <x v="0"/>
    <s v="960000"/>
    <x v="93"/>
    <x v="1"/>
    <x v="0"/>
    <x v="4"/>
    <x v="4"/>
    <x v="14"/>
    <s v="02-07-2026"/>
  </r>
  <r>
    <s v="Job0116"/>
    <x v="7"/>
    <s v="Deloitte India"/>
    <x v="4"/>
    <x v="2"/>
    <s v="580000"/>
    <x v="94"/>
    <x v="1"/>
    <x v="0"/>
    <x v="9"/>
    <x v="2"/>
    <x v="6"/>
    <s v="11-02-2026"/>
  </r>
  <r>
    <s v="Job0444"/>
    <x v="4"/>
    <s v="Oracle India"/>
    <x v="3"/>
    <x v="3"/>
    <s v="4045000"/>
    <x v="95"/>
    <x v="1"/>
    <x v="1"/>
    <x v="13"/>
    <x v="12"/>
    <x v="7"/>
    <s v="01-07-2026"/>
  </r>
  <r>
    <s v="Job0080"/>
    <x v="9"/>
    <s v="Nykaa"/>
    <x v="4"/>
    <x v="2"/>
    <s v="790000"/>
    <x v="71"/>
    <x v="1"/>
    <x v="1"/>
    <x v="4"/>
    <x v="14"/>
    <x v="10"/>
    <s v="08-05-2026"/>
  </r>
  <r>
    <s v="Job0018"/>
    <x v="6"/>
    <s v="Bajaj Finserv"/>
    <x v="5"/>
    <x v="2"/>
    <s v="450000"/>
    <x v="96"/>
    <x v="2"/>
    <x v="0"/>
    <x v="6"/>
    <x v="5"/>
    <x v="8"/>
    <s v="15-04-2026"/>
  </r>
  <r>
    <s v="Job0134"/>
    <x v="4"/>
    <s v="Flipkart"/>
    <x v="1"/>
    <x v="3"/>
    <s v="2720000"/>
    <x v="97"/>
    <x v="1"/>
    <x v="1"/>
    <x v="13"/>
    <x v="12"/>
    <x v="4"/>
    <s v="21-02-2026"/>
  </r>
  <r>
    <s v="Job0303"/>
    <x v="4"/>
    <s v="Nykaa"/>
    <x v="6"/>
    <x v="4"/>
    <s v="1225000"/>
    <x v="98"/>
    <x v="1"/>
    <x v="0"/>
    <x v="10"/>
    <x v="14"/>
    <x v="8"/>
    <s v="19-06-2026"/>
  </r>
  <r>
    <s v="Job0496"/>
    <x v="4"/>
    <s v="Capgemini"/>
    <x v="6"/>
    <x v="4"/>
    <s v="1010000"/>
    <x v="99"/>
    <x v="1"/>
    <x v="1"/>
    <x v="11"/>
    <x v="11"/>
    <x v="6"/>
    <s v="09-07-2026"/>
  </r>
  <r>
    <s v="Job0427"/>
    <x v="3"/>
    <s v="Accenture India"/>
    <x v="8"/>
    <x v="2"/>
    <s v="210000"/>
    <x v="4"/>
    <x v="2"/>
    <x v="1"/>
    <x v="9"/>
    <x v="11"/>
    <x v="2"/>
    <s v="18-07-2026"/>
  </r>
  <r>
    <s v="Job0183"/>
    <x v="9"/>
    <s v="Microsoft India"/>
    <x v="4"/>
    <x v="4"/>
    <s v="1315000"/>
    <x v="100"/>
    <x v="1"/>
    <x v="2"/>
    <x v="11"/>
    <x v="1"/>
    <x v="3"/>
    <s v="23-08-2026"/>
  </r>
  <r>
    <s v="Job0285"/>
    <x v="0"/>
    <s v="Makemytrip"/>
    <x v="4"/>
    <x v="2"/>
    <s v="565000"/>
    <x v="101"/>
    <x v="1"/>
    <x v="1"/>
    <x v="3"/>
    <x v="11"/>
    <x v="1"/>
    <s v="13-05-2026"/>
  </r>
  <r>
    <s v="Job0337"/>
    <x v="6"/>
    <s v="Makemytrip"/>
    <x v="0"/>
    <x v="2"/>
    <s v="755000"/>
    <x v="7"/>
    <x v="1"/>
    <x v="1"/>
    <x v="3"/>
    <x v="4"/>
    <x v="4"/>
    <s v="04-04-2026"/>
  </r>
  <r>
    <s v="Job0015"/>
    <x v="4"/>
    <s v="Razorpay"/>
    <x v="7"/>
    <x v="2"/>
    <s v="735000"/>
    <x v="102"/>
    <x v="1"/>
    <x v="1"/>
    <x v="4"/>
    <x v="4"/>
    <x v="4"/>
    <s v="26-07-2026"/>
  </r>
  <r>
    <s v="Job0397"/>
    <x v="3"/>
    <s v="Lenskart"/>
    <x v="2"/>
    <x v="3"/>
    <s v="2420000"/>
    <x v="103"/>
    <x v="1"/>
    <x v="1"/>
    <x v="11"/>
    <x v="11"/>
    <x v="10"/>
    <s v="09-01-2026"/>
  </r>
  <r>
    <s v="Job0450"/>
    <x v="0"/>
    <s v="Dunzo"/>
    <x v="5"/>
    <x v="2"/>
    <s v="445000"/>
    <x v="104"/>
    <x v="1"/>
    <x v="1"/>
    <x v="3"/>
    <x v="11"/>
    <x v="4"/>
    <s v="19-01-2026"/>
  </r>
  <r>
    <s v="Job0395"/>
    <x v="9"/>
    <s v="Axis Bank"/>
    <x v="4"/>
    <x v="3"/>
    <s v="4250000"/>
    <x v="105"/>
    <x v="1"/>
    <x v="2"/>
    <x v="7"/>
    <x v="0"/>
    <x v="8"/>
    <s v="18-07-2026"/>
  </r>
  <r>
    <s v="Job0279"/>
    <x v="3"/>
    <s v="Cred"/>
    <x v="6"/>
    <x v="2"/>
    <s v="580000"/>
    <x v="94"/>
    <x v="1"/>
    <x v="1"/>
    <x v="4"/>
    <x v="8"/>
    <x v="12"/>
    <s v="13-08-2026"/>
  </r>
  <r>
    <s v="Job0265"/>
    <x v="7"/>
    <s v="Bank Of America India"/>
    <x v="1"/>
    <x v="1"/>
    <s v="1420000"/>
    <x v="106"/>
    <x v="1"/>
    <x v="0"/>
    <x v="3"/>
    <x v="5"/>
    <x v="12"/>
    <s v="19-01-2026"/>
  </r>
  <r>
    <s v="Job0372"/>
    <x v="7"/>
    <s v="L&amp;T Infotech"/>
    <x v="1"/>
    <x v="2"/>
    <s v="430000"/>
    <x v="39"/>
    <x v="1"/>
    <x v="0"/>
    <x v="14"/>
    <x v="6"/>
    <x v="14"/>
    <s v="22-03-2026"/>
  </r>
  <r>
    <s v="Job0004"/>
    <x v="4"/>
    <s v="Icici Bank"/>
    <x v="5"/>
    <x v="2"/>
    <s v="790000"/>
    <x v="71"/>
    <x v="1"/>
    <x v="1"/>
    <x v="12"/>
    <x v="14"/>
    <x v="3"/>
    <s v="28-05-2026"/>
  </r>
  <r>
    <s v="Job0043"/>
    <x v="3"/>
    <s v="Infosys"/>
    <x v="6"/>
    <x v="4"/>
    <s v="1555000"/>
    <x v="107"/>
    <x v="0"/>
    <x v="0"/>
    <x v="3"/>
    <x v="10"/>
    <x v="3"/>
    <s v="11-03-2026"/>
  </r>
  <r>
    <s v="Job0204"/>
    <x v="6"/>
    <s v="Bank Of America India"/>
    <x v="1"/>
    <x v="0"/>
    <s v="880000"/>
    <x v="108"/>
    <x v="1"/>
    <x v="1"/>
    <x v="11"/>
    <x v="4"/>
    <x v="5"/>
    <s v="30-05-2026"/>
  </r>
  <r>
    <s v="Job0024"/>
    <x v="2"/>
    <s v="Zensar Technologies"/>
    <x v="1"/>
    <x v="3"/>
    <s v="3640000"/>
    <x v="109"/>
    <x v="1"/>
    <x v="0"/>
    <x v="12"/>
    <x v="2"/>
    <x v="8"/>
    <s v="29-08-2026"/>
  </r>
  <r>
    <s v="Job0160"/>
    <x v="7"/>
    <s v="Infosys"/>
    <x v="5"/>
    <x v="2"/>
    <s v="465000"/>
    <x v="110"/>
    <x v="2"/>
    <x v="1"/>
    <x v="8"/>
    <x v="11"/>
    <x v="3"/>
    <s v="16-06-2026"/>
  </r>
  <r>
    <s v="Job0356"/>
    <x v="8"/>
    <s v="Wns Global Services"/>
    <x v="4"/>
    <x v="4"/>
    <s v="1380000"/>
    <x v="111"/>
    <x v="1"/>
    <x v="1"/>
    <x v="0"/>
    <x v="2"/>
    <x v="7"/>
    <s v="11-02-2026"/>
  </r>
  <r>
    <s v="Job0452"/>
    <x v="0"/>
    <s v="Hdfc Bank"/>
    <x v="0"/>
    <x v="4"/>
    <s v="1110000"/>
    <x v="112"/>
    <x v="0"/>
    <x v="0"/>
    <x v="5"/>
    <x v="12"/>
    <x v="0"/>
    <s v="24-01-2026"/>
  </r>
  <r>
    <s v="Job0370"/>
    <x v="8"/>
    <s v="Byju'S"/>
    <x v="8"/>
    <x v="4"/>
    <s v="1270000"/>
    <x v="113"/>
    <x v="1"/>
    <x v="1"/>
    <x v="2"/>
    <x v="10"/>
    <x v="7"/>
    <s v="07-08-2026"/>
  </r>
  <r>
    <s v="Job0322"/>
    <x v="2"/>
    <s v="Swiggy"/>
    <x v="0"/>
    <x v="1"/>
    <s v="1995000"/>
    <x v="114"/>
    <x v="0"/>
    <x v="0"/>
    <x v="11"/>
    <x v="1"/>
    <x v="10"/>
    <s v="19-02-2026"/>
  </r>
  <r>
    <s v="Job0203"/>
    <x v="5"/>
    <s v="Samsung R&amp;D Institute India"/>
    <x v="7"/>
    <x v="2"/>
    <s v="255000"/>
    <x v="115"/>
    <x v="2"/>
    <x v="0"/>
    <x v="8"/>
    <x v="11"/>
    <x v="6"/>
    <s v="01-08-2026"/>
  </r>
  <r>
    <s v="Job0435"/>
    <x v="4"/>
    <s v="Dell Technologies India"/>
    <x v="9"/>
    <x v="0"/>
    <s v="1010000"/>
    <x v="99"/>
    <x v="1"/>
    <x v="0"/>
    <x v="10"/>
    <x v="7"/>
    <x v="6"/>
    <s v="11-02-2026"/>
  </r>
  <r>
    <s v="Job0019"/>
    <x v="3"/>
    <s v="Wns Global Services"/>
    <x v="8"/>
    <x v="1"/>
    <s v="2085000"/>
    <x v="116"/>
    <x v="1"/>
    <x v="2"/>
    <x v="5"/>
    <x v="0"/>
    <x v="14"/>
    <s v="28-06-2026"/>
  </r>
  <r>
    <s v="Job0050"/>
    <x v="4"/>
    <s v="Dell Technologies India"/>
    <x v="5"/>
    <x v="1"/>
    <s v="1795000"/>
    <x v="117"/>
    <x v="1"/>
    <x v="1"/>
    <x v="0"/>
    <x v="13"/>
    <x v="7"/>
    <s v="12-06-2026"/>
  </r>
  <r>
    <s v="Job0006"/>
    <x v="2"/>
    <s v="Deloitte India"/>
    <x v="0"/>
    <x v="0"/>
    <s v="820000"/>
    <x v="118"/>
    <x v="1"/>
    <x v="1"/>
    <x v="11"/>
    <x v="2"/>
    <x v="5"/>
    <s v="04-08-2026"/>
  </r>
  <r>
    <s v="Job0243"/>
    <x v="3"/>
    <s v="Swiggy"/>
    <x v="5"/>
    <x v="2"/>
    <s v="205000"/>
    <x v="119"/>
    <x v="2"/>
    <x v="1"/>
    <x v="4"/>
    <x v="13"/>
    <x v="14"/>
    <s v="06-08-2026"/>
  </r>
  <r>
    <s v="Job0360"/>
    <x v="4"/>
    <s v="Samsung R&amp;D Institute India"/>
    <x v="8"/>
    <x v="2"/>
    <s v="790000"/>
    <x v="71"/>
    <x v="1"/>
    <x v="1"/>
    <x v="8"/>
    <x v="11"/>
    <x v="14"/>
    <s v="30-06-2026"/>
  </r>
  <r>
    <s v="Job0426"/>
    <x v="9"/>
    <s v="Icici Bank"/>
    <x v="8"/>
    <x v="1"/>
    <s v="1485000"/>
    <x v="28"/>
    <x v="1"/>
    <x v="0"/>
    <x v="4"/>
    <x v="14"/>
    <x v="11"/>
    <s v="26-04-2026"/>
  </r>
  <r>
    <s v="Job0253"/>
    <x v="7"/>
    <s v="Policybazaar"/>
    <x v="4"/>
    <x v="1"/>
    <s v="2060000"/>
    <x v="120"/>
    <x v="1"/>
    <x v="1"/>
    <x v="2"/>
    <x v="11"/>
    <x v="2"/>
    <s v="13-03-2026"/>
  </r>
  <r>
    <s v="Job0166"/>
    <x v="3"/>
    <s v="Microsoft India"/>
    <x v="2"/>
    <x v="1"/>
    <s v="1825000"/>
    <x v="121"/>
    <x v="0"/>
    <x v="0"/>
    <x v="6"/>
    <x v="0"/>
    <x v="10"/>
    <s v="26-02-2026"/>
  </r>
  <r>
    <s v="Job0162"/>
    <x v="2"/>
    <s v="Tech Mahindra"/>
    <x v="9"/>
    <x v="4"/>
    <s v="1370000"/>
    <x v="122"/>
    <x v="1"/>
    <x v="0"/>
    <x v="6"/>
    <x v="8"/>
    <x v="11"/>
    <s v="30-04-2026"/>
  </r>
  <r>
    <s v="Job0113"/>
    <x v="0"/>
    <s v="Capgemini"/>
    <x v="6"/>
    <x v="2"/>
    <s v="500000"/>
    <x v="123"/>
    <x v="1"/>
    <x v="1"/>
    <x v="4"/>
    <x v="7"/>
    <x v="6"/>
    <s v="30-05-2026"/>
  </r>
  <r>
    <s v="Job0309"/>
    <x v="7"/>
    <s v="Publicis Sapient"/>
    <x v="1"/>
    <x v="1"/>
    <s v="2045000"/>
    <x v="124"/>
    <x v="1"/>
    <x v="1"/>
    <x v="0"/>
    <x v="6"/>
    <x v="14"/>
    <s v="14-04-2026"/>
  </r>
  <r>
    <s v="Job0131"/>
    <x v="3"/>
    <s v="Tata Consultancy Services"/>
    <x v="2"/>
    <x v="1"/>
    <s v="1420000"/>
    <x v="106"/>
    <x v="1"/>
    <x v="0"/>
    <x v="4"/>
    <x v="2"/>
    <x v="5"/>
    <s v="13-06-2026"/>
  </r>
  <r>
    <s v="Job0485"/>
    <x v="5"/>
    <s v="Mu Sigma"/>
    <x v="6"/>
    <x v="1"/>
    <s v="1100000"/>
    <x v="125"/>
    <x v="1"/>
    <x v="0"/>
    <x v="13"/>
    <x v="7"/>
    <x v="0"/>
    <s v="10-04-2026"/>
  </r>
  <r>
    <s v="Job0055"/>
    <x v="3"/>
    <s v="Lenskart"/>
    <x v="5"/>
    <x v="4"/>
    <s v="1225000"/>
    <x v="98"/>
    <x v="1"/>
    <x v="1"/>
    <x v="3"/>
    <x v="3"/>
    <x v="5"/>
    <s v="19-02-2026"/>
  </r>
  <r>
    <s v="Job0029"/>
    <x v="7"/>
    <s v="Bank Of America India"/>
    <x v="9"/>
    <x v="0"/>
    <s v="940000"/>
    <x v="126"/>
    <x v="1"/>
    <x v="0"/>
    <x v="6"/>
    <x v="12"/>
    <x v="12"/>
    <s v="05-03-2026"/>
  </r>
  <r>
    <s v="Job0314"/>
    <x v="5"/>
    <s v="Mu Sigma"/>
    <x v="4"/>
    <x v="3"/>
    <s v="2170000"/>
    <x v="127"/>
    <x v="1"/>
    <x v="0"/>
    <x v="3"/>
    <x v="5"/>
    <x v="0"/>
    <s v="12-01-2026"/>
  </r>
  <r>
    <s v="Job0259"/>
    <x v="1"/>
    <s v="Wipro"/>
    <x v="5"/>
    <x v="1"/>
    <s v="1000000"/>
    <x v="0"/>
    <x v="0"/>
    <x v="1"/>
    <x v="5"/>
    <x v="9"/>
    <x v="6"/>
    <s v="06-01-2026"/>
  </r>
  <r>
    <s v="Job0251"/>
    <x v="6"/>
    <s v="Wipro"/>
    <x v="7"/>
    <x v="0"/>
    <s v="1040000"/>
    <x v="128"/>
    <x v="1"/>
    <x v="2"/>
    <x v="6"/>
    <x v="1"/>
    <x v="3"/>
    <s v="01-02-2026"/>
  </r>
  <r>
    <s v="Job0021"/>
    <x v="6"/>
    <s v="Flipkart"/>
    <x v="7"/>
    <x v="3"/>
    <s v="1795000"/>
    <x v="117"/>
    <x v="0"/>
    <x v="1"/>
    <x v="12"/>
    <x v="5"/>
    <x v="1"/>
    <s v="02-06-2026"/>
  </r>
  <r>
    <s v="Job0232"/>
    <x v="8"/>
    <s v="Myntra"/>
    <x v="3"/>
    <x v="4"/>
    <s v="1445000"/>
    <x v="16"/>
    <x v="0"/>
    <x v="0"/>
    <x v="0"/>
    <x v="5"/>
    <x v="14"/>
    <s v="19-01-2026"/>
  </r>
  <r>
    <s v="Job0034"/>
    <x v="9"/>
    <s v="Google India"/>
    <x v="7"/>
    <x v="4"/>
    <s v="1305000"/>
    <x v="129"/>
    <x v="1"/>
    <x v="1"/>
    <x v="11"/>
    <x v="2"/>
    <x v="7"/>
    <s v="23-06-2026"/>
  </r>
  <r>
    <s v="Job0307"/>
    <x v="5"/>
    <s v="Bajaj Finserv"/>
    <x v="9"/>
    <x v="2"/>
    <s v="470000"/>
    <x v="130"/>
    <x v="1"/>
    <x v="0"/>
    <x v="10"/>
    <x v="12"/>
    <x v="6"/>
    <s v="13-05-2026"/>
  </r>
  <r>
    <s v="Job0425"/>
    <x v="4"/>
    <s v="Unacademy"/>
    <x v="3"/>
    <x v="2"/>
    <s v="425000"/>
    <x v="131"/>
    <x v="2"/>
    <x v="2"/>
    <x v="11"/>
    <x v="14"/>
    <x v="11"/>
    <s v="06-05-2026"/>
  </r>
  <r>
    <s v="Job0135"/>
    <x v="6"/>
    <s v="Quantiphi"/>
    <x v="7"/>
    <x v="1"/>
    <s v="1205000"/>
    <x v="132"/>
    <x v="1"/>
    <x v="0"/>
    <x v="6"/>
    <x v="8"/>
    <x v="10"/>
    <s v="30-03-2026"/>
  </r>
  <r>
    <s v="Job0184"/>
    <x v="1"/>
    <s v="Jpmorgan Chase India"/>
    <x v="6"/>
    <x v="1"/>
    <s v="1055000"/>
    <x v="133"/>
    <x v="0"/>
    <x v="0"/>
    <x v="14"/>
    <x v="9"/>
    <x v="8"/>
    <s v="20-02-2026"/>
  </r>
  <r>
    <s v="Job0296"/>
    <x v="9"/>
    <s v="Zs Associates"/>
    <x v="6"/>
    <x v="0"/>
    <s v="600000"/>
    <x v="134"/>
    <x v="0"/>
    <x v="0"/>
    <x v="11"/>
    <x v="2"/>
    <x v="8"/>
    <s v="31-05-2026"/>
  </r>
  <r>
    <s v="Job0301"/>
    <x v="8"/>
    <s v="Nagarro"/>
    <x v="8"/>
    <x v="1"/>
    <s v="1395000"/>
    <x v="135"/>
    <x v="1"/>
    <x v="1"/>
    <x v="6"/>
    <x v="9"/>
    <x v="10"/>
    <s v="07-05-2026"/>
  </r>
  <r>
    <s v="Job0114"/>
    <x v="7"/>
    <s v="Dell Technologies India"/>
    <x v="4"/>
    <x v="1"/>
    <s v="1155000"/>
    <x v="62"/>
    <x v="1"/>
    <x v="2"/>
    <x v="9"/>
    <x v="4"/>
    <x v="4"/>
    <s v="21-06-2026"/>
  </r>
  <r>
    <s v="Job0451"/>
    <x v="2"/>
    <s v="Oracle India"/>
    <x v="5"/>
    <x v="1"/>
    <s v="1060000"/>
    <x v="136"/>
    <x v="1"/>
    <x v="0"/>
    <x v="10"/>
    <x v="0"/>
    <x v="3"/>
    <s v="30-06-2026"/>
  </r>
  <r>
    <s v="Job0193"/>
    <x v="4"/>
    <s v="Sonata Software"/>
    <x v="6"/>
    <x v="2"/>
    <s v="785000"/>
    <x v="137"/>
    <x v="1"/>
    <x v="0"/>
    <x v="0"/>
    <x v="6"/>
    <x v="5"/>
    <s v="26-05-2026"/>
  </r>
  <r>
    <s v="Job0442"/>
    <x v="9"/>
    <s v="Wns Global Services"/>
    <x v="1"/>
    <x v="2"/>
    <s v="640000"/>
    <x v="74"/>
    <x v="1"/>
    <x v="1"/>
    <x v="14"/>
    <x v="8"/>
    <x v="2"/>
    <s v="20-07-2026"/>
  </r>
  <r>
    <s v="Job0117"/>
    <x v="7"/>
    <s v="Persistent Systems"/>
    <x v="1"/>
    <x v="2"/>
    <s v="535000"/>
    <x v="138"/>
    <x v="1"/>
    <x v="1"/>
    <x v="5"/>
    <x v="12"/>
    <x v="6"/>
    <s v="17-05-2026"/>
  </r>
  <r>
    <s v="Job0480"/>
    <x v="3"/>
    <s v="Ibm India"/>
    <x v="1"/>
    <x v="0"/>
    <s v="865000"/>
    <x v="139"/>
    <x v="1"/>
    <x v="1"/>
    <x v="1"/>
    <x v="12"/>
    <x v="5"/>
    <s v="08-03-2026"/>
  </r>
  <r>
    <s v="Job0445"/>
    <x v="4"/>
    <s v="Unacademy"/>
    <x v="3"/>
    <x v="2"/>
    <s v="575000"/>
    <x v="140"/>
    <x v="1"/>
    <x v="1"/>
    <x v="9"/>
    <x v="10"/>
    <x v="4"/>
    <s v="14-02-2026"/>
  </r>
  <r>
    <s v="Job0494"/>
    <x v="7"/>
    <s v="Nagarro"/>
    <x v="0"/>
    <x v="2"/>
    <s v="630000"/>
    <x v="75"/>
    <x v="0"/>
    <x v="1"/>
    <x v="13"/>
    <x v="11"/>
    <x v="7"/>
    <s v="09-08-2026"/>
  </r>
  <r>
    <s v="Job0195"/>
    <x v="6"/>
    <s v="Oracle India"/>
    <x v="0"/>
    <x v="3"/>
    <s v="4370000"/>
    <x v="141"/>
    <x v="1"/>
    <x v="0"/>
    <x v="11"/>
    <x v="8"/>
    <x v="14"/>
    <s v="22-05-2026"/>
  </r>
  <r>
    <s v="Job0120"/>
    <x v="3"/>
    <s v="Thoughtworks"/>
    <x v="2"/>
    <x v="1"/>
    <s v="1110000"/>
    <x v="112"/>
    <x v="0"/>
    <x v="0"/>
    <x v="13"/>
    <x v="11"/>
    <x v="5"/>
    <s v="14-01-2026"/>
  </r>
  <r>
    <s v="Job0453"/>
    <x v="3"/>
    <s v="Kpmg India"/>
    <x v="1"/>
    <x v="4"/>
    <s v="1485000"/>
    <x v="28"/>
    <x v="1"/>
    <x v="1"/>
    <x v="6"/>
    <x v="0"/>
    <x v="14"/>
    <s v="16-02-2026"/>
  </r>
  <r>
    <s v="Job0383"/>
    <x v="4"/>
    <s v="Larsen &amp; Toubro"/>
    <x v="4"/>
    <x v="3"/>
    <s v="2270000"/>
    <x v="142"/>
    <x v="1"/>
    <x v="1"/>
    <x v="8"/>
    <x v="5"/>
    <x v="14"/>
    <s v="08-07-2026"/>
  </r>
  <r>
    <s v="Job0139"/>
    <x v="7"/>
    <s v="Lenskart"/>
    <x v="0"/>
    <x v="0"/>
    <s v="960000"/>
    <x v="93"/>
    <x v="1"/>
    <x v="1"/>
    <x v="6"/>
    <x v="4"/>
    <x v="13"/>
    <s v="09-02-2026"/>
  </r>
  <r>
    <s v="Job0023"/>
    <x v="9"/>
    <s v="Deloitte India"/>
    <x v="9"/>
    <x v="1"/>
    <s v="1745000"/>
    <x v="143"/>
    <x v="1"/>
    <x v="2"/>
    <x v="2"/>
    <x v="3"/>
    <x v="13"/>
    <s v="05-04-2026"/>
  </r>
  <r>
    <s v="Job0316"/>
    <x v="0"/>
    <s v="Sonata Software"/>
    <x v="2"/>
    <x v="2"/>
    <s v="525000"/>
    <x v="65"/>
    <x v="1"/>
    <x v="0"/>
    <x v="9"/>
    <x v="12"/>
    <x v="11"/>
    <s v="29-03-2026"/>
  </r>
  <r>
    <s v="Job0262"/>
    <x v="2"/>
    <s v="Latentview Analytics"/>
    <x v="2"/>
    <x v="2"/>
    <s v="315000"/>
    <x v="144"/>
    <x v="2"/>
    <x v="0"/>
    <x v="10"/>
    <x v="3"/>
    <x v="11"/>
    <s v="23-03-2026"/>
  </r>
  <r>
    <s v="Job0150"/>
    <x v="9"/>
    <s v="Dunzo"/>
    <x v="6"/>
    <x v="0"/>
    <s v="620000"/>
    <x v="145"/>
    <x v="1"/>
    <x v="1"/>
    <x v="1"/>
    <x v="14"/>
    <x v="2"/>
    <s v="08-02-2026"/>
  </r>
  <r>
    <s v="Job0175"/>
    <x v="0"/>
    <s v="Wipro"/>
    <x v="8"/>
    <x v="0"/>
    <s v="540000"/>
    <x v="146"/>
    <x v="1"/>
    <x v="1"/>
    <x v="8"/>
    <x v="4"/>
    <x v="7"/>
    <s v="23-04-2026"/>
  </r>
  <r>
    <s v="Job0400"/>
    <x v="4"/>
    <s v="Unacademy"/>
    <x v="5"/>
    <x v="2"/>
    <s v="680000"/>
    <x v="147"/>
    <x v="0"/>
    <x v="2"/>
    <x v="8"/>
    <x v="6"/>
    <x v="9"/>
    <s v="18-02-2026"/>
  </r>
  <r>
    <s v="Job0148"/>
    <x v="8"/>
    <s v="Tcs"/>
    <x v="7"/>
    <x v="1"/>
    <s v="1160000"/>
    <x v="148"/>
    <x v="1"/>
    <x v="1"/>
    <x v="13"/>
    <x v="4"/>
    <x v="13"/>
    <s v="22-05-2026"/>
  </r>
  <r>
    <s v="Job0387"/>
    <x v="1"/>
    <s v="Oracle India"/>
    <x v="3"/>
    <x v="4"/>
    <s v="1585000"/>
    <x v="37"/>
    <x v="1"/>
    <x v="1"/>
    <x v="12"/>
    <x v="4"/>
    <x v="3"/>
    <s v="18-07-2026"/>
  </r>
  <r>
    <s v="Job0236"/>
    <x v="6"/>
    <s v="Microsoft India"/>
    <x v="3"/>
    <x v="0"/>
    <s v="535000"/>
    <x v="138"/>
    <x v="1"/>
    <x v="1"/>
    <x v="3"/>
    <x v="8"/>
    <x v="8"/>
    <s v="01-07-2026"/>
  </r>
  <r>
    <s v="Job0025"/>
    <x v="7"/>
    <s v="Byju'S"/>
    <x v="7"/>
    <x v="2"/>
    <s v="685000"/>
    <x v="149"/>
    <x v="1"/>
    <x v="1"/>
    <x v="13"/>
    <x v="2"/>
    <x v="14"/>
    <s v="06-03-2026"/>
  </r>
  <r>
    <s v="Job0463"/>
    <x v="4"/>
    <s v="Mindtree"/>
    <x v="1"/>
    <x v="1"/>
    <s v="2170000"/>
    <x v="127"/>
    <x v="1"/>
    <x v="2"/>
    <x v="6"/>
    <x v="0"/>
    <x v="12"/>
    <s v="28-06-2026"/>
  </r>
  <r>
    <s v="Job0179"/>
    <x v="8"/>
    <s v="Genpact"/>
    <x v="8"/>
    <x v="0"/>
    <s v="680000"/>
    <x v="147"/>
    <x v="1"/>
    <x v="0"/>
    <x v="14"/>
    <x v="13"/>
    <x v="9"/>
    <s v="23-05-2026"/>
  </r>
  <r>
    <s v="Job0299"/>
    <x v="5"/>
    <s v="Kpmg India"/>
    <x v="5"/>
    <x v="4"/>
    <s v="1425000"/>
    <x v="150"/>
    <x v="1"/>
    <x v="1"/>
    <x v="14"/>
    <x v="12"/>
    <x v="11"/>
    <s v="31-01-2026"/>
  </r>
  <r>
    <s v="Job0240"/>
    <x v="4"/>
    <s v="Genpact"/>
    <x v="6"/>
    <x v="1"/>
    <s v="2105000"/>
    <x v="10"/>
    <x v="1"/>
    <x v="0"/>
    <x v="5"/>
    <x v="4"/>
    <x v="7"/>
    <s v="05-03-2026"/>
  </r>
  <r>
    <s v="Job0105"/>
    <x v="4"/>
    <s v="Larsen &amp; Toubro"/>
    <x v="9"/>
    <x v="1"/>
    <s v="2105000"/>
    <x v="10"/>
    <x v="0"/>
    <x v="1"/>
    <x v="13"/>
    <x v="11"/>
    <x v="4"/>
    <s v="06-01-2026"/>
  </r>
  <r>
    <s v="Job0185"/>
    <x v="9"/>
    <s v="Razorpay"/>
    <x v="3"/>
    <x v="3"/>
    <s v="4015000"/>
    <x v="151"/>
    <x v="1"/>
    <x v="1"/>
    <x v="5"/>
    <x v="0"/>
    <x v="13"/>
    <s v="07-07-2026"/>
  </r>
  <r>
    <s v="Job0326"/>
    <x v="1"/>
    <s v="Sap Labs India"/>
    <x v="6"/>
    <x v="2"/>
    <s v="385000"/>
    <x v="152"/>
    <x v="2"/>
    <x v="1"/>
    <x v="4"/>
    <x v="12"/>
    <x v="11"/>
    <s v="25-04-2026"/>
  </r>
  <r>
    <s v="Job0472"/>
    <x v="1"/>
    <s v="Bajaj Finserv"/>
    <x v="2"/>
    <x v="0"/>
    <s v="845000"/>
    <x v="153"/>
    <x v="0"/>
    <x v="2"/>
    <x v="12"/>
    <x v="2"/>
    <x v="9"/>
    <s v="02-05-2026"/>
  </r>
  <r>
    <s v="Job0257"/>
    <x v="1"/>
    <s v="American Express India"/>
    <x v="6"/>
    <x v="0"/>
    <s v="605000"/>
    <x v="154"/>
    <x v="1"/>
    <x v="0"/>
    <x v="3"/>
    <x v="11"/>
    <x v="11"/>
    <s v="31-08-2026"/>
  </r>
  <r>
    <s v="Job0469"/>
    <x v="4"/>
    <s v="Nykaa"/>
    <x v="0"/>
    <x v="2"/>
    <s v="480000"/>
    <x v="155"/>
    <x v="1"/>
    <x v="1"/>
    <x v="8"/>
    <x v="6"/>
    <x v="8"/>
    <s v="07-06-2026"/>
  </r>
  <r>
    <s v="Job0413"/>
    <x v="1"/>
    <s v="Swiggy"/>
    <x v="6"/>
    <x v="0"/>
    <s v="955000"/>
    <x v="156"/>
    <x v="0"/>
    <x v="2"/>
    <x v="0"/>
    <x v="9"/>
    <x v="4"/>
    <s v="20-03-2026"/>
  </r>
  <r>
    <s v="Job0349"/>
    <x v="0"/>
    <s v="Genpact"/>
    <x v="1"/>
    <x v="0"/>
    <s v="630000"/>
    <x v="75"/>
    <x v="1"/>
    <x v="2"/>
    <x v="3"/>
    <x v="11"/>
    <x v="4"/>
    <s v="25-06-2026"/>
  </r>
  <r>
    <s v="Job0125"/>
    <x v="6"/>
    <s v="Meesho"/>
    <x v="6"/>
    <x v="2"/>
    <s v="780000"/>
    <x v="157"/>
    <x v="1"/>
    <x v="0"/>
    <x v="4"/>
    <x v="1"/>
    <x v="2"/>
    <s v="06-04-2026"/>
  </r>
  <r>
    <s v="Job0324"/>
    <x v="2"/>
    <s v="Infosys"/>
    <x v="6"/>
    <x v="1"/>
    <s v="1850000"/>
    <x v="158"/>
    <x v="1"/>
    <x v="2"/>
    <x v="12"/>
    <x v="0"/>
    <x v="12"/>
    <s v="21-05-2026"/>
  </r>
  <r>
    <s v="Job0022"/>
    <x v="4"/>
    <s v="Ey India"/>
    <x v="3"/>
    <x v="3"/>
    <s v="3240000"/>
    <x v="159"/>
    <x v="1"/>
    <x v="1"/>
    <x v="8"/>
    <x v="4"/>
    <x v="7"/>
    <s v="28-04-2026"/>
  </r>
  <r>
    <s v="Job0312"/>
    <x v="9"/>
    <s v="Samsung R&amp;D Institute India"/>
    <x v="9"/>
    <x v="0"/>
    <s v="1005000"/>
    <x v="21"/>
    <x v="1"/>
    <x v="0"/>
    <x v="1"/>
    <x v="3"/>
    <x v="14"/>
    <s v="14-07-2026"/>
  </r>
  <r>
    <s v="Job0234"/>
    <x v="0"/>
    <s v="Ibm India"/>
    <x v="9"/>
    <x v="4"/>
    <s v="1015000"/>
    <x v="160"/>
    <x v="0"/>
    <x v="0"/>
    <x v="3"/>
    <x v="5"/>
    <x v="4"/>
    <s v="29-06-2026"/>
  </r>
  <r>
    <s v="Job0122"/>
    <x v="4"/>
    <s v="Makemytrip"/>
    <x v="1"/>
    <x v="0"/>
    <s v="955000"/>
    <x v="156"/>
    <x v="1"/>
    <x v="1"/>
    <x v="10"/>
    <x v="7"/>
    <x v="7"/>
    <s v="02-08-2026"/>
  </r>
  <r>
    <s v="Job0433"/>
    <x v="2"/>
    <s v="Tcs"/>
    <x v="1"/>
    <x v="1"/>
    <s v="2025000"/>
    <x v="161"/>
    <x v="1"/>
    <x v="2"/>
    <x v="9"/>
    <x v="6"/>
    <x v="11"/>
    <s v="18-06-2026"/>
  </r>
  <r>
    <s v="Job0381"/>
    <x v="3"/>
    <s v="Larsen &amp; Toubro"/>
    <x v="5"/>
    <x v="3"/>
    <s v="2500000"/>
    <x v="162"/>
    <x v="1"/>
    <x v="1"/>
    <x v="11"/>
    <x v="7"/>
    <x v="3"/>
    <s v="16-04-2026"/>
  </r>
  <r>
    <s v="Job0052"/>
    <x v="9"/>
    <s v="Freshworks"/>
    <x v="7"/>
    <x v="4"/>
    <s v="1680000"/>
    <x v="163"/>
    <x v="1"/>
    <x v="1"/>
    <x v="10"/>
    <x v="8"/>
    <x v="5"/>
    <s v="16-02-2026"/>
  </r>
  <r>
    <s v="Job0416"/>
    <x v="5"/>
    <s v="Unacademy"/>
    <x v="6"/>
    <x v="2"/>
    <s v="360000"/>
    <x v="164"/>
    <x v="0"/>
    <x v="1"/>
    <x v="8"/>
    <x v="4"/>
    <x v="0"/>
    <s v="10-08-2026"/>
  </r>
  <r>
    <s v="Job0180"/>
    <x v="8"/>
    <s v="Quantiphi"/>
    <x v="3"/>
    <x v="0"/>
    <s v="655000"/>
    <x v="165"/>
    <x v="1"/>
    <x v="2"/>
    <x v="9"/>
    <x v="8"/>
    <x v="8"/>
    <s v="10-03-2026"/>
  </r>
  <r>
    <s v="Job0362"/>
    <x v="4"/>
    <s v="Byju'S"/>
    <x v="2"/>
    <x v="1"/>
    <s v="1605000"/>
    <x v="166"/>
    <x v="1"/>
    <x v="1"/>
    <x v="13"/>
    <x v="10"/>
    <x v="12"/>
    <s v="06-03-2026"/>
  </r>
  <r>
    <s v="Job0107"/>
    <x v="8"/>
    <s v="Ey India"/>
    <x v="3"/>
    <x v="4"/>
    <s v="1545000"/>
    <x v="167"/>
    <x v="1"/>
    <x v="0"/>
    <x v="3"/>
    <x v="8"/>
    <x v="13"/>
    <s v="31-03-2026"/>
  </r>
  <r>
    <s v="Job0388"/>
    <x v="5"/>
    <s v="Deloitte India"/>
    <x v="5"/>
    <x v="1"/>
    <s v="1220000"/>
    <x v="168"/>
    <x v="0"/>
    <x v="1"/>
    <x v="3"/>
    <x v="7"/>
    <x v="0"/>
    <s v="17-07-2026"/>
  </r>
  <r>
    <s v="Job0042"/>
    <x v="5"/>
    <s v="L&amp;T Infotech"/>
    <x v="8"/>
    <x v="2"/>
    <s v="535000"/>
    <x v="138"/>
    <x v="1"/>
    <x v="1"/>
    <x v="9"/>
    <x v="14"/>
    <x v="1"/>
    <s v="08-04-2026"/>
  </r>
  <r>
    <s v="Job0207"/>
    <x v="4"/>
    <s v="Kpmg India"/>
    <x v="4"/>
    <x v="0"/>
    <s v="805000"/>
    <x v="169"/>
    <x v="1"/>
    <x v="1"/>
    <x v="1"/>
    <x v="5"/>
    <x v="5"/>
    <s v="07-01-2026"/>
  </r>
  <r>
    <s v="Job0313"/>
    <x v="1"/>
    <s v="Infosys"/>
    <x v="6"/>
    <x v="2"/>
    <s v="290000"/>
    <x v="56"/>
    <x v="2"/>
    <x v="1"/>
    <x v="12"/>
    <x v="11"/>
    <x v="14"/>
    <s v="10-07-2026"/>
  </r>
  <r>
    <s v="Job0386"/>
    <x v="7"/>
    <s v="Capgemini"/>
    <x v="5"/>
    <x v="2"/>
    <s v="435000"/>
    <x v="17"/>
    <x v="1"/>
    <x v="1"/>
    <x v="10"/>
    <x v="4"/>
    <x v="4"/>
    <s v="07-05-2026"/>
  </r>
  <r>
    <s v="Job0354"/>
    <x v="4"/>
    <s v="Cred"/>
    <x v="7"/>
    <x v="3"/>
    <s v="1620000"/>
    <x v="170"/>
    <x v="1"/>
    <x v="1"/>
    <x v="1"/>
    <x v="12"/>
    <x v="1"/>
    <s v="06-03-2026"/>
  </r>
  <r>
    <s v="Job0199"/>
    <x v="6"/>
    <s v="Dunzo"/>
    <x v="8"/>
    <x v="3"/>
    <s v="3110000"/>
    <x v="44"/>
    <x v="1"/>
    <x v="2"/>
    <x v="4"/>
    <x v="8"/>
    <x v="2"/>
    <s v="12-03-2026"/>
  </r>
  <r>
    <s v="Job0072"/>
    <x v="7"/>
    <s v="Hdfc Bank"/>
    <x v="5"/>
    <x v="1"/>
    <s v="1415000"/>
    <x v="18"/>
    <x v="1"/>
    <x v="1"/>
    <x v="3"/>
    <x v="6"/>
    <x v="9"/>
    <s v="01-03-2026"/>
  </r>
  <r>
    <s v="Job0277"/>
    <x v="3"/>
    <s v="Unacademy"/>
    <x v="6"/>
    <x v="2"/>
    <s v="500000"/>
    <x v="123"/>
    <x v="0"/>
    <x v="1"/>
    <x v="6"/>
    <x v="12"/>
    <x v="10"/>
    <s v="26-01-2026"/>
  </r>
  <r>
    <s v="Job0041"/>
    <x v="1"/>
    <s v="Policybazaar"/>
    <x v="1"/>
    <x v="2"/>
    <s v="670000"/>
    <x v="171"/>
    <x v="1"/>
    <x v="1"/>
    <x v="0"/>
    <x v="3"/>
    <x v="9"/>
    <s v="01-03-2026"/>
  </r>
  <r>
    <s v="Job0385"/>
    <x v="8"/>
    <s v="Unacademy"/>
    <x v="3"/>
    <x v="0"/>
    <s v="1010000"/>
    <x v="99"/>
    <x v="1"/>
    <x v="1"/>
    <x v="11"/>
    <x v="4"/>
    <x v="13"/>
    <s v="05-01-2026"/>
  </r>
  <r>
    <s v="Job0066"/>
    <x v="3"/>
    <s v="Dell Technologies India"/>
    <x v="3"/>
    <x v="4"/>
    <s v="1120000"/>
    <x v="11"/>
    <x v="1"/>
    <x v="2"/>
    <x v="8"/>
    <x v="2"/>
    <x v="9"/>
    <s v="10-01-2026"/>
  </r>
  <r>
    <s v="Job0476"/>
    <x v="9"/>
    <s v="Lenskart"/>
    <x v="9"/>
    <x v="2"/>
    <s v="725000"/>
    <x v="172"/>
    <x v="1"/>
    <x v="2"/>
    <x v="6"/>
    <x v="13"/>
    <x v="13"/>
    <s v="09-01-2026"/>
  </r>
  <r>
    <s v="Job0492"/>
    <x v="3"/>
    <s v="Ey India"/>
    <x v="9"/>
    <x v="2"/>
    <s v="430000"/>
    <x v="39"/>
    <x v="1"/>
    <x v="1"/>
    <x v="2"/>
    <x v="12"/>
    <x v="12"/>
    <s v="22-07-2026"/>
  </r>
  <r>
    <s v="Job0268"/>
    <x v="1"/>
    <s v="Bank Of America India"/>
    <x v="5"/>
    <x v="3"/>
    <s v="2370000"/>
    <x v="173"/>
    <x v="1"/>
    <x v="1"/>
    <x v="12"/>
    <x v="4"/>
    <x v="2"/>
    <s v="01-01-2026"/>
  </r>
  <r>
    <s v="Job0263"/>
    <x v="0"/>
    <s v="Phonepe"/>
    <x v="0"/>
    <x v="2"/>
    <s v="770000"/>
    <x v="174"/>
    <x v="1"/>
    <x v="0"/>
    <x v="10"/>
    <x v="8"/>
    <x v="4"/>
    <s v="21-06-2026"/>
  </r>
  <r>
    <s v="Job0342"/>
    <x v="1"/>
    <s v="Persistent Systems"/>
    <x v="5"/>
    <x v="0"/>
    <s v="770000"/>
    <x v="174"/>
    <x v="1"/>
    <x v="0"/>
    <x v="7"/>
    <x v="9"/>
    <x v="6"/>
    <s v="26-02-2026"/>
  </r>
  <r>
    <s v="Job0404"/>
    <x v="4"/>
    <s v="Makemytrip"/>
    <x v="0"/>
    <x v="2"/>
    <s v="290000"/>
    <x v="56"/>
    <x v="2"/>
    <x v="1"/>
    <x v="13"/>
    <x v="8"/>
    <x v="9"/>
    <s v="23-05-2026"/>
  </r>
  <r>
    <s v="Job0321"/>
    <x v="5"/>
    <s v="Ola"/>
    <x v="5"/>
    <x v="4"/>
    <s v="1495000"/>
    <x v="175"/>
    <x v="1"/>
    <x v="1"/>
    <x v="1"/>
    <x v="5"/>
    <x v="10"/>
    <s v="10-07-2026"/>
  </r>
  <r>
    <s v="Job0168"/>
    <x v="1"/>
    <s v="Freshworks"/>
    <x v="0"/>
    <x v="2"/>
    <s v="585000"/>
    <x v="176"/>
    <x v="1"/>
    <x v="1"/>
    <x v="0"/>
    <x v="11"/>
    <x v="13"/>
    <s v="20-08-2026"/>
  </r>
  <r>
    <s v="Job0467"/>
    <x v="8"/>
    <s v="Microsoft India"/>
    <x v="0"/>
    <x v="2"/>
    <s v="755000"/>
    <x v="7"/>
    <x v="1"/>
    <x v="2"/>
    <x v="9"/>
    <x v="6"/>
    <x v="13"/>
    <s v="24-07-2026"/>
  </r>
  <r>
    <s v="Job0255"/>
    <x v="9"/>
    <s v="Wns Global Services"/>
    <x v="5"/>
    <x v="1"/>
    <s v="1415000"/>
    <x v="18"/>
    <x v="1"/>
    <x v="1"/>
    <x v="11"/>
    <x v="3"/>
    <x v="0"/>
    <s v="19-07-2026"/>
  </r>
  <r>
    <s v="Job0274"/>
    <x v="6"/>
    <s v="Pwc India"/>
    <x v="3"/>
    <x v="3"/>
    <s v="2750000"/>
    <x v="177"/>
    <x v="1"/>
    <x v="1"/>
    <x v="6"/>
    <x v="3"/>
    <x v="2"/>
    <s v="08-02-2026"/>
  </r>
  <r>
    <s v="Job0229"/>
    <x v="2"/>
    <s v="Quantiphi"/>
    <x v="3"/>
    <x v="0"/>
    <s v="885000"/>
    <x v="87"/>
    <x v="1"/>
    <x v="2"/>
    <x v="11"/>
    <x v="13"/>
    <x v="3"/>
    <s v="10-06-2026"/>
  </r>
  <r>
    <s v="Job0110"/>
    <x v="8"/>
    <s v="Deloitte India"/>
    <x v="4"/>
    <x v="1"/>
    <s v="1540000"/>
    <x v="178"/>
    <x v="1"/>
    <x v="0"/>
    <x v="6"/>
    <x v="4"/>
    <x v="14"/>
    <s v="22-05-2026"/>
  </r>
  <r>
    <s v="Job0202"/>
    <x v="1"/>
    <s v="Wns Global Services"/>
    <x v="6"/>
    <x v="2"/>
    <s v="285000"/>
    <x v="179"/>
    <x v="2"/>
    <x v="1"/>
    <x v="3"/>
    <x v="2"/>
    <x v="11"/>
    <s v="29-07-2026"/>
  </r>
  <r>
    <s v="Job0061"/>
    <x v="7"/>
    <s v="Ola"/>
    <x v="2"/>
    <x v="3"/>
    <s v="1820000"/>
    <x v="180"/>
    <x v="1"/>
    <x v="1"/>
    <x v="9"/>
    <x v="7"/>
    <x v="14"/>
    <s v="19-01-2026"/>
  </r>
  <r>
    <s v="Job0290"/>
    <x v="3"/>
    <s v="Tredence"/>
    <x v="1"/>
    <x v="2"/>
    <s v="740000"/>
    <x v="181"/>
    <x v="1"/>
    <x v="0"/>
    <x v="1"/>
    <x v="6"/>
    <x v="9"/>
    <s v="18-03-2026"/>
  </r>
  <r>
    <s v="Job0242"/>
    <x v="3"/>
    <s v="Makemytrip"/>
    <x v="4"/>
    <x v="4"/>
    <s v="885000"/>
    <x v="87"/>
    <x v="1"/>
    <x v="1"/>
    <x v="3"/>
    <x v="7"/>
    <x v="2"/>
    <s v="01-06-2026"/>
  </r>
  <r>
    <s v="Job0335"/>
    <x v="9"/>
    <s v="Paytm"/>
    <x v="3"/>
    <x v="3"/>
    <s v="2015000"/>
    <x v="182"/>
    <x v="1"/>
    <x v="1"/>
    <x v="0"/>
    <x v="14"/>
    <x v="8"/>
    <s v="06-08-2026"/>
  </r>
  <r>
    <s v="Job0103"/>
    <x v="2"/>
    <s v="Zs Associates"/>
    <x v="5"/>
    <x v="4"/>
    <s v="845000"/>
    <x v="153"/>
    <x v="1"/>
    <x v="1"/>
    <x v="2"/>
    <x v="9"/>
    <x v="12"/>
    <s v="25-03-2026"/>
  </r>
  <r>
    <s v="Job0200"/>
    <x v="5"/>
    <s v="Amazon India"/>
    <x v="1"/>
    <x v="2"/>
    <s v="415000"/>
    <x v="31"/>
    <x v="2"/>
    <x v="1"/>
    <x v="13"/>
    <x v="5"/>
    <x v="0"/>
    <s v="27-03-2026"/>
  </r>
  <r>
    <s v="Job0037"/>
    <x v="1"/>
    <s v="Mindtree"/>
    <x v="9"/>
    <x v="2"/>
    <s v="460000"/>
    <x v="30"/>
    <x v="1"/>
    <x v="0"/>
    <x v="4"/>
    <x v="12"/>
    <x v="10"/>
    <s v="07-05-2026"/>
  </r>
  <r>
    <s v="Job0424"/>
    <x v="3"/>
    <s v="Quantiphi"/>
    <x v="5"/>
    <x v="3"/>
    <s v="2960000"/>
    <x v="183"/>
    <x v="1"/>
    <x v="2"/>
    <x v="1"/>
    <x v="13"/>
    <x v="8"/>
    <s v="15-04-2026"/>
  </r>
  <r>
    <s v="Job0344"/>
    <x v="3"/>
    <s v="Accenture India"/>
    <x v="9"/>
    <x v="2"/>
    <s v="390000"/>
    <x v="35"/>
    <x v="2"/>
    <x v="1"/>
    <x v="11"/>
    <x v="9"/>
    <x v="5"/>
    <s v="07-04-2026"/>
  </r>
  <r>
    <s v="Job0436"/>
    <x v="2"/>
    <s v="Dunzo"/>
    <x v="2"/>
    <x v="1"/>
    <s v="1900000"/>
    <x v="184"/>
    <x v="1"/>
    <x v="2"/>
    <x v="13"/>
    <x v="3"/>
    <x v="2"/>
    <s v="04-08-2026"/>
  </r>
  <r>
    <s v="Job0082"/>
    <x v="4"/>
    <s v="Microsoft India"/>
    <x v="1"/>
    <x v="2"/>
    <s v="610000"/>
    <x v="185"/>
    <x v="1"/>
    <x v="2"/>
    <x v="8"/>
    <x v="4"/>
    <x v="1"/>
    <s v="13-08-2026"/>
  </r>
  <r>
    <s v="Job0220"/>
    <x v="5"/>
    <s v="Persistent Systems"/>
    <x v="0"/>
    <x v="0"/>
    <s v="970000"/>
    <x v="186"/>
    <x v="0"/>
    <x v="0"/>
    <x v="0"/>
    <x v="9"/>
    <x v="14"/>
    <s v="16-03-2026"/>
  </r>
  <r>
    <s v="Job0009"/>
    <x v="3"/>
    <s v="Pwc India"/>
    <x v="9"/>
    <x v="2"/>
    <s v="420000"/>
    <x v="187"/>
    <x v="1"/>
    <x v="1"/>
    <x v="12"/>
    <x v="14"/>
    <x v="2"/>
    <s v="22-05-2026"/>
  </r>
  <r>
    <s v="Job0224"/>
    <x v="6"/>
    <s v="Urban Company"/>
    <x v="3"/>
    <x v="0"/>
    <s v="1080000"/>
    <x v="188"/>
    <x v="0"/>
    <x v="1"/>
    <x v="3"/>
    <x v="4"/>
    <x v="2"/>
    <s v="21-07-2026"/>
  </r>
  <r>
    <s v="Job0228"/>
    <x v="9"/>
    <s v="Tredence"/>
    <x v="3"/>
    <x v="0"/>
    <s v="785000"/>
    <x v="137"/>
    <x v="1"/>
    <x v="2"/>
    <x v="0"/>
    <x v="8"/>
    <x v="9"/>
    <s v="14-08-2026"/>
  </r>
  <r>
    <s v="Job0458"/>
    <x v="0"/>
    <s v="Mu Sigma"/>
    <x v="0"/>
    <x v="1"/>
    <s v="1395000"/>
    <x v="135"/>
    <x v="1"/>
    <x v="2"/>
    <x v="0"/>
    <x v="9"/>
    <x v="0"/>
    <s v="19-06-2026"/>
  </r>
  <r>
    <s v="Job0172"/>
    <x v="5"/>
    <s v="Flipkart"/>
    <x v="2"/>
    <x v="1"/>
    <s v="1450000"/>
    <x v="189"/>
    <x v="0"/>
    <x v="1"/>
    <x v="2"/>
    <x v="6"/>
    <x v="6"/>
    <s v="24-06-2026"/>
  </r>
  <r>
    <s v="Job0364"/>
    <x v="5"/>
    <s v="Phonepe"/>
    <x v="8"/>
    <x v="4"/>
    <s v="1210000"/>
    <x v="190"/>
    <x v="1"/>
    <x v="1"/>
    <x v="9"/>
    <x v="11"/>
    <x v="6"/>
    <s v="20-01-2026"/>
  </r>
  <r>
    <s v="Job0213"/>
    <x v="5"/>
    <s v="Fractal Analytics"/>
    <x v="6"/>
    <x v="4"/>
    <s v="1645000"/>
    <x v="191"/>
    <x v="1"/>
    <x v="0"/>
    <x v="8"/>
    <x v="12"/>
    <x v="9"/>
    <s v="22-03-2026"/>
  </r>
  <r>
    <s v="Job0351"/>
    <x v="6"/>
    <s v="Sonata Software"/>
    <x v="1"/>
    <x v="3"/>
    <s v="3340000"/>
    <x v="192"/>
    <x v="0"/>
    <x v="1"/>
    <x v="1"/>
    <x v="4"/>
    <x v="12"/>
    <s v="31-07-2026"/>
  </r>
  <r>
    <s v="Job0334"/>
    <x v="9"/>
    <s v="Tcs"/>
    <x v="5"/>
    <x v="3"/>
    <s v="2010000"/>
    <x v="193"/>
    <x v="1"/>
    <x v="1"/>
    <x v="11"/>
    <x v="2"/>
    <x v="6"/>
    <s v="20-08-2026"/>
  </r>
  <r>
    <s v="Job0003"/>
    <x v="4"/>
    <s v="Zensar Technologies"/>
    <x v="3"/>
    <x v="4"/>
    <s v="1080000"/>
    <x v="188"/>
    <x v="1"/>
    <x v="0"/>
    <x v="3"/>
    <x v="6"/>
    <x v="7"/>
    <s v="26-07-2026"/>
  </r>
  <r>
    <s v="Job0178"/>
    <x v="5"/>
    <s v="Dunzo"/>
    <x v="1"/>
    <x v="2"/>
    <s v="400000"/>
    <x v="194"/>
    <x v="2"/>
    <x v="0"/>
    <x v="13"/>
    <x v="11"/>
    <x v="4"/>
    <s v="13-07-2026"/>
  </r>
  <r>
    <s v="Job0235"/>
    <x v="5"/>
    <s v="Ey India"/>
    <x v="5"/>
    <x v="3"/>
    <s v="3385000"/>
    <x v="195"/>
    <x v="1"/>
    <x v="1"/>
    <x v="3"/>
    <x v="11"/>
    <x v="1"/>
    <s v="12-06-2026"/>
  </r>
  <r>
    <s v="Job0394"/>
    <x v="5"/>
    <s v="Cisco India"/>
    <x v="2"/>
    <x v="4"/>
    <s v="1700000"/>
    <x v="196"/>
    <x v="1"/>
    <x v="1"/>
    <x v="13"/>
    <x v="7"/>
    <x v="2"/>
    <s v="31-03-2026"/>
  </r>
  <r>
    <s v="Job0047"/>
    <x v="1"/>
    <s v="Wipro"/>
    <x v="0"/>
    <x v="0"/>
    <s v="645000"/>
    <x v="197"/>
    <x v="1"/>
    <x v="2"/>
    <x v="11"/>
    <x v="12"/>
    <x v="4"/>
    <s v="16-07-2026"/>
  </r>
  <r>
    <s v="Job0155"/>
    <x v="1"/>
    <s v="Dunzo"/>
    <x v="6"/>
    <x v="1"/>
    <s v="1630000"/>
    <x v="198"/>
    <x v="1"/>
    <x v="2"/>
    <x v="1"/>
    <x v="10"/>
    <x v="1"/>
    <s v="23-06-2026"/>
  </r>
  <r>
    <s v="Job0488"/>
    <x v="7"/>
    <s v="Zs Associates"/>
    <x v="9"/>
    <x v="1"/>
    <s v="2090000"/>
    <x v="199"/>
    <x v="1"/>
    <x v="1"/>
    <x v="10"/>
    <x v="5"/>
    <x v="10"/>
    <s v="27-04-2026"/>
  </r>
  <r>
    <s v="Job0288"/>
    <x v="7"/>
    <s v="Dunzo"/>
    <x v="2"/>
    <x v="4"/>
    <s v="900000"/>
    <x v="200"/>
    <x v="1"/>
    <x v="1"/>
    <x v="5"/>
    <x v="3"/>
    <x v="10"/>
    <s v="19-08-2026"/>
  </r>
  <r>
    <s v="Job0311"/>
    <x v="5"/>
    <s v="Tech Mahindra"/>
    <x v="5"/>
    <x v="3"/>
    <s v="1600000"/>
    <x v="201"/>
    <x v="1"/>
    <x v="1"/>
    <x v="10"/>
    <x v="12"/>
    <x v="13"/>
    <s v="27-04-2026"/>
  </r>
  <r>
    <s v="Job0118"/>
    <x v="1"/>
    <s v="Microsoft India"/>
    <x v="1"/>
    <x v="2"/>
    <s v="495000"/>
    <x v="202"/>
    <x v="2"/>
    <x v="1"/>
    <x v="2"/>
    <x v="9"/>
    <x v="9"/>
    <s v="21-02-2026"/>
  </r>
  <r>
    <s v="Job0163"/>
    <x v="2"/>
    <s v="Myntra"/>
    <x v="7"/>
    <x v="4"/>
    <s v="960000"/>
    <x v="93"/>
    <x v="1"/>
    <x v="1"/>
    <x v="12"/>
    <x v="1"/>
    <x v="10"/>
    <s v="13-07-2026"/>
  </r>
  <r>
    <s v="Job0206"/>
    <x v="6"/>
    <s v="Mu Sigma"/>
    <x v="8"/>
    <x v="4"/>
    <s v="965000"/>
    <x v="203"/>
    <x v="1"/>
    <x v="1"/>
    <x v="5"/>
    <x v="2"/>
    <x v="2"/>
    <s v="28-01-2026"/>
  </r>
  <r>
    <s v="Job0218"/>
    <x v="8"/>
    <s v="Samsung R&amp;D Institute India"/>
    <x v="5"/>
    <x v="2"/>
    <s v="690000"/>
    <x v="36"/>
    <x v="1"/>
    <x v="1"/>
    <x v="0"/>
    <x v="10"/>
    <x v="8"/>
    <s v="26-04-2026"/>
  </r>
  <r>
    <s v="Job0446"/>
    <x v="6"/>
    <s v="Jpmorgan Chase India"/>
    <x v="9"/>
    <x v="0"/>
    <s v="1050000"/>
    <x v="204"/>
    <x v="1"/>
    <x v="2"/>
    <x v="5"/>
    <x v="0"/>
    <x v="7"/>
    <s v="12-08-2026"/>
  </r>
  <r>
    <s v="Job0057"/>
    <x v="1"/>
    <s v="Samsung R&amp;D Institute India"/>
    <x v="2"/>
    <x v="4"/>
    <s v="815000"/>
    <x v="205"/>
    <x v="1"/>
    <x v="1"/>
    <x v="14"/>
    <x v="7"/>
    <x v="14"/>
    <s v="30-08-2026"/>
  </r>
  <r>
    <s v="Job0130"/>
    <x v="8"/>
    <s v="Unacademy"/>
    <x v="7"/>
    <x v="1"/>
    <s v="1095000"/>
    <x v="3"/>
    <x v="1"/>
    <x v="0"/>
    <x v="14"/>
    <x v="5"/>
    <x v="9"/>
    <s v="20-03-2026"/>
  </r>
  <r>
    <s v="Job0010"/>
    <x v="4"/>
    <s v="Fractal Analytics"/>
    <x v="5"/>
    <x v="4"/>
    <s v="1570000"/>
    <x v="206"/>
    <x v="1"/>
    <x v="1"/>
    <x v="9"/>
    <x v="6"/>
    <x v="6"/>
    <s v="10-05-2026"/>
  </r>
  <r>
    <s v="Job0389"/>
    <x v="3"/>
    <s v="Freshworks"/>
    <x v="9"/>
    <x v="0"/>
    <s v="775000"/>
    <x v="207"/>
    <x v="1"/>
    <x v="1"/>
    <x v="11"/>
    <x v="13"/>
    <x v="10"/>
    <s v="21-03-2026"/>
  </r>
  <r>
    <s v="Job0140"/>
    <x v="2"/>
    <s v="Persistent Systems"/>
    <x v="2"/>
    <x v="4"/>
    <s v="1735000"/>
    <x v="208"/>
    <x v="1"/>
    <x v="0"/>
    <x v="12"/>
    <x v="0"/>
    <x v="10"/>
    <s v="22-05-2026"/>
  </r>
  <r>
    <s v="Job0060"/>
    <x v="3"/>
    <s v="Amazon India"/>
    <x v="0"/>
    <x v="1"/>
    <s v="1365000"/>
    <x v="209"/>
    <x v="1"/>
    <x v="1"/>
    <x v="3"/>
    <x v="14"/>
    <x v="5"/>
    <s v="21-01-2026"/>
  </r>
  <r>
    <s v="Job0246"/>
    <x v="4"/>
    <s v="Larsen &amp; Toubro"/>
    <x v="2"/>
    <x v="0"/>
    <s v="675000"/>
    <x v="210"/>
    <x v="0"/>
    <x v="0"/>
    <x v="3"/>
    <x v="7"/>
    <x v="7"/>
    <s v="01-03-2026"/>
  </r>
  <r>
    <s v="Job0141"/>
    <x v="2"/>
    <s v="Latentview Analytics"/>
    <x v="4"/>
    <x v="3"/>
    <s v="3145000"/>
    <x v="211"/>
    <x v="1"/>
    <x v="2"/>
    <x v="4"/>
    <x v="6"/>
    <x v="10"/>
    <s v="09-06-2026"/>
  </r>
  <r>
    <s v="Job0346"/>
    <x v="8"/>
    <s v="Quantiphi"/>
    <x v="1"/>
    <x v="0"/>
    <s v="640000"/>
    <x v="74"/>
    <x v="1"/>
    <x v="1"/>
    <x v="9"/>
    <x v="3"/>
    <x v="3"/>
    <s v="17-04-2026"/>
  </r>
  <r>
    <s v="Job0332"/>
    <x v="8"/>
    <s v="Mu Sigma"/>
    <x v="4"/>
    <x v="4"/>
    <s v="1405000"/>
    <x v="45"/>
    <x v="1"/>
    <x v="0"/>
    <x v="7"/>
    <x v="10"/>
    <x v="14"/>
    <s v="26-02-2026"/>
  </r>
  <r>
    <s v="Job0112"/>
    <x v="4"/>
    <s v="Freshworks"/>
    <x v="1"/>
    <x v="1"/>
    <s v="1630000"/>
    <x v="198"/>
    <x v="1"/>
    <x v="1"/>
    <x v="2"/>
    <x v="6"/>
    <x v="12"/>
    <s v="28-03-2026"/>
  </r>
  <r>
    <s v="Job0028"/>
    <x v="4"/>
    <s v="Microsoft India"/>
    <x v="6"/>
    <x v="2"/>
    <s v="755000"/>
    <x v="7"/>
    <x v="1"/>
    <x v="1"/>
    <x v="9"/>
    <x v="7"/>
    <x v="12"/>
    <s v="11-02-2026"/>
  </r>
  <r>
    <s v="Job0429"/>
    <x v="6"/>
    <s v="Publicis Sapient"/>
    <x v="7"/>
    <x v="2"/>
    <s v="410000"/>
    <x v="76"/>
    <x v="2"/>
    <x v="2"/>
    <x v="11"/>
    <x v="4"/>
    <x v="3"/>
    <s v="14-08-2026"/>
  </r>
  <r>
    <s v="Job0272"/>
    <x v="8"/>
    <s v="Genpact"/>
    <x v="0"/>
    <x v="0"/>
    <s v="785000"/>
    <x v="137"/>
    <x v="1"/>
    <x v="0"/>
    <x v="14"/>
    <x v="3"/>
    <x v="6"/>
    <s v="14-02-2026"/>
  </r>
  <r>
    <s v="Job0233"/>
    <x v="8"/>
    <s v="Tcs"/>
    <x v="6"/>
    <x v="4"/>
    <s v="930000"/>
    <x v="212"/>
    <x v="0"/>
    <x v="1"/>
    <x v="5"/>
    <x v="2"/>
    <x v="8"/>
    <s v="05-01-2026"/>
  </r>
  <r>
    <s v="Job0137"/>
    <x v="8"/>
    <s v="Phonepe"/>
    <x v="7"/>
    <x v="0"/>
    <s v="975000"/>
    <x v="213"/>
    <x v="1"/>
    <x v="1"/>
    <x v="14"/>
    <x v="12"/>
    <x v="8"/>
    <s v="17-01-2026"/>
  </r>
  <r>
    <s v="Job0371"/>
    <x v="5"/>
    <s v="Policybazaar"/>
    <x v="1"/>
    <x v="2"/>
    <s v="405000"/>
    <x v="64"/>
    <x v="2"/>
    <x v="0"/>
    <x v="5"/>
    <x v="10"/>
    <x v="0"/>
    <s v="20-02-2026"/>
  </r>
  <r>
    <s v="Job0474"/>
    <x v="9"/>
    <s v="Meesho"/>
    <x v="9"/>
    <x v="2"/>
    <s v="765000"/>
    <x v="214"/>
    <x v="1"/>
    <x v="0"/>
    <x v="7"/>
    <x v="13"/>
    <x v="1"/>
    <s v="25-07-2026"/>
  </r>
  <r>
    <s v="Job0292"/>
    <x v="7"/>
    <s v="Ey India"/>
    <x v="1"/>
    <x v="4"/>
    <s v="1430000"/>
    <x v="215"/>
    <x v="1"/>
    <x v="1"/>
    <x v="5"/>
    <x v="4"/>
    <x v="1"/>
    <s v="15-07-2026"/>
  </r>
  <r>
    <s v="Job0348"/>
    <x v="4"/>
    <s v="Mindtree"/>
    <x v="9"/>
    <x v="0"/>
    <s v="655000"/>
    <x v="165"/>
    <x v="1"/>
    <x v="0"/>
    <x v="13"/>
    <x v="11"/>
    <x v="6"/>
    <s v="25-04-2026"/>
  </r>
  <r>
    <s v="Job0358"/>
    <x v="7"/>
    <s v="Genpact"/>
    <x v="0"/>
    <x v="1"/>
    <s v="1105000"/>
    <x v="216"/>
    <x v="1"/>
    <x v="1"/>
    <x v="13"/>
    <x v="7"/>
    <x v="9"/>
    <s v="15-01-2026"/>
  </r>
  <r>
    <s v="Job0361"/>
    <x v="6"/>
    <s v="Pwc India"/>
    <x v="5"/>
    <x v="4"/>
    <s v="1525000"/>
    <x v="217"/>
    <x v="1"/>
    <x v="1"/>
    <x v="11"/>
    <x v="7"/>
    <x v="7"/>
    <s v="28-05-2026"/>
  </r>
  <r>
    <s v="Job0278"/>
    <x v="1"/>
    <s v="Quantiphi"/>
    <x v="4"/>
    <x v="1"/>
    <s v="1930000"/>
    <x v="218"/>
    <x v="1"/>
    <x v="0"/>
    <x v="7"/>
    <x v="5"/>
    <x v="2"/>
    <s v="09-07-2026"/>
  </r>
  <r>
    <s v="Job0091"/>
    <x v="9"/>
    <s v="Wipro"/>
    <x v="2"/>
    <x v="4"/>
    <s v="850000"/>
    <x v="219"/>
    <x v="1"/>
    <x v="1"/>
    <x v="7"/>
    <x v="14"/>
    <x v="1"/>
    <s v="28-01-2026"/>
  </r>
  <r>
    <s v="Job0127"/>
    <x v="9"/>
    <s v="Sonata Software"/>
    <x v="1"/>
    <x v="1"/>
    <s v="1760000"/>
    <x v="53"/>
    <x v="0"/>
    <x v="2"/>
    <x v="11"/>
    <x v="3"/>
    <x v="13"/>
    <s v="15-08-2026"/>
  </r>
  <r>
    <s v="Job0059"/>
    <x v="6"/>
    <s v="Capgemini"/>
    <x v="2"/>
    <x v="2"/>
    <s v="225000"/>
    <x v="220"/>
    <x v="2"/>
    <x v="1"/>
    <x v="11"/>
    <x v="13"/>
    <x v="9"/>
    <s v="21-08-2026"/>
  </r>
  <r>
    <s v="Job0432"/>
    <x v="4"/>
    <s v="Reliance Jio"/>
    <x v="4"/>
    <x v="2"/>
    <s v="285000"/>
    <x v="179"/>
    <x v="2"/>
    <x v="2"/>
    <x v="9"/>
    <x v="11"/>
    <x v="11"/>
    <s v="15-07-2026"/>
  </r>
  <r>
    <s v="Job0244"/>
    <x v="2"/>
    <s v="Mu Sigma"/>
    <x v="8"/>
    <x v="3"/>
    <s v="4450000"/>
    <x v="221"/>
    <x v="1"/>
    <x v="0"/>
    <x v="4"/>
    <x v="12"/>
    <x v="4"/>
    <s v="24-01-2026"/>
  </r>
  <r>
    <s v="Job0068"/>
    <x v="5"/>
    <s v="Capgemini"/>
    <x v="8"/>
    <x v="3"/>
    <s v="2650000"/>
    <x v="222"/>
    <x v="1"/>
    <x v="1"/>
    <x v="8"/>
    <x v="4"/>
    <x v="0"/>
    <s v="14-08-2026"/>
  </r>
  <r>
    <s v="Job0035"/>
    <x v="7"/>
    <s v="Amazon India"/>
    <x v="3"/>
    <x v="3"/>
    <s v="4020000"/>
    <x v="223"/>
    <x v="1"/>
    <x v="1"/>
    <x v="7"/>
    <x v="8"/>
    <x v="14"/>
    <s v="22-06-2026"/>
  </r>
  <r>
    <s v="Job0415"/>
    <x v="4"/>
    <s v="Goldman Sachs India"/>
    <x v="0"/>
    <x v="3"/>
    <s v="1725000"/>
    <x v="20"/>
    <x v="1"/>
    <x v="1"/>
    <x v="8"/>
    <x v="12"/>
    <x v="0"/>
    <s v="18-01-2026"/>
  </r>
  <r>
    <s v="Job0457"/>
    <x v="1"/>
    <s v="Sonata Software"/>
    <x v="7"/>
    <x v="3"/>
    <s v="4025000"/>
    <x v="224"/>
    <x v="1"/>
    <x v="1"/>
    <x v="12"/>
    <x v="0"/>
    <x v="10"/>
    <s v="18-01-2026"/>
  </r>
  <r>
    <s v="Job0027"/>
    <x v="5"/>
    <s v="Dunzo"/>
    <x v="9"/>
    <x v="2"/>
    <s v="385000"/>
    <x v="152"/>
    <x v="0"/>
    <x v="0"/>
    <x v="12"/>
    <x v="4"/>
    <x v="0"/>
    <s v="02-02-2026"/>
  </r>
  <r>
    <s v="Job0384"/>
    <x v="5"/>
    <s v="Goldman Sachs India"/>
    <x v="8"/>
    <x v="4"/>
    <s v="880000"/>
    <x v="108"/>
    <x v="1"/>
    <x v="1"/>
    <x v="13"/>
    <x v="4"/>
    <x v="14"/>
    <s v="10-07-2026"/>
  </r>
  <r>
    <s v="Job0350"/>
    <x v="9"/>
    <s v="Icici Bank"/>
    <x v="0"/>
    <x v="3"/>
    <s v="1800000"/>
    <x v="225"/>
    <x v="1"/>
    <x v="2"/>
    <x v="7"/>
    <x v="0"/>
    <x v="13"/>
    <s v="05-06-2026"/>
  </r>
  <r>
    <s v="Job0498"/>
    <x v="9"/>
    <s v="Reliance Jio"/>
    <x v="8"/>
    <x v="4"/>
    <s v="1030000"/>
    <x v="226"/>
    <x v="1"/>
    <x v="1"/>
    <x v="11"/>
    <x v="10"/>
    <x v="8"/>
    <s v="01-05-2026"/>
  </r>
  <r>
    <s v="Job0250"/>
    <x v="3"/>
    <s v="Mu Sigma"/>
    <x v="2"/>
    <x v="2"/>
    <s v="355000"/>
    <x v="227"/>
    <x v="0"/>
    <x v="0"/>
    <x v="2"/>
    <x v="3"/>
    <x v="2"/>
    <s v="23-08-2026"/>
  </r>
  <r>
    <s v="Job0430"/>
    <x v="3"/>
    <s v="Pwc India"/>
    <x v="4"/>
    <x v="4"/>
    <s v="1490000"/>
    <x v="19"/>
    <x v="0"/>
    <x v="0"/>
    <x v="13"/>
    <x v="13"/>
    <x v="2"/>
    <s v="22-01-2026"/>
  </r>
  <r>
    <s v="Job0376"/>
    <x v="7"/>
    <s v="Oracle India"/>
    <x v="3"/>
    <x v="3"/>
    <s v="3260000"/>
    <x v="228"/>
    <x v="0"/>
    <x v="2"/>
    <x v="13"/>
    <x v="7"/>
    <x v="7"/>
    <s v="04-06-2026"/>
  </r>
  <r>
    <s v="Job0379"/>
    <x v="7"/>
    <s v="Ey India"/>
    <x v="3"/>
    <x v="4"/>
    <s v="1030000"/>
    <x v="226"/>
    <x v="1"/>
    <x v="1"/>
    <x v="10"/>
    <x v="3"/>
    <x v="4"/>
    <s v="02-04-2026"/>
  </r>
  <r>
    <s v="Job0087"/>
    <x v="8"/>
    <s v="Reliance Jio"/>
    <x v="0"/>
    <x v="0"/>
    <s v="1030000"/>
    <x v="226"/>
    <x v="1"/>
    <x v="0"/>
    <x v="9"/>
    <x v="8"/>
    <x v="6"/>
    <s v="24-04-2026"/>
  </r>
  <r>
    <s v="Job0094"/>
    <x v="8"/>
    <s v="Nykaa"/>
    <x v="1"/>
    <x v="3"/>
    <s v="3355000"/>
    <x v="229"/>
    <x v="1"/>
    <x v="0"/>
    <x v="7"/>
    <x v="1"/>
    <x v="13"/>
    <s v="04-07-2026"/>
  </r>
  <r>
    <s v="Job0093"/>
    <x v="6"/>
    <s v="Zs Associates"/>
    <x v="1"/>
    <x v="2"/>
    <s v="755000"/>
    <x v="7"/>
    <x v="1"/>
    <x v="2"/>
    <x v="13"/>
    <x v="1"/>
    <x v="2"/>
    <s v="02-06-2026"/>
  </r>
  <r>
    <s v="Job0300"/>
    <x v="2"/>
    <s v="Fractal Analytics"/>
    <x v="7"/>
    <x v="1"/>
    <s v="1240000"/>
    <x v="230"/>
    <x v="1"/>
    <x v="1"/>
    <x v="9"/>
    <x v="13"/>
    <x v="3"/>
    <s v="11-01-2026"/>
  </r>
  <r>
    <s v="Job0464"/>
    <x v="0"/>
    <s v="Tata Consultancy Services"/>
    <x v="0"/>
    <x v="0"/>
    <s v="775000"/>
    <x v="207"/>
    <x v="1"/>
    <x v="0"/>
    <x v="3"/>
    <x v="4"/>
    <x v="5"/>
    <s v="08-05-2026"/>
  </r>
  <r>
    <s v="Job0219"/>
    <x v="2"/>
    <s v="Dell Technologies India"/>
    <x v="7"/>
    <x v="1"/>
    <s v="2040000"/>
    <x v="231"/>
    <x v="1"/>
    <x v="0"/>
    <x v="7"/>
    <x v="12"/>
    <x v="1"/>
    <s v="06-06-2026"/>
  </r>
  <r>
    <s v="Job0013"/>
    <x v="6"/>
    <s v="Urban Company"/>
    <x v="2"/>
    <x v="2"/>
    <s v="250000"/>
    <x v="232"/>
    <x v="2"/>
    <x v="1"/>
    <x v="11"/>
    <x v="1"/>
    <x v="14"/>
    <s v="13-04-2026"/>
  </r>
  <r>
    <s v="Job0490"/>
    <x v="5"/>
    <s v="Adobe India"/>
    <x v="7"/>
    <x v="3"/>
    <s v="3185000"/>
    <x v="233"/>
    <x v="1"/>
    <x v="0"/>
    <x v="3"/>
    <x v="5"/>
    <x v="11"/>
    <s v="12-03-2026"/>
  </r>
  <r>
    <s v="Job0409"/>
    <x v="5"/>
    <s v="Hdfc Bank"/>
    <x v="0"/>
    <x v="3"/>
    <s v="3065000"/>
    <x v="234"/>
    <x v="1"/>
    <x v="1"/>
    <x v="1"/>
    <x v="6"/>
    <x v="14"/>
    <s v="13-01-2026"/>
  </r>
  <r>
    <s v="Job0129"/>
    <x v="6"/>
    <s v="Jpmorgan Chase India"/>
    <x v="3"/>
    <x v="1"/>
    <s v="1890000"/>
    <x v="235"/>
    <x v="0"/>
    <x v="1"/>
    <x v="11"/>
    <x v="12"/>
    <x v="1"/>
    <s v="05-04-2026"/>
  </r>
  <r>
    <s v="Job0053"/>
    <x v="3"/>
    <s v="Paytm"/>
    <x v="6"/>
    <x v="4"/>
    <s v="1140000"/>
    <x v="236"/>
    <x v="0"/>
    <x v="0"/>
    <x v="1"/>
    <x v="12"/>
    <x v="5"/>
    <s v="15-04-2026"/>
  </r>
  <r>
    <s v="Job0304"/>
    <x v="7"/>
    <s v="Sap Labs India"/>
    <x v="6"/>
    <x v="1"/>
    <s v="2145000"/>
    <x v="237"/>
    <x v="1"/>
    <x v="0"/>
    <x v="1"/>
    <x v="12"/>
    <x v="8"/>
    <s v="11-03-2026"/>
  </r>
  <r>
    <s v="Job0493"/>
    <x v="3"/>
    <s v="Latentview Analytics"/>
    <x v="8"/>
    <x v="0"/>
    <s v="885000"/>
    <x v="87"/>
    <x v="1"/>
    <x v="1"/>
    <x v="12"/>
    <x v="12"/>
    <x v="0"/>
    <s v="02-06-2026"/>
  </r>
  <r>
    <s v="Job0239"/>
    <x v="0"/>
    <s v="Persistent Systems"/>
    <x v="6"/>
    <x v="0"/>
    <s v="655000"/>
    <x v="165"/>
    <x v="1"/>
    <x v="1"/>
    <x v="0"/>
    <x v="10"/>
    <x v="4"/>
    <s v="04-03-2026"/>
  </r>
  <r>
    <s v="Job0264"/>
    <x v="9"/>
    <s v="Hdfc Bank"/>
    <x v="9"/>
    <x v="4"/>
    <s v="1010000"/>
    <x v="99"/>
    <x v="1"/>
    <x v="1"/>
    <x v="3"/>
    <x v="0"/>
    <x v="10"/>
    <s v="18-04-2026"/>
  </r>
  <r>
    <s v="Job0287"/>
    <x v="0"/>
    <s v="Myntra"/>
    <x v="6"/>
    <x v="0"/>
    <s v="910000"/>
    <x v="238"/>
    <x v="1"/>
    <x v="1"/>
    <x v="1"/>
    <x v="10"/>
    <x v="4"/>
    <s v="05-08-2026"/>
  </r>
  <r>
    <s v="Job0230"/>
    <x v="7"/>
    <s v="Bank Of America India"/>
    <x v="0"/>
    <x v="1"/>
    <s v="2030000"/>
    <x v="239"/>
    <x v="1"/>
    <x v="2"/>
    <x v="8"/>
    <x v="12"/>
    <x v="7"/>
    <s v="22-07-2026"/>
  </r>
  <r>
    <s v="Job0017"/>
    <x v="6"/>
    <s v="Cognizant"/>
    <x v="3"/>
    <x v="4"/>
    <s v="1600000"/>
    <x v="201"/>
    <x v="1"/>
    <x v="2"/>
    <x v="0"/>
    <x v="0"/>
    <x v="3"/>
    <s v="12-08-2026"/>
  </r>
  <r>
    <s v="Job0067"/>
    <x v="3"/>
    <s v="Pwc India"/>
    <x v="6"/>
    <x v="2"/>
    <s v="320000"/>
    <x v="240"/>
    <x v="2"/>
    <x v="1"/>
    <x v="7"/>
    <x v="14"/>
    <x v="13"/>
    <s v="29-04-2026"/>
  </r>
  <r>
    <s v="Job0143"/>
    <x v="0"/>
    <s v="Hcltech"/>
    <x v="1"/>
    <x v="2"/>
    <s v="345000"/>
    <x v="241"/>
    <x v="2"/>
    <x v="0"/>
    <x v="8"/>
    <x v="4"/>
    <x v="0"/>
    <s v="23-04-2026"/>
  </r>
  <r>
    <s v="Job0102"/>
    <x v="0"/>
    <s v="Capgemini"/>
    <x v="7"/>
    <x v="4"/>
    <s v="1245000"/>
    <x v="242"/>
    <x v="1"/>
    <x v="1"/>
    <x v="10"/>
    <x v="3"/>
    <x v="7"/>
    <s v="29-01-2026"/>
  </r>
  <r>
    <s v="Job0104"/>
    <x v="6"/>
    <s v="Infosys"/>
    <x v="1"/>
    <x v="1"/>
    <s v="1210000"/>
    <x v="190"/>
    <x v="1"/>
    <x v="0"/>
    <x v="5"/>
    <x v="3"/>
    <x v="2"/>
    <s v="09-08-2026"/>
  </r>
  <r>
    <s v="Job0377"/>
    <x v="5"/>
    <s v="Unacademy"/>
    <x v="1"/>
    <x v="4"/>
    <s v="1550000"/>
    <x v="243"/>
    <x v="1"/>
    <x v="1"/>
    <x v="10"/>
    <x v="12"/>
    <x v="6"/>
    <s v="29-08-2026"/>
  </r>
  <r>
    <s v="Job0423"/>
    <x v="1"/>
    <s v="Mu Sigma"/>
    <x v="2"/>
    <x v="2"/>
    <s v="385000"/>
    <x v="152"/>
    <x v="2"/>
    <x v="1"/>
    <x v="0"/>
    <x v="9"/>
    <x v="9"/>
    <s v="26-06-2026"/>
  </r>
  <r>
    <s v="Job0465"/>
    <x v="1"/>
    <s v="Publicis Sapient"/>
    <x v="4"/>
    <x v="1"/>
    <s v="2110000"/>
    <x v="244"/>
    <x v="1"/>
    <x v="2"/>
    <x v="4"/>
    <x v="6"/>
    <x v="10"/>
    <s v="26-06-2026"/>
  </r>
  <r>
    <s v="Job0398"/>
    <x v="1"/>
    <s v="Mu Sigma"/>
    <x v="1"/>
    <x v="0"/>
    <s v="560000"/>
    <x v="245"/>
    <x v="1"/>
    <x v="0"/>
    <x v="13"/>
    <x v="9"/>
    <x v="6"/>
    <s v="04-04-2026"/>
  </r>
  <r>
    <s v="Job0374"/>
    <x v="3"/>
    <s v="Sap Labs India"/>
    <x v="4"/>
    <x v="4"/>
    <s v="1160000"/>
    <x v="148"/>
    <x v="1"/>
    <x v="0"/>
    <x v="0"/>
    <x v="13"/>
    <x v="9"/>
    <s v="20-02-2026"/>
  </r>
  <r>
    <s v="Job0336"/>
    <x v="8"/>
    <s v="Axis Bank"/>
    <x v="5"/>
    <x v="2"/>
    <s v="480000"/>
    <x v="155"/>
    <x v="1"/>
    <x v="2"/>
    <x v="14"/>
    <x v="5"/>
    <x v="2"/>
    <s v="02-03-2026"/>
  </r>
  <r>
    <s v="Job0320"/>
    <x v="7"/>
    <s v="Cognizant"/>
    <x v="4"/>
    <x v="0"/>
    <s v="950000"/>
    <x v="246"/>
    <x v="1"/>
    <x v="0"/>
    <x v="3"/>
    <x v="7"/>
    <x v="9"/>
    <s v="24-05-2026"/>
  </r>
  <r>
    <s v="Job0046"/>
    <x v="5"/>
    <s v="Zoho"/>
    <x v="7"/>
    <x v="1"/>
    <s v="1025000"/>
    <x v="67"/>
    <x v="1"/>
    <x v="0"/>
    <x v="9"/>
    <x v="2"/>
    <x v="12"/>
    <s v="05-03-2026"/>
  </r>
  <r>
    <s v="Job0353"/>
    <x v="0"/>
    <s v="Kpmg India"/>
    <x v="3"/>
    <x v="0"/>
    <s v="655000"/>
    <x v="165"/>
    <x v="1"/>
    <x v="0"/>
    <x v="3"/>
    <x v="5"/>
    <x v="6"/>
    <s v="01-07-2026"/>
  </r>
  <r>
    <s v="Job0486"/>
    <x v="6"/>
    <s v="Delhivery"/>
    <x v="4"/>
    <x v="1"/>
    <s v="1640000"/>
    <x v="247"/>
    <x v="0"/>
    <x v="1"/>
    <x v="10"/>
    <x v="8"/>
    <x v="1"/>
    <s v="28-03-2026"/>
  </r>
  <r>
    <s v="Job0149"/>
    <x v="2"/>
    <s v="Deloitte India"/>
    <x v="3"/>
    <x v="3"/>
    <s v="2905000"/>
    <x v="248"/>
    <x v="1"/>
    <x v="0"/>
    <x v="4"/>
    <x v="0"/>
    <x v="5"/>
    <s v="23-07-2026"/>
  </r>
  <r>
    <s v="Job0437"/>
    <x v="8"/>
    <s v="Ibm India"/>
    <x v="4"/>
    <x v="1"/>
    <s v="1160000"/>
    <x v="148"/>
    <x v="1"/>
    <x v="1"/>
    <x v="1"/>
    <x v="12"/>
    <x v="8"/>
    <s v="28-01-2026"/>
  </r>
  <r>
    <s v="Job0109"/>
    <x v="0"/>
    <s v="Hdfc Bank"/>
    <x v="0"/>
    <x v="2"/>
    <s v="295000"/>
    <x v="249"/>
    <x v="2"/>
    <x v="1"/>
    <x v="3"/>
    <x v="1"/>
    <x v="6"/>
    <s v="01-04-2026"/>
  </r>
  <r>
    <s v="Job0085"/>
    <x v="9"/>
    <s v="Mu Sigma"/>
    <x v="8"/>
    <x v="1"/>
    <s v="1030000"/>
    <x v="226"/>
    <x v="0"/>
    <x v="1"/>
    <x v="9"/>
    <x v="2"/>
    <x v="6"/>
    <s v="12-06-2026"/>
  </r>
  <r>
    <s v="Job0275"/>
    <x v="7"/>
    <s v="Kpmg India"/>
    <x v="7"/>
    <x v="3"/>
    <s v="3860000"/>
    <x v="250"/>
    <x v="0"/>
    <x v="0"/>
    <x v="13"/>
    <x v="13"/>
    <x v="4"/>
    <s v="09-04-2026"/>
  </r>
  <r>
    <s v="Job0330"/>
    <x v="6"/>
    <s v="L&amp;T Infotech"/>
    <x v="9"/>
    <x v="1"/>
    <s v="1860000"/>
    <x v="251"/>
    <x v="1"/>
    <x v="2"/>
    <x v="11"/>
    <x v="12"/>
    <x v="13"/>
    <s v="10-04-2026"/>
  </r>
  <r>
    <s v="Job0318"/>
    <x v="2"/>
    <s v="Dell Technologies India"/>
    <x v="2"/>
    <x v="0"/>
    <s v="800000"/>
    <x v="252"/>
    <x v="1"/>
    <x v="1"/>
    <x v="12"/>
    <x v="10"/>
    <x v="2"/>
    <s v="22-06-2026"/>
  </r>
  <r>
    <s v="Job0098"/>
    <x v="2"/>
    <s v="Cisco India"/>
    <x v="7"/>
    <x v="3"/>
    <s v="3070000"/>
    <x v="253"/>
    <x v="1"/>
    <x v="1"/>
    <x v="1"/>
    <x v="14"/>
    <x v="13"/>
    <s v="05-04-2026"/>
  </r>
  <r>
    <s v="Job0064"/>
    <x v="4"/>
    <s v="Larsen &amp; Toubro"/>
    <x v="6"/>
    <x v="3"/>
    <s v="2325000"/>
    <x v="254"/>
    <x v="1"/>
    <x v="0"/>
    <x v="12"/>
    <x v="6"/>
    <x v="0"/>
    <s v="15-07-2026"/>
  </r>
  <r>
    <s v="Job0005"/>
    <x v="1"/>
    <s v="Ibm India"/>
    <x v="9"/>
    <x v="2"/>
    <s v="455000"/>
    <x v="255"/>
    <x v="2"/>
    <x v="0"/>
    <x v="12"/>
    <x v="8"/>
    <x v="2"/>
    <s v="23-02-2026"/>
  </r>
  <r>
    <s v="Job0327"/>
    <x v="1"/>
    <s v="Freshworks"/>
    <x v="9"/>
    <x v="4"/>
    <s v="1180000"/>
    <x v="59"/>
    <x v="0"/>
    <x v="2"/>
    <x v="3"/>
    <x v="6"/>
    <x v="4"/>
    <s v="25-04-2026"/>
  </r>
  <r>
    <s v="Job0051"/>
    <x v="3"/>
    <s v="L&amp;T Infotech"/>
    <x v="3"/>
    <x v="2"/>
    <s v="280000"/>
    <x v="256"/>
    <x v="2"/>
    <x v="0"/>
    <x v="13"/>
    <x v="13"/>
    <x v="9"/>
    <s v="10-03-2026"/>
  </r>
  <r>
    <s v="Job0359"/>
    <x v="7"/>
    <s v="Nagarro"/>
    <x v="1"/>
    <x v="2"/>
    <s v="440000"/>
    <x v="257"/>
    <x v="1"/>
    <x v="0"/>
    <x v="3"/>
    <x v="6"/>
    <x v="6"/>
    <s v="22-06-2026"/>
  </r>
  <r>
    <s v="Job0282"/>
    <x v="4"/>
    <s v="Zensar Technologies"/>
    <x v="0"/>
    <x v="0"/>
    <s v="1015000"/>
    <x v="160"/>
    <x v="1"/>
    <x v="1"/>
    <x v="10"/>
    <x v="7"/>
    <x v="6"/>
    <s v="15-06-2026"/>
  </r>
  <r>
    <s v="Job0095"/>
    <x v="1"/>
    <s v="Larsen &amp; Toubro"/>
    <x v="1"/>
    <x v="0"/>
    <s v="750000"/>
    <x v="12"/>
    <x v="0"/>
    <x v="1"/>
    <x v="13"/>
    <x v="9"/>
    <x v="8"/>
    <s v="25-06-2026"/>
  </r>
  <r>
    <s v="Job0165"/>
    <x v="5"/>
    <s v="Ola"/>
    <x v="1"/>
    <x v="4"/>
    <s v="1755000"/>
    <x v="258"/>
    <x v="1"/>
    <x v="0"/>
    <x v="10"/>
    <x v="5"/>
    <x v="14"/>
    <s v="31-01-2026"/>
  </r>
  <r>
    <s v="Job0215"/>
    <x v="8"/>
    <s v="Sonata Software"/>
    <x v="5"/>
    <x v="0"/>
    <s v="795000"/>
    <x v="259"/>
    <x v="1"/>
    <x v="1"/>
    <x v="4"/>
    <x v="4"/>
    <x v="3"/>
    <s v="19-02-2026"/>
  </r>
  <r>
    <s v="Job0471"/>
    <x v="7"/>
    <s v="Meesho"/>
    <x v="9"/>
    <x v="2"/>
    <s v="380000"/>
    <x v="83"/>
    <x v="2"/>
    <x v="0"/>
    <x v="5"/>
    <x v="13"/>
    <x v="1"/>
    <s v="09-04-2026"/>
  </r>
  <r>
    <s v="Job0443"/>
    <x v="5"/>
    <s v="Cognizant"/>
    <x v="5"/>
    <x v="4"/>
    <s v="1365000"/>
    <x v="209"/>
    <x v="1"/>
    <x v="1"/>
    <x v="3"/>
    <x v="7"/>
    <x v="10"/>
    <s v="13-03-2026"/>
  </r>
  <r>
    <s v="Job0056"/>
    <x v="9"/>
    <s v="Tredence"/>
    <x v="5"/>
    <x v="0"/>
    <s v="615000"/>
    <x v="72"/>
    <x v="1"/>
    <x v="1"/>
    <x v="6"/>
    <x v="3"/>
    <x v="13"/>
    <s v="17-03-2026"/>
  </r>
  <r>
    <s v="Job0189"/>
    <x v="5"/>
    <s v="Sonata Software"/>
    <x v="7"/>
    <x v="2"/>
    <s v="585000"/>
    <x v="176"/>
    <x v="1"/>
    <x v="1"/>
    <x v="1"/>
    <x v="5"/>
    <x v="6"/>
    <s v="14-04-2026"/>
  </r>
  <r>
    <s v="Job0176"/>
    <x v="1"/>
    <s v="Delhivery"/>
    <x v="8"/>
    <x v="2"/>
    <s v="270000"/>
    <x v="260"/>
    <x v="2"/>
    <x v="0"/>
    <x v="3"/>
    <x v="9"/>
    <x v="8"/>
    <s v="19-03-2026"/>
  </r>
  <r>
    <s v="Job0069"/>
    <x v="3"/>
    <s v="Tredence"/>
    <x v="9"/>
    <x v="3"/>
    <s v="3920000"/>
    <x v="261"/>
    <x v="1"/>
    <x v="1"/>
    <x v="1"/>
    <x v="12"/>
    <x v="8"/>
    <s v="15-06-2026"/>
  </r>
  <r>
    <s v="Job0108"/>
    <x v="7"/>
    <s v="Ola"/>
    <x v="7"/>
    <x v="0"/>
    <s v="655000"/>
    <x v="165"/>
    <x v="1"/>
    <x v="2"/>
    <x v="5"/>
    <x v="12"/>
    <x v="1"/>
    <s v="14-07-2026"/>
  </r>
  <r>
    <s v="Job0187"/>
    <x v="4"/>
    <s v="Bank Of America India"/>
    <x v="2"/>
    <x v="0"/>
    <s v="540000"/>
    <x v="146"/>
    <x v="1"/>
    <x v="1"/>
    <x v="7"/>
    <x v="12"/>
    <x v="4"/>
    <s v="05-01-2026"/>
  </r>
  <r>
    <s v="Job0026"/>
    <x v="4"/>
    <s v="Pwc India"/>
    <x v="3"/>
    <x v="4"/>
    <s v="845000"/>
    <x v="153"/>
    <x v="1"/>
    <x v="2"/>
    <x v="4"/>
    <x v="12"/>
    <x v="2"/>
    <s v="22-05-2026"/>
  </r>
  <r>
    <s v="Job0410"/>
    <x v="8"/>
    <s v="Barclays India"/>
    <x v="4"/>
    <x v="2"/>
    <s v="530000"/>
    <x v="262"/>
    <x v="1"/>
    <x v="1"/>
    <x v="0"/>
    <x v="0"/>
    <x v="14"/>
    <s v="20-02-2026"/>
  </r>
  <r>
    <s v="Job0142"/>
    <x v="0"/>
    <s v="Oracle India"/>
    <x v="0"/>
    <x v="2"/>
    <s v="720000"/>
    <x v="6"/>
    <x v="1"/>
    <x v="2"/>
    <x v="9"/>
    <x v="9"/>
    <x v="14"/>
    <s v="17-04-2026"/>
  </r>
  <r>
    <s v="Job0367"/>
    <x v="4"/>
    <s v="Delhivery"/>
    <x v="9"/>
    <x v="1"/>
    <s v="1445000"/>
    <x v="16"/>
    <x v="1"/>
    <x v="0"/>
    <x v="12"/>
    <x v="14"/>
    <x v="4"/>
    <s v="06-05-2026"/>
  </r>
  <r>
    <s v="Job0306"/>
    <x v="0"/>
    <s v="Wns Global Services"/>
    <x v="0"/>
    <x v="1"/>
    <s v="1220000"/>
    <x v="168"/>
    <x v="1"/>
    <x v="1"/>
    <x v="4"/>
    <x v="5"/>
    <x v="10"/>
    <s v="29-01-2026"/>
  </r>
  <r>
    <s v="Job0097"/>
    <x v="8"/>
    <s v="Sap Labs India"/>
    <x v="7"/>
    <x v="1"/>
    <s v="1425000"/>
    <x v="150"/>
    <x v="1"/>
    <x v="0"/>
    <x v="3"/>
    <x v="11"/>
    <x v="4"/>
    <s v="03-06-2026"/>
  </r>
  <r>
    <s v="Job0482"/>
    <x v="4"/>
    <s v="American Express India"/>
    <x v="4"/>
    <x v="0"/>
    <s v="920000"/>
    <x v="263"/>
    <x v="0"/>
    <x v="1"/>
    <x v="5"/>
    <x v="14"/>
    <x v="2"/>
    <s v="06-07-2026"/>
  </r>
  <r>
    <s v="Job0048"/>
    <x v="9"/>
    <s v="Persistent Systems"/>
    <x v="0"/>
    <x v="3"/>
    <s v="4395000"/>
    <x v="264"/>
    <x v="1"/>
    <x v="0"/>
    <x v="4"/>
    <x v="14"/>
    <x v="6"/>
    <s v="23-06-2026"/>
  </r>
  <r>
    <s v="Job0033"/>
    <x v="0"/>
    <s v="Myntra"/>
    <x v="4"/>
    <x v="2"/>
    <s v="670000"/>
    <x v="171"/>
    <x v="1"/>
    <x v="0"/>
    <x v="9"/>
    <x v="3"/>
    <x v="9"/>
    <s v="18-01-2026"/>
  </r>
  <r>
    <s v="Job0205"/>
    <x v="5"/>
    <s v="Urban Company"/>
    <x v="5"/>
    <x v="1"/>
    <s v="1650000"/>
    <x v="265"/>
    <x v="0"/>
    <x v="1"/>
    <x v="14"/>
    <x v="9"/>
    <x v="10"/>
    <s v="23-08-2026"/>
  </r>
  <r>
    <s v="Job0286"/>
    <x v="1"/>
    <s v="Cognizant"/>
    <x v="0"/>
    <x v="1"/>
    <s v="1795000"/>
    <x v="117"/>
    <x v="1"/>
    <x v="0"/>
    <x v="8"/>
    <x v="2"/>
    <x v="14"/>
    <s v="10-01-2026"/>
  </r>
  <r>
    <s v="Job0002"/>
    <x v="4"/>
    <s v="Pwc India"/>
    <x v="8"/>
    <x v="0"/>
    <s v="805000"/>
    <x v="169"/>
    <x v="1"/>
    <x v="2"/>
    <x v="2"/>
    <x v="6"/>
    <x v="7"/>
    <s v="27-07-2026"/>
  </r>
  <r>
    <s v="Job0088"/>
    <x v="1"/>
    <s v="Samsung R&amp;D Institute India"/>
    <x v="7"/>
    <x v="2"/>
    <s v="310000"/>
    <x v="57"/>
    <x v="2"/>
    <x v="1"/>
    <x v="4"/>
    <x v="12"/>
    <x v="2"/>
    <s v="14-06-2026"/>
  </r>
  <r>
    <s v="Job0101"/>
    <x v="4"/>
    <s v="Pwc India"/>
    <x v="5"/>
    <x v="0"/>
    <s v="725000"/>
    <x v="172"/>
    <x v="1"/>
    <x v="2"/>
    <x v="0"/>
    <x v="11"/>
    <x v="11"/>
    <s v="10-02-2026"/>
  </r>
  <r>
    <s v="Job0106"/>
    <x v="9"/>
    <s v="Persistent Systems"/>
    <x v="0"/>
    <x v="1"/>
    <s v="2000000"/>
    <x v="266"/>
    <x v="0"/>
    <x v="2"/>
    <x v="9"/>
    <x v="13"/>
    <x v="11"/>
    <s v="13-04-2026"/>
  </r>
  <r>
    <s v="Job0495"/>
    <x v="8"/>
    <s v="Publicis Sapient"/>
    <x v="8"/>
    <x v="1"/>
    <s v="1925000"/>
    <x v="25"/>
    <x v="1"/>
    <x v="1"/>
    <x v="7"/>
    <x v="4"/>
    <x v="3"/>
    <s v="10-02-2026"/>
  </r>
  <r>
    <s v="Job0293"/>
    <x v="7"/>
    <s v="Zs Associates"/>
    <x v="7"/>
    <x v="0"/>
    <s v="870000"/>
    <x v="267"/>
    <x v="1"/>
    <x v="1"/>
    <x v="2"/>
    <x v="11"/>
    <x v="9"/>
    <s v="17-05-2026"/>
  </r>
  <r>
    <s v="Job0331"/>
    <x v="3"/>
    <s v="Barclays India"/>
    <x v="3"/>
    <x v="4"/>
    <s v="815000"/>
    <x v="205"/>
    <x v="1"/>
    <x v="1"/>
    <x v="4"/>
    <x v="8"/>
    <x v="2"/>
    <s v="26-08-2026"/>
  </r>
  <r>
    <s v="Job0382"/>
    <x v="2"/>
    <s v="L&amp;T Infotech"/>
    <x v="4"/>
    <x v="2"/>
    <s v="350000"/>
    <x v="268"/>
    <x v="0"/>
    <x v="0"/>
    <x v="10"/>
    <x v="10"/>
    <x v="2"/>
    <s v="18-03-2026"/>
  </r>
  <r>
    <s v="Job0405"/>
    <x v="0"/>
    <s v="L&amp;T Infotech"/>
    <x v="7"/>
    <x v="2"/>
    <s v="555000"/>
    <x v="269"/>
    <x v="1"/>
    <x v="1"/>
    <x v="9"/>
    <x v="6"/>
    <x v="4"/>
    <s v="27-07-2026"/>
  </r>
  <r>
    <s v="Job0481"/>
    <x v="6"/>
    <s v="Tech Mahindra"/>
    <x v="7"/>
    <x v="2"/>
    <s v="605000"/>
    <x v="154"/>
    <x v="1"/>
    <x v="1"/>
    <x v="4"/>
    <x v="2"/>
    <x v="9"/>
    <s v="01-01-2026"/>
  </r>
  <r>
    <s v="Job0294"/>
    <x v="1"/>
    <s v="Jpmorgan Chase India"/>
    <x v="9"/>
    <x v="4"/>
    <s v="1555000"/>
    <x v="107"/>
    <x v="1"/>
    <x v="2"/>
    <x v="3"/>
    <x v="9"/>
    <x v="8"/>
    <s v="27-01-2026"/>
  </r>
  <r>
    <s v="Job0151"/>
    <x v="0"/>
    <s v="Thoughtworks"/>
    <x v="2"/>
    <x v="4"/>
    <s v="1730000"/>
    <x v="270"/>
    <x v="1"/>
    <x v="1"/>
    <x v="8"/>
    <x v="12"/>
    <x v="9"/>
    <s v="17-05-2026"/>
  </r>
  <r>
    <s v="Job0070"/>
    <x v="7"/>
    <s v="Nagarro"/>
    <x v="4"/>
    <x v="3"/>
    <s v="3645000"/>
    <x v="271"/>
    <x v="1"/>
    <x v="1"/>
    <x v="11"/>
    <x v="12"/>
    <x v="1"/>
    <s v="11-05-2026"/>
  </r>
  <r>
    <s v="Job0238"/>
    <x v="4"/>
    <s v="Sap Labs India"/>
    <x v="3"/>
    <x v="4"/>
    <s v="1325000"/>
    <x v="272"/>
    <x v="1"/>
    <x v="0"/>
    <x v="3"/>
    <x v="11"/>
    <x v="4"/>
    <s v="08-08-2026"/>
  </r>
  <r>
    <s v="Job0208"/>
    <x v="3"/>
    <s v="Mu Sigma"/>
    <x v="4"/>
    <x v="1"/>
    <s v="2105000"/>
    <x v="10"/>
    <x v="1"/>
    <x v="0"/>
    <x v="13"/>
    <x v="7"/>
    <x v="3"/>
    <s v="14-05-2026"/>
  </r>
  <r>
    <s v="Job0209"/>
    <x v="3"/>
    <s v="Dell Technologies India"/>
    <x v="1"/>
    <x v="2"/>
    <s v="545000"/>
    <x v="273"/>
    <x v="1"/>
    <x v="1"/>
    <x v="4"/>
    <x v="1"/>
    <x v="2"/>
    <s v="15-06-2026"/>
  </r>
  <r>
    <s v="Job0315"/>
    <x v="0"/>
    <s v="Tredence"/>
    <x v="1"/>
    <x v="2"/>
    <s v="240000"/>
    <x v="274"/>
    <x v="2"/>
    <x v="1"/>
    <x v="2"/>
    <x v="12"/>
    <x v="0"/>
    <s v="27-06-2026"/>
  </r>
  <r>
    <s v="Job0418"/>
    <x v="7"/>
    <s v="Wipro"/>
    <x v="6"/>
    <x v="4"/>
    <s v="1155000"/>
    <x v="62"/>
    <x v="1"/>
    <x v="0"/>
    <x v="8"/>
    <x v="1"/>
    <x v="0"/>
    <s v="10-06-2026"/>
  </r>
  <r>
    <s v="Job0054"/>
    <x v="3"/>
    <s v="Dunzo"/>
    <x v="8"/>
    <x v="1"/>
    <s v="1775000"/>
    <x v="275"/>
    <x v="1"/>
    <x v="0"/>
    <x v="1"/>
    <x v="0"/>
    <x v="9"/>
    <s v="05-04-2026"/>
  </r>
  <r>
    <s v="Job0484"/>
    <x v="6"/>
    <s v="Samsung R&amp;D Institute India"/>
    <x v="5"/>
    <x v="4"/>
    <s v="880000"/>
    <x v="108"/>
    <x v="1"/>
    <x v="0"/>
    <x v="14"/>
    <x v="1"/>
    <x v="3"/>
    <s v="18-03-2026"/>
  </r>
  <r>
    <s v="Job0223"/>
    <x v="2"/>
    <s v="Jpmorgan Chase India"/>
    <x v="1"/>
    <x v="1"/>
    <s v="1395000"/>
    <x v="135"/>
    <x v="1"/>
    <x v="0"/>
    <x v="7"/>
    <x v="12"/>
    <x v="5"/>
    <s v="06-08-2026"/>
  </r>
  <r>
    <s v="Job0011"/>
    <x v="6"/>
    <s v="Amazon India"/>
    <x v="5"/>
    <x v="3"/>
    <s v="2175000"/>
    <x v="40"/>
    <x v="1"/>
    <x v="2"/>
    <x v="13"/>
    <x v="10"/>
    <x v="0"/>
    <s v="03-06-2026"/>
  </r>
  <r>
    <s v="Job0473"/>
    <x v="2"/>
    <s v="Genpact"/>
    <x v="5"/>
    <x v="0"/>
    <s v="730000"/>
    <x v="23"/>
    <x v="1"/>
    <x v="1"/>
    <x v="12"/>
    <x v="14"/>
    <x v="2"/>
    <s v="08-04-2026"/>
  </r>
  <r>
    <s v="Job0455"/>
    <x v="8"/>
    <s v="Mu Sigma"/>
    <x v="3"/>
    <x v="2"/>
    <s v="495000"/>
    <x v="202"/>
    <x v="1"/>
    <x v="0"/>
    <x v="0"/>
    <x v="6"/>
    <x v="14"/>
    <s v="10-02-2026"/>
  </r>
  <r>
    <s v="Job0414"/>
    <x v="3"/>
    <s v="Genpact"/>
    <x v="9"/>
    <x v="4"/>
    <s v="1010000"/>
    <x v="99"/>
    <x v="1"/>
    <x v="1"/>
    <x v="11"/>
    <x v="13"/>
    <x v="4"/>
    <s v="21-06-2026"/>
  </r>
  <r>
    <s v="Job0058"/>
    <x v="7"/>
    <s v="Zs Associates"/>
    <x v="7"/>
    <x v="2"/>
    <s v="610000"/>
    <x v="185"/>
    <x v="1"/>
    <x v="1"/>
    <x v="10"/>
    <x v="0"/>
    <x v="14"/>
    <s v="06-05-2026"/>
  </r>
  <r>
    <s v="Job0252"/>
    <x v="4"/>
    <s v="Axis Bank"/>
    <x v="9"/>
    <x v="0"/>
    <s v="1055000"/>
    <x v="133"/>
    <x v="1"/>
    <x v="0"/>
    <x v="9"/>
    <x v="2"/>
    <x v="6"/>
    <s v="21-08-2026"/>
  </r>
  <r>
    <s v="Job0475"/>
    <x v="6"/>
    <s v="Zoho"/>
    <x v="0"/>
    <x v="1"/>
    <s v="1555000"/>
    <x v="107"/>
    <x v="1"/>
    <x v="1"/>
    <x v="5"/>
    <x v="10"/>
    <x v="7"/>
    <s v="16-02-2026"/>
  </r>
  <r>
    <s v="Job0470"/>
    <x v="2"/>
    <s v="Policybazaar"/>
    <x v="4"/>
    <x v="2"/>
    <s v="685000"/>
    <x v="149"/>
    <x v="1"/>
    <x v="0"/>
    <x v="1"/>
    <x v="13"/>
    <x v="10"/>
    <s v="05-05-2026"/>
  </r>
  <r>
    <s v="Job0147"/>
    <x v="3"/>
    <s v="Ola"/>
    <x v="8"/>
    <x v="3"/>
    <s v="2625000"/>
    <x v="276"/>
    <x v="1"/>
    <x v="1"/>
    <x v="7"/>
    <x v="6"/>
    <x v="2"/>
    <s v="15-03-2026"/>
  </r>
  <r>
    <s v="Job0340"/>
    <x v="6"/>
    <s v="Deloitte India"/>
    <x v="9"/>
    <x v="3"/>
    <s v="3430000"/>
    <x v="277"/>
    <x v="0"/>
    <x v="1"/>
    <x v="0"/>
    <x v="11"/>
    <x v="12"/>
    <s v="18-07-2026"/>
  </r>
  <r>
    <s v="Job0266"/>
    <x v="4"/>
    <s v="Nykaa"/>
    <x v="9"/>
    <x v="4"/>
    <s v="1060000"/>
    <x v="136"/>
    <x v="1"/>
    <x v="1"/>
    <x v="4"/>
    <x v="12"/>
    <x v="6"/>
    <s v="21-05-2026"/>
  </r>
  <r>
    <s v="Job0497"/>
    <x v="4"/>
    <s v="Urban Company"/>
    <x v="2"/>
    <x v="0"/>
    <s v="970000"/>
    <x v="186"/>
    <x v="1"/>
    <x v="2"/>
    <x v="3"/>
    <x v="0"/>
    <x v="11"/>
    <s v="29-05-2026"/>
  </r>
  <r>
    <s v="Job0499"/>
    <x v="0"/>
    <s v="Zs Associates"/>
    <x v="9"/>
    <x v="1"/>
    <s v="1175000"/>
    <x v="49"/>
    <x v="0"/>
    <x v="1"/>
    <x v="10"/>
    <x v="7"/>
    <x v="8"/>
    <s v="11-03-2026"/>
  </r>
  <r>
    <s v="Job0031"/>
    <x v="1"/>
    <s v="Phonepe"/>
    <x v="9"/>
    <x v="0"/>
    <s v="740000"/>
    <x v="181"/>
    <x v="1"/>
    <x v="2"/>
    <x v="1"/>
    <x v="12"/>
    <x v="1"/>
    <s v="26-03-2026"/>
  </r>
  <r>
    <s v="Job0111"/>
    <x v="4"/>
    <s v="Hdfc Bank"/>
    <x v="0"/>
    <x v="0"/>
    <s v="695000"/>
    <x v="278"/>
    <x v="1"/>
    <x v="2"/>
    <x v="0"/>
    <x v="6"/>
    <x v="14"/>
    <s v="14-02-2026"/>
  </r>
  <r>
    <s v="Job0030"/>
    <x v="2"/>
    <s v="Zensar Technologies"/>
    <x v="7"/>
    <x v="1"/>
    <s v="2045000"/>
    <x v="124"/>
    <x v="0"/>
    <x v="1"/>
    <x v="11"/>
    <x v="8"/>
    <x v="4"/>
    <s v="30-07-2026"/>
  </r>
  <r>
    <s v="Job0247"/>
    <x v="6"/>
    <s v="Swiggy"/>
    <x v="2"/>
    <x v="3"/>
    <s v="1915000"/>
    <x v="279"/>
    <x v="1"/>
    <x v="1"/>
    <x v="14"/>
    <x v="8"/>
    <x v="2"/>
    <s v="20-03-2026"/>
  </r>
  <r>
    <s v="Job0173"/>
    <x v="8"/>
    <s v="Quantiphi"/>
    <x v="6"/>
    <x v="2"/>
    <s v="430000"/>
    <x v="39"/>
    <x v="1"/>
    <x v="1"/>
    <x v="4"/>
    <x v="10"/>
    <x v="6"/>
    <s v="22-06-2026"/>
  </r>
  <r>
    <s v="Job0196"/>
    <x v="5"/>
    <s v="Larsen &amp; Toubro"/>
    <x v="2"/>
    <x v="3"/>
    <s v="3515000"/>
    <x v="280"/>
    <x v="1"/>
    <x v="1"/>
    <x v="0"/>
    <x v="7"/>
    <x v="0"/>
    <s v="02-07-2026"/>
  </r>
  <r>
    <s v="Job0144"/>
    <x v="5"/>
    <s v="Wns Global Services"/>
    <x v="1"/>
    <x v="0"/>
    <s v="705000"/>
    <x v="281"/>
    <x v="1"/>
    <x v="0"/>
    <x v="0"/>
    <x v="12"/>
    <x v="1"/>
    <s v="24-05-2026"/>
  </r>
  <r>
    <s v="Job0319"/>
    <x v="8"/>
    <s v="Makemytrip"/>
    <x v="3"/>
    <x v="2"/>
    <s v="585000"/>
    <x v="176"/>
    <x v="1"/>
    <x v="2"/>
    <x v="14"/>
    <x v="1"/>
    <x v="7"/>
    <s v="06-03-2026"/>
  </r>
  <r>
    <s v="Job0281"/>
    <x v="1"/>
    <s v="Jpmorgan Chase India"/>
    <x v="1"/>
    <x v="2"/>
    <s v="340000"/>
    <x v="282"/>
    <x v="2"/>
    <x v="1"/>
    <x v="4"/>
    <x v="9"/>
    <x v="6"/>
    <s v="09-04-2026"/>
  </r>
  <r>
    <s v="Job0456"/>
    <x v="3"/>
    <s v="American Express India"/>
    <x v="7"/>
    <x v="4"/>
    <s v="1010000"/>
    <x v="99"/>
    <x v="1"/>
    <x v="1"/>
    <x v="12"/>
    <x v="1"/>
    <x v="3"/>
    <s v="20-05-2026"/>
  </r>
  <r>
    <s v="Job0343"/>
    <x v="3"/>
    <s v="Razorpay"/>
    <x v="7"/>
    <x v="4"/>
    <s v="1170000"/>
    <x v="283"/>
    <x v="1"/>
    <x v="1"/>
    <x v="1"/>
    <x v="13"/>
    <x v="2"/>
    <s v="23-08-2026"/>
  </r>
  <r>
    <s v="Job0156"/>
    <x v="2"/>
    <s v="Wns Global Services"/>
    <x v="8"/>
    <x v="0"/>
    <s v="665000"/>
    <x v="82"/>
    <x v="1"/>
    <x v="0"/>
    <x v="5"/>
    <x v="7"/>
    <x v="14"/>
    <s v="23-02-2026"/>
  </r>
  <r>
    <s v="Job0298"/>
    <x v="6"/>
    <s v="Wipro"/>
    <x v="9"/>
    <x v="2"/>
    <s v="540000"/>
    <x v="146"/>
    <x v="1"/>
    <x v="1"/>
    <x v="5"/>
    <x v="5"/>
    <x v="8"/>
    <s v="19-03-2026"/>
  </r>
  <r>
    <s v="Job0245"/>
    <x v="4"/>
    <s v="Razorpay"/>
    <x v="5"/>
    <x v="1"/>
    <s v="1840000"/>
    <x v="284"/>
    <x v="1"/>
    <x v="0"/>
    <x v="14"/>
    <x v="11"/>
    <x v="1"/>
    <s v="26-05-2026"/>
  </r>
  <r>
    <s v="Job0487"/>
    <x v="4"/>
    <s v="Barclays India"/>
    <x v="7"/>
    <x v="0"/>
    <s v="985000"/>
    <x v="285"/>
    <x v="1"/>
    <x v="1"/>
    <x v="8"/>
    <x v="4"/>
    <x v="0"/>
    <s v="08-07-2026"/>
  </r>
  <r>
    <s v="Job0428"/>
    <x v="2"/>
    <s v="Axis Bank"/>
    <x v="2"/>
    <x v="1"/>
    <s v="1355000"/>
    <x v="86"/>
    <x v="0"/>
    <x v="1"/>
    <x v="11"/>
    <x v="14"/>
    <x v="10"/>
    <s v="26-04-2026"/>
  </r>
  <r>
    <s v="Job0393"/>
    <x v="9"/>
    <s v="L&amp;T Infotech"/>
    <x v="5"/>
    <x v="2"/>
    <s v="405000"/>
    <x v="64"/>
    <x v="1"/>
    <x v="0"/>
    <x v="1"/>
    <x v="0"/>
    <x v="8"/>
    <s v="26-06-2026"/>
  </r>
  <r>
    <s v="Job0186"/>
    <x v="9"/>
    <s v="Persistent Systems"/>
    <x v="2"/>
    <x v="3"/>
    <s v="3015000"/>
    <x v="286"/>
    <x v="0"/>
    <x v="1"/>
    <x v="14"/>
    <x v="11"/>
    <x v="10"/>
    <s v="13-01-2026"/>
  </r>
  <r>
    <s v="Job0198"/>
    <x v="8"/>
    <s v="Dunzo"/>
    <x v="5"/>
    <x v="1"/>
    <s v="1125000"/>
    <x v="61"/>
    <x v="1"/>
    <x v="1"/>
    <x v="4"/>
    <x v="10"/>
    <x v="6"/>
    <s v="10-04-2026"/>
  </r>
  <r>
    <s v="Job0295"/>
    <x v="5"/>
    <s v="Publicis Sapient"/>
    <x v="0"/>
    <x v="4"/>
    <s v="965000"/>
    <x v="203"/>
    <x v="0"/>
    <x v="1"/>
    <x v="3"/>
    <x v="11"/>
    <x v="11"/>
    <s v="04-02-2026"/>
  </r>
  <r>
    <s v="Job0280"/>
    <x v="1"/>
    <s v="Cognizant"/>
    <x v="8"/>
    <x v="2"/>
    <s v="555000"/>
    <x v="269"/>
    <x v="0"/>
    <x v="0"/>
    <x v="6"/>
    <x v="3"/>
    <x v="14"/>
    <s v="08-01-2026"/>
  </r>
  <r>
    <s v="Job0380"/>
    <x v="9"/>
    <s v="Genpact"/>
    <x v="1"/>
    <x v="3"/>
    <s v="4310000"/>
    <x v="287"/>
    <x v="1"/>
    <x v="2"/>
    <x v="14"/>
    <x v="3"/>
    <x v="11"/>
    <s v="02-06-2026"/>
  </r>
  <r>
    <s v="Job0227"/>
    <x v="2"/>
    <s v="Razorpay"/>
    <x v="3"/>
    <x v="2"/>
    <s v="665000"/>
    <x v="82"/>
    <x v="1"/>
    <x v="1"/>
    <x v="14"/>
    <x v="3"/>
    <x v="7"/>
    <s v="28-06-2026"/>
  </r>
  <r>
    <s v="Job0036"/>
    <x v="1"/>
    <s v="Thoughtworks"/>
    <x v="1"/>
    <x v="0"/>
    <s v="895000"/>
    <x v="288"/>
    <x v="1"/>
    <x v="1"/>
    <x v="7"/>
    <x v="12"/>
    <x v="11"/>
    <s v="27-02-2026"/>
  </r>
  <r>
    <s v="Job0284"/>
    <x v="2"/>
    <s v="Cred"/>
    <x v="0"/>
    <x v="1"/>
    <s v="1700000"/>
    <x v="196"/>
    <x v="1"/>
    <x v="0"/>
    <x v="6"/>
    <x v="8"/>
    <x v="13"/>
    <s v="15-06-2026"/>
  </r>
  <r>
    <s v="Job0419"/>
    <x v="2"/>
    <s v="American Express India"/>
    <x v="9"/>
    <x v="3"/>
    <s v="4350000"/>
    <x v="289"/>
    <x v="1"/>
    <x v="1"/>
    <x v="0"/>
    <x v="9"/>
    <x v="10"/>
    <s v="06-06-2026"/>
  </r>
  <r>
    <s v="Job0460"/>
    <x v="9"/>
    <s v="Pwc India"/>
    <x v="0"/>
    <x v="2"/>
    <s v="625000"/>
    <x v="290"/>
    <x v="1"/>
    <x v="0"/>
    <x v="10"/>
    <x v="8"/>
    <x v="13"/>
    <s v="14-01-2026"/>
  </r>
  <r>
    <s v="Job0078"/>
    <x v="1"/>
    <s v="Nagarro"/>
    <x v="0"/>
    <x v="0"/>
    <s v="640000"/>
    <x v="74"/>
    <x v="1"/>
    <x v="1"/>
    <x v="13"/>
    <x v="12"/>
    <x v="2"/>
    <s v="10-02-2026"/>
  </r>
  <r>
    <s v="Job0083"/>
    <x v="9"/>
    <s v="Meesho"/>
    <x v="5"/>
    <x v="4"/>
    <s v="1630000"/>
    <x v="198"/>
    <x v="1"/>
    <x v="0"/>
    <x v="7"/>
    <x v="10"/>
    <x v="2"/>
    <s v="20-01-2026"/>
  </r>
  <r>
    <s v="Job0355"/>
    <x v="2"/>
    <s v="Urban Company"/>
    <x v="3"/>
    <x v="3"/>
    <s v="2660000"/>
    <x v="43"/>
    <x v="1"/>
    <x v="1"/>
    <x v="5"/>
    <x v="8"/>
    <x v="5"/>
    <s v="24-05-2026"/>
  </r>
  <r>
    <s v="Job0225"/>
    <x v="9"/>
    <s v="Capgemini"/>
    <x v="9"/>
    <x v="2"/>
    <s v="630000"/>
    <x v="75"/>
    <x v="0"/>
    <x v="2"/>
    <x v="4"/>
    <x v="0"/>
    <x v="9"/>
    <s v="01-01-2026"/>
  </r>
  <r>
    <s v="Job0420"/>
    <x v="1"/>
    <s v="Reliance Jio"/>
    <x v="8"/>
    <x v="2"/>
    <s v="475000"/>
    <x v="291"/>
    <x v="2"/>
    <x v="1"/>
    <x v="13"/>
    <x v="5"/>
    <x v="8"/>
    <s v="09-08-2026"/>
  </r>
  <r>
    <s v="Job0373"/>
    <x v="3"/>
    <s v="Amazon India"/>
    <x v="4"/>
    <x v="3"/>
    <s v="4090000"/>
    <x v="292"/>
    <x v="1"/>
    <x v="2"/>
    <x v="8"/>
    <x v="5"/>
    <x v="5"/>
    <s v="25-01-2026"/>
  </r>
  <r>
    <s v="Job0448"/>
    <x v="8"/>
    <s v="Fractal Analytics"/>
    <x v="9"/>
    <x v="4"/>
    <s v="1730000"/>
    <x v="270"/>
    <x v="1"/>
    <x v="1"/>
    <x v="3"/>
    <x v="3"/>
    <x v="0"/>
    <s v="14-07-2026"/>
  </r>
  <r>
    <s v="Job0408"/>
    <x v="1"/>
    <s v="Tcs"/>
    <x v="3"/>
    <x v="2"/>
    <s v="485000"/>
    <x v="293"/>
    <x v="1"/>
    <x v="1"/>
    <x v="12"/>
    <x v="4"/>
    <x v="14"/>
    <s v="07-07-2026"/>
  </r>
  <r>
    <s v="Job0459"/>
    <x v="7"/>
    <s v="Hdfc Bank"/>
    <x v="5"/>
    <x v="4"/>
    <s v="1190000"/>
    <x v="294"/>
    <x v="1"/>
    <x v="2"/>
    <x v="13"/>
    <x v="12"/>
    <x v="4"/>
    <s v="23-08-2026"/>
  </r>
  <r>
    <s v="Job0392"/>
    <x v="9"/>
    <s v="Pwc India"/>
    <x v="8"/>
    <x v="0"/>
    <s v="800000"/>
    <x v="252"/>
    <x v="1"/>
    <x v="1"/>
    <x v="5"/>
    <x v="2"/>
    <x v="0"/>
    <s v="16-01-2026"/>
  </r>
  <r>
    <s v="Job0248"/>
    <x v="3"/>
    <s v="Byju'S"/>
    <x v="7"/>
    <x v="2"/>
    <s v="420000"/>
    <x v="187"/>
    <x v="1"/>
    <x v="0"/>
    <x v="11"/>
    <x v="3"/>
    <x v="5"/>
    <s v="05-03-2026"/>
  </r>
  <r>
    <s v="Job0399"/>
    <x v="1"/>
    <s v="Deloitte India"/>
    <x v="9"/>
    <x v="0"/>
    <s v="895000"/>
    <x v="288"/>
    <x v="0"/>
    <x v="0"/>
    <x v="10"/>
    <x v="8"/>
    <x v="11"/>
    <s v="23-07-2026"/>
  </r>
  <r>
    <s v="Job0075"/>
    <x v="0"/>
    <s v="Hsbc India"/>
    <x v="7"/>
    <x v="4"/>
    <s v="1650000"/>
    <x v="265"/>
    <x v="0"/>
    <x v="1"/>
    <x v="0"/>
    <x v="12"/>
    <x v="2"/>
    <s v="02-03-2026"/>
  </r>
  <r>
    <s v="Job0302"/>
    <x v="7"/>
    <s v="Pwc India"/>
    <x v="5"/>
    <x v="2"/>
    <s v="675000"/>
    <x v="210"/>
    <x v="1"/>
    <x v="1"/>
    <x v="10"/>
    <x v="0"/>
    <x v="6"/>
    <s v="12-08-2026"/>
  </r>
  <r>
    <s v="Job0461"/>
    <x v="4"/>
    <s v="Dunzo"/>
    <x v="6"/>
    <x v="2"/>
    <s v="740000"/>
    <x v="181"/>
    <x v="0"/>
    <x v="1"/>
    <x v="2"/>
    <x v="8"/>
    <x v="4"/>
    <s v="22-04-2026"/>
  </r>
  <r>
    <s v="Job0126"/>
    <x v="2"/>
    <s v="Wipro"/>
    <x v="6"/>
    <x v="2"/>
    <s v="505000"/>
    <x v="295"/>
    <x v="1"/>
    <x v="1"/>
    <x v="2"/>
    <x v="3"/>
    <x v="12"/>
    <s v="20-05-2026"/>
  </r>
  <r>
    <s v="Job0411"/>
    <x v="8"/>
    <s v="Meesho"/>
    <x v="8"/>
    <x v="0"/>
    <s v="545000"/>
    <x v="273"/>
    <x v="1"/>
    <x v="1"/>
    <x v="0"/>
    <x v="6"/>
    <x v="10"/>
    <s v="16-04-2026"/>
  </r>
  <r>
    <s v="Job0077"/>
    <x v="4"/>
    <s v="Nykaa"/>
    <x v="6"/>
    <x v="4"/>
    <s v="1230000"/>
    <x v="296"/>
    <x v="1"/>
    <x v="1"/>
    <x v="0"/>
    <x v="6"/>
    <x v="4"/>
    <s v="08-06-2026"/>
  </r>
  <r>
    <s v="Job0260"/>
    <x v="7"/>
    <s v="Mindtree"/>
    <x v="7"/>
    <x v="2"/>
    <s v="310000"/>
    <x v="57"/>
    <x v="2"/>
    <x v="0"/>
    <x v="9"/>
    <x v="4"/>
    <x v="4"/>
    <s v="07-07-2026"/>
  </r>
  <r>
    <s v="Job0403"/>
    <x v="5"/>
    <s v="Larsen &amp; Toubro"/>
    <x v="6"/>
    <x v="3"/>
    <s v="2300000"/>
    <x v="297"/>
    <x v="1"/>
    <x v="1"/>
    <x v="10"/>
    <x v="8"/>
    <x v="14"/>
    <s v="01-01-2026"/>
  </r>
  <r>
    <s v="Job0438"/>
    <x v="0"/>
    <s v="Meesho"/>
    <x v="7"/>
    <x v="1"/>
    <s v="1870000"/>
    <x v="298"/>
    <x v="1"/>
    <x v="0"/>
    <x v="3"/>
    <x v="7"/>
    <x v="0"/>
    <s v="07-06-2026"/>
  </r>
  <r>
    <s v="Job0412"/>
    <x v="5"/>
    <s v="Samsung R&amp;D Institute India"/>
    <x v="6"/>
    <x v="0"/>
    <s v="690000"/>
    <x v="36"/>
    <x v="1"/>
    <x v="2"/>
    <x v="12"/>
    <x v="4"/>
    <x v="0"/>
    <s v="12-01-2026"/>
  </r>
  <r>
    <s v="Job0317"/>
    <x v="2"/>
    <s v="Hdfc Bank"/>
    <x v="2"/>
    <x v="0"/>
    <s v="750000"/>
    <x v="12"/>
    <x v="1"/>
    <x v="0"/>
    <x v="11"/>
    <x v="8"/>
    <x v="14"/>
    <s v="09-06-2026"/>
  </r>
  <r>
    <s v="Job0226"/>
    <x v="5"/>
    <s v="Swiggy"/>
    <x v="2"/>
    <x v="2"/>
    <s v="280000"/>
    <x v="256"/>
    <x v="2"/>
    <x v="1"/>
    <x v="0"/>
    <x v="5"/>
    <x v="0"/>
    <s v="10-06-2026"/>
  </r>
  <r>
    <s v="Job0449"/>
    <x v="2"/>
    <s v="Zomato"/>
    <x v="6"/>
    <x v="0"/>
    <s v="615000"/>
    <x v="72"/>
    <x v="1"/>
    <x v="1"/>
    <x v="2"/>
    <x v="7"/>
    <x v="8"/>
    <s v="04-01-2026"/>
  </r>
  <r>
    <s v="Job0181"/>
    <x v="5"/>
    <s v="Accenture India"/>
    <x v="7"/>
    <x v="0"/>
    <s v="985000"/>
    <x v="285"/>
    <x v="1"/>
    <x v="1"/>
    <x v="13"/>
    <x v="5"/>
    <x v="4"/>
    <s v="28-08-2026"/>
  </r>
  <r>
    <s v="Job0045"/>
    <x v="0"/>
    <s v="Hcltech"/>
    <x v="7"/>
    <x v="1"/>
    <s v="1165000"/>
    <x v="299"/>
    <x v="1"/>
    <x v="2"/>
    <x v="8"/>
    <x v="0"/>
    <x v="7"/>
    <s v="13-03-2026"/>
  </r>
  <r>
    <s v="Job0479"/>
    <x v="9"/>
    <s v="Zoho"/>
    <x v="2"/>
    <x v="2"/>
    <s v="475000"/>
    <x v="291"/>
    <x v="1"/>
    <x v="1"/>
    <x v="8"/>
    <x v="14"/>
    <x v="1"/>
    <s v="15-02-2026"/>
  </r>
  <r>
    <s v="Job0124"/>
    <x v="3"/>
    <s v="Urban Company"/>
    <x v="9"/>
    <x v="3"/>
    <s v="3270000"/>
    <x v="300"/>
    <x v="1"/>
    <x v="1"/>
    <x v="9"/>
    <x v="8"/>
    <x v="5"/>
    <s v="21-06-2026"/>
  </r>
  <r>
    <s v="Job0269"/>
    <x v="5"/>
    <s v="Pwc India"/>
    <x v="4"/>
    <x v="3"/>
    <s v="2995000"/>
    <x v="88"/>
    <x v="1"/>
    <x v="1"/>
    <x v="0"/>
    <x v="11"/>
    <x v="14"/>
    <s v="06-05-2026"/>
  </r>
  <r>
    <s v="Job0092"/>
    <x v="3"/>
    <s v="Publicis Sapient"/>
    <x v="8"/>
    <x v="3"/>
    <s v="1725000"/>
    <x v="20"/>
    <x v="0"/>
    <x v="0"/>
    <x v="4"/>
    <x v="12"/>
    <x v="10"/>
    <s v="20-04-2026"/>
  </r>
  <r>
    <s v="Job0375"/>
    <x v="0"/>
    <s v="Urban Company"/>
    <x v="2"/>
    <x v="4"/>
    <s v="1155000"/>
    <x v="62"/>
    <x v="1"/>
    <x v="1"/>
    <x v="3"/>
    <x v="5"/>
    <x v="4"/>
    <s v="07-02-2026"/>
  </r>
  <r>
    <s v="Job0249"/>
    <x v="9"/>
    <s v="Hsbc India"/>
    <x v="5"/>
    <x v="2"/>
    <s v="655000"/>
    <x v="165"/>
    <x v="1"/>
    <x v="0"/>
    <x v="6"/>
    <x v="2"/>
    <x v="13"/>
    <s v="25-01-2026"/>
  </r>
  <r>
    <s v="Job0276"/>
    <x v="3"/>
    <s v="Genpact"/>
    <x v="9"/>
    <x v="0"/>
    <s v="665000"/>
    <x v="82"/>
    <x v="1"/>
    <x v="1"/>
    <x v="2"/>
    <x v="8"/>
    <x v="8"/>
    <s v="10-07-2026"/>
  </r>
  <r>
    <s v="Job0237"/>
    <x v="7"/>
    <s v="Tcs"/>
    <x v="2"/>
    <x v="1"/>
    <s v="2145000"/>
    <x v="237"/>
    <x v="1"/>
    <x v="0"/>
    <x v="13"/>
    <x v="7"/>
    <x v="0"/>
    <s v="17-07-2026"/>
  </r>
  <r>
    <s v="Job0440"/>
    <x v="1"/>
    <s v="Reliance Jio"/>
    <x v="3"/>
    <x v="2"/>
    <s v="500000"/>
    <x v="123"/>
    <x v="1"/>
    <x v="1"/>
    <x v="13"/>
    <x v="5"/>
    <x v="6"/>
    <s v="20-03-2026"/>
  </r>
  <r>
    <s v="Job0020"/>
    <x v="8"/>
    <s v="Zs Associates"/>
    <x v="2"/>
    <x v="2"/>
    <s v="375000"/>
    <x v="301"/>
    <x v="2"/>
    <x v="1"/>
    <x v="13"/>
    <x v="10"/>
    <x v="8"/>
    <s v="11-05-2026"/>
  </r>
  <r>
    <s v="Job0417"/>
    <x v="0"/>
    <s v="Urban Company"/>
    <x v="7"/>
    <x v="2"/>
    <s v="370000"/>
    <x v="302"/>
    <x v="2"/>
    <x v="0"/>
    <x v="8"/>
    <x v="5"/>
    <x v="1"/>
    <s v="10-07-2026"/>
  </r>
  <r>
    <s v="Job0241"/>
    <x v="5"/>
    <s v="Google India"/>
    <x v="4"/>
    <x v="2"/>
    <s v="605000"/>
    <x v="154"/>
    <x v="1"/>
    <x v="1"/>
    <x v="9"/>
    <x v="11"/>
    <x v="13"/>
    <s v="13-08-2026"/>
  </r>
  <r>
    <s v="Job0211"/>
    <x v="7"/>
    <s v="Flipkart"/>
    <x v="3"/>
    <x v="1"/>
    <s v="1035000"/>
    <x v="52"/>
    <x v="1"/>
    <x v="2"/>
    <x v="0"/>
    <x v="13"/>
    <x v="7"/>
    <s v="12-07-2026"/>
  </r>
  <r>
    <s v="Job0188"/>
    <x v="4"/>
    <s v="Urban Company"/>
    <x v="5"/>
    <x v="1"/>
    <s v="1015000"/>
    <x v="160"/>
    <x v="1"/>
    <x v="1"/>
    <x v="10"/>
    <x v="10"/>
    <x v="14"/>
    <s v="22-06-2026"/>
  </r>
  <r>
    <s v="Job0008"/>
    <x v="3"/>
    <s v="Mindtree"/>
    <x v="4"/>
    <x v="0"/>
    <s v="650000"/>
    <x v="42"/>
    <x v="1"/>
    <x v="1"/>
    <x v="2"/>
    <x v="8"/>
    <x v="1"/>
    <s v="11-05-2026"/>
  </r>
  <r>
    <s v="Job0099"/>
    <x v="6"/>
    <s v="Policybazaar"/>
    <x v="0"/>
    <x v="0"/>
    <s v="985000"/>
    <x v="285"/>
    <x v="0"/>
    <x v="0"/>
    <x v="12"/>
    <x v="2"/>
    <x v="9"/>
    <s v="23-05-2026"/>
  </r>
  <r>
    <s v="Job0132"/>
    <x v="5"/>
    <s v="Samsung R&amp;D Institute India"/>
    <x v="5"/>
    <x v="0"/>
    <s v="1070000"/>
    <x v="303"/>
    <x v="1"/>
    <x v="1"/>
    <x v="8"/>
    <x v="12"/>
    <x v="6"/>
    <s v="03-04-2026"/>
  </r>
  <r>
    <s v="Job0270"/>
    <x v="2"/>
    <s v="Pwc India"/>
    <x v="5"/>
    <x v="1"/>
    <s v="1220000"/>
    <x v="168"/>
    <x v="0"/>
    <x v="1"/>
    <x v="12"/>
    <x v="8"/>
    <x v="5"/>
    <s v="25-05-2026"/>
  </r>
  <r>
    <s v="Job0439"/>
    <x v="0"/>
    <s v="Nagarro"/>
    <x v="5"/>
    <x v="1"/>
    <s v="1590000"/>
    <x v="304"/>
    <x v="1"/>
    <x v="1"/>
    <x v="0"/>
    <x v="5"/>
    <x v="4"/>
    <s v="08-07-2026"/>
  </r>
  <r>
    <s v="Job0012"/>
    <x v="9"/>
    <s v="Zs Associates"/>
    <x v="9"/>
    <x v="2"/>
    <s v="770000"/>
    <x v="174"/>
    <x v="0"/>
    <x v="0"/>
    <x v="14"/>
    <x v="9"/>
    <x v="10"/>
    <s v="05-05-2026"/>
  </r>
  <r>
    <s v="Job0422"/>
    <x v="7"/>
    <s v="Hcltech"/>
    <x v="6"/>
    <x v="1"/>
    <s v="2155000"/>
    <x v="305"/>
    <x v="1"/>
    <x v="0"/>
    <x v="7"/>
    <x v="12"/>
    <x v="4"/>
    <s v="08-02-2026"/>
  </r>
  <r>
    <s v="Job0291"/>
    <x v="5"/>
    <s v="Capgemini"/>
    <x v="2"/>
    <x v="0"/>
    <s v="1095000"/>
    <x v="3"/>
    <x v="1"/>
    <x v="0"/>
    <x v="11"/>
    <x v="3"/>
    <x v="3"/>
    <s v="09-08-2026"/>
  </r>
  <r>
    <s v="Job0339"/>
    <x v="3"/>
    <s v="Axis Bank"/>
    <x v="1"/>
    <x v="4"/>
    <s v="1575000"/>
    <x v="306"/>
    <x v="1"/>
    <x v="2"/>
    <x v="11"/>
    <x v="14"/>
    <x v="3"/>
    <s v="09-03-2026"/>
  </r>
  <r>
    <s v="Job0157"/>
    <x v="3"/>
    <s v="Google India"/>
    <x v="1"/>
    <x v="2"/>
    <s v="415000"/>
    <x v="31"/>
    <x v="2"/>
    <x v="1"/>
    <x v="14"/>
    <x v="0"/>
    <x v="3"/>
    <s v="16-03-2026"/>
  </r>
  <r>
    <s v="Job0441"/>
    <x v="2"/>
    <s v="Publicis Sapient"/>
    <x v="5"/>
    <x v="4"/>
    <s v="1565000"/>
    <x v="307"/>
    <x v="1"/>
    <x v="1"/>
    <x v="2"/>
    <x v="8"/>
    <x v="0"/>
    <s v="02-08-2026"/>
  </r>
  <r>
    <s v="Job0016"/>
    <x v="5"/>
    <s v="Myntra"/>
    <x v="7"/>
    <x v="2"/>
    <s v="645000"/>
    <x v="197"/>
    <x v="1"/>
    <x v="1"/>
    <x v="10"/>
    <x v="2"/>
    <x v="9"/>
    <s v="15-06-2026"/>
  </r>
  <r>
    <s v="Job0128"/>
    <x v="4"/>
    <s v="Google India"/>
    <x v="4"/>
    <x v="3"/>
    <s v="2755000"/>
    <x v="308"/>
    <x v="0"/>
    <x v="1"/>
    <x v="9"/>
    <x v="11"/>
    <x v="10"/>
    <s v="11-03-2026"/>
  </r>
  <r>
    <s v="Job0310"/>
    <x v="1"/>
    <s v="Ey India"/>
    <x v="1"/>
    <x v="1"/>
    <s v="1960000"/>
    <x v="309"/>
    <x v="1"/>
    <x v="0"/>
    <x v="3"/>
    <x v="4"/>
    <x v="2"/>
    <s v="14-04-2026"/>
  </r>
  <r>
    <s v="Job0100"/>
    <x v="4"/>
    <s v="Unacademy"/>
    <x v="9"/>
    <x v="0"/>
    <s v="665000"/>
    <x v="82"/>
    <x v="1"/>
    <x v="0"/>
    <x v="4"/>
    <x v="11"/>
    <x v="6"/>
    <s v="09-07-2026"/>
  </r>
  <r>
    <s v="Job0347"/>
    <x v="9"/>
    <s v="Fractal Analytics"/>
    <x v="1"/>
    <x v="1"/>
    <s v="1575000"/>
    <x v="306"/>
    <x v="1"/>
    <x v="1"/>
    <x v="2"/>
    <x v="10"/>
    <x v="10"/>
    <s v="12-05-2026"/>
  </r>
  <r>
    <s v="Job0391"/>
    <x v="5"/>
    <s v="Adobe India"/>
    <x v="9"/>
    <x v="0"/>
    <s v="975000"/>
    <x v="213"/>
    <x v="1"/>
    <x v="1"/>
    <x v="5"/>
    <x v="12"/>
    <x v="1"/>
    <s v="09-02-2026"/>
  </r>
  <r>
    <s v="Job0170"/>
    <x v="4"/>
    <s v="Icici Bank"/>
    <x v="2"/>
    <x v="3"/>
    <s v="2805000"/>
    <x v="310"/>
    <x v="1"/>
    <x v="1"/>
    <x v="8"/>
    <x v="5"/>
    <x v="0"/>
    <s v="10-07-2026"/>
  </r>
  <r>
    <s v="Job0152"/>
    <x v="3"/>
    <s v="Amazon India"/>
    <x v="1"/>
    <x v="2"/>
    <s v="515000"/>
    <x v="13"/>
    <x v="1"/>
    <x v="0"/>
    <x v="2"/>
    <x v="3"/>
    <x v="9"/>
    <s v="02-05-2026"/>
  </r>
  <r>
    <s v="Job0462"/>
    <x v="8"/>
    <s v="Paytm"/>
    <x v="2"/>
    <x v="1"/>
    <s v="1165000"/>
    <x v="299"/>
    <x v="1"/>
    <x v="0"/>
    <x v="14"/>
    <x v="8"/>
    <x v="8"/>
    <s v="19-01-20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Job0258"/>
    <s v="Product Data Analyst"/>
    <s v="Mindtree"/>
    <s v="Kolkata"/>
    <s v="1-3 Years"/>
    <n v="1000000"/>
    <n v="10"/>
    <s v="Contract"/>
    <s v="On-Site"/>
    <d v="2026-06-04T00:00:00"/>
    <x v="0"/>
  </r>
  <r>
    <s v="Job0258"/>
    <s v="Product Data Analyst"/>
    <s v="Mindtree"/>
    <s v="Kolkata"/>
    <s v="1-3 Years"/>
    <n v="1000000"/>
    <n v="10"/>
    <s v="Contract"/>
    <s v="On-Site"/>
    <d v="2026-06-04T00:00:00"/>
    <x v="1"/>
  </r>
  <r>
    <s v="Job0258"/>
    <s v="Product Data Analyst"/>
    <s v="Mindtree"/>
    <s v="Kolkata"/>
    <s v="1-3 Years"/>
    <n v="1000000"/>
    <n v="10"/>
    <s v="Contract"/>
    <s v="On-Site"/>
    <d v="2026-06-04T00:00:00"/>
    <x v="2"/>
  </r>
  <r>
    <s v="Job0182"/>
    <s v="Data Engineer"/>
    <s v="Tredence"/>
    <s v="Gurugram"/>
    <s v="1-3 Years"/>
    <n v="915000"/>
    <n v="9.15"/>
    <s v="Full Time"/>
    <s v="Hybrid"/>
    <d v="2026-06-16T00:00:00"/>
    <x v="3"/>
  </r>
  <r>
    <s v="Job0182"/>
    <s v="Data Engineer"/>
    <s v="Tredence"/>
    <s v="Gurugram"/>
    <s v="1-3 Years"/>
    <n v="915000"/>
    <n v="9.15"/>
    <s v="Full Time"/>
    <s v="Hybrid"/>
    <d v="2026-06-16T00:00:00"/>
    <x v="4"/>
  </r>
  <r>
    <s v="Job0182"/>
    <s v="Data Engineer"/>
    <s v="Tredence"/>
    <s v="Gurugram"/>
    <s v="1-3 Years"/>
    <n v="915000"/>
    <n v="9.15"/>
    <s v="Full Time"/>
    <s v="Hybrid"/>
    <d v="2026-06-16T00:00:00"/>
    <x v="5"/>
  </r>
  <r>
    <s v="Job0065"/>
    <s v="Ml Engineer"/>
    <s v="Accenture India"/>
    <s v="Bangalore"/>
    <s v="3-5 Years"/>
    <n v="1625000"/>
    <n v="16.25"/>
    <s v="Full Time"/>
    <s v="Hybrid"/>
    <d v="2026-01-24T00:00:00"/>
    <x v="6"/>
  </r>
  <r>
    <s v="Job0065"/>
    <s v="Ml Engineer"/>
    <s v="Accenture India"/>
    <s v="Bangalore"/>
    <s v="3-5 Years"/>
    <n v="1625000"/>
    <n v="16.25"/>
    <s v="Full Time"/>
    <s v="Hybrid"/>
    <d v="2026-01-24T00:00:00"/>
    <x v="7"/>
  </r>
  <r>
    <s v="Job0065"/>
    <s v="Ml Engineer"/>
    <s v="Accenture India"/>
    <s v="Bangalore"/>
    <s v="3-5 Years"/>
    <n v="1625000"/>
    <n v="16.25"/>
    <s v="Full Time"/>
    <s v="Hybrid"/>
    <d v="2026-01-24T00:00:00"/>
    <x v="1"/>
  </r>
  <r>
    <s v="Job0434"/>
    <s v="Machine Learning Scientist"/>
    <s v="Icici Bank"/>
    <s v="Noida"/>
    <s v="3-5 Years"/>
    <n v="1095000"/>
    <n v="10.95"/>
    <s v="Full Time"/>
    <s v="Hybrid"/>
    <d v="2026-02-07T00:00:00"/>
    <x v="8"/>
  </r>
  <r>
    <s v="Job0434"/>
    <s v="Machine Learning Scientist"/>
    <s v="Icici Bank"/>
    <s v="Noida"/>
    <s v="3-5 Years"/>
    <n v="1095000"/>
    <n v="10.95"/>
    <s v="Full Time"/>
    <s v="Hybrid"/>
    <d v="2026-02-07T00:00:00"/>
    <x v="9"/>
  </r>
  <r>
    <s v="Job0434"/>
    <s v="Machine Learning Scientist"/>
    <s v="Icici Bank"/>
    <s v="Noida"/>
    <s v="3-5 Years"/>
    <n v="1095000"/>
    <n v="10.95"/>
    <s v="Full Time"/>
    <s v="Hybrid"/>
    <d v="2026-02-07T00:00:00"/>
    <x v="3"/>
  </r>
  <r>
    <s v="Job0032"/>
    <s v="Data Analyst"/>
    <s v="Fractal Analytics"/>
    <s v="Chennai"/>
    <s v="0-2 Years"/>
    <n v="210000"/>
    <n v="2.1"/>
    <s v="Internship"/>
    <s v="Hybrid"/>
    <d v="2026-08-19T00:00:00"/>
    <x v="6"/>
  </r>
  <r>
    <s v="Job0032"/>
    <s v="Data Analyst"/>
    <s v="Fractal Analytics"/>
    <s v="Chennai"/>
    <s v="0-2 Years"/>
    <n v="210000"/>
    <n v="2.1"/>
    <s v="Internship"/>
    <s v="Hybrid"/>
    <d v="2026-08-19T00:00:00"/>
    <x v="0"/>
  </r>
  <r>
    <s v="Job0032"/>
    <s v="Data Analyst"/>
    <s v="Fractal Analytics"/>
    <s v="Chennai"/>
    <s v="0-2 Years"/>
    <n v="210000"/>
    <n v="2.1"/>
    <s v="Internship"/>
    <s v="Hybrid"/>
    <d v="2026-08-19T00:00:00"/>
    <x v="10"/>
  </r>
  <r>
    <s v="Job0305"/>
    <s v="Bi Analyst"/>
    <s v="Wns Global Services"/>
    <s v="Noida"/>
    <s v="1-3 Years"/>
    <n v="570000"/>
    <n v="5.7"/>
    <s v="Full Time"/>
    <s v="Remote"/>
    <d v="2026-08-22T00:00:00"/>
    <x v="9"/>
  </r>
  <r>
    <s v="Job0305"/>
    <s v="Bi Analyst"/>
    <s v="Wns Global Services"/>
    <s v="Noida"/>
    <s v="1-3 Years"/>
    <n v="570000"/>
    <n v="5.7"/>
    <s v="Full Time"/>
    <s v="Remote"/>
    <d v="2026-08-22T00:00:00"/>
    <x v="0"/>
  </r>
  <r>
    <s v="Job0305"/>
    <s v="Bi Analyst"/>
    <s v="Wns Global Services"/>
    <s v="Noida"/>
    <s v="1-3 Years"/>
    <n v="570000"/>
    <n v="5.7"/>
    <s v="Full Time"/>
    <s v="Remote"/>
    <d v="2026-08-22T00:00:00"/>
    <x v="6"/>
  </r>
  <r>
    <s v="Job0212"/>
    <s v="Data Scientist"/>
    <s v="Mu Sigma"/>
    <s v="Ahmedabad"/>
    <s v="1-3 Years"/>
    <n v="720000"/>
    <n v="7.2"/>
    <s v="Full Time"/>
    <s v="Remote"/>
    <d v="2026-06-06T00:00:00"/>
    <x v="4"/>
  </r>
  <r>
    <s v="Job0212"/>
    <s v="Data Scientist"/>
    <s v="Mu Sigma"/>
    <s v="Ahmedabad"/>
    <s v="1-3 Years"/>
    <n v="720000"/>
    <n v="7.2"/>
    <s v="Full Time"/>
    <s v="Remote"/>
    <d v="2026-06-06T00:00:00"/>
    <x v="0"/>
  </r>
  <r>
    <s v="Job0212"/>
    <s v="Data Scientist"/>
    <s v="Mu Sigma"/>
    <s v="Ahmedabad"/>
    <s v="1-3 Years"/>
    <n v="720000"/>
    <n v="7.2"/>
    <s v="Full Time"/>
    <s v="Remote"/>
    <d v="2026-06-06T00:00:00"/>
    <x v="1"/>
  </r>
  <r>
    <s v="Job0062"/>
    <s v="Data Engineer"/>
    <s v="Byju'S"/>
    <s v="Kolkata"/>
    <s v="1-3 Years"/>
    <n v="755000"/>
    <n v="7.55"/>
    <s v="Full Time"/>
    <s v="Hybrid"/>
    <d v="2026-01-16T00:00:00"/>
    <x v="11"/>
  </r>
  <r>
    <s v="Job0062"/>
    <s v="Data Engineer"/>
    <s v="Byju'S"/>
    <s v="Kolkata"/>
    <s v="1-3 Years"/>
    <n v="755000"/>
    <n v="7.55"/>
    <s v="Full Time"/>
    <s v="Hybrid"/>
    <d v="2026-01-16T00:00:00"/>
    <x v="9"/>
  </r>
  <r>
    <s v="Job0062"/>
    <s v="Data Engineer"/>
    <s v="Byju'S"/>
    <s v="Kolkata"/>
    <s v="1-3 Years"/>
    <n v="755000"/>
    <n v="7.55"/>
    <s v="Full Time"/>
    <s v="Hybrid"/>
    <d v="2026-01-16T00:00:00"/>
    <x v="0"/>
  </r>
  <r>
    <s v="Job0073"/>
    <s v="Bi Analyst"/>
    <s v="Accenture India"/>
    <s v="Delhi"/>
    <s v="3-5 Years"/>
    <n v="1845000"/>
    <n v="18.45"/>
    <s v="Contract"/>
    <s v="Hybrid"/>
    <d v="2026-05-09T00:00:00"/>
    <x v="7"/>
  </r>
  <r>
    <s v="Job0073"/>
    <s v="Bi Analyst"/>
    <s v="Accenture India"/>
    <s v="Delhi"/>
    <s v="3-5 Years"/>
    <n v="1845000"/>
    <n v="18.45"/>
    <s v="Contract"/>
    <s v="Hybrid"/>
    <d v="2026-05-09T00:00:00"/>
    <x v="12"/>
  </r>
  <r>
    <s v="Job0073"/>
    <s v="Bi Analyst"/>
    <s v="Accenture India"/>
    <s v="Delhi"/>
    <s v="3-5 Years"/>
    <n v="1845000"/>
    <n v="18.45"/>
    <s v="Contract"/>
    <s v="Hybrid"/>
    <d v="2026-05-09T00:00:00"/>
    <x v="10"/>
  </r>
  <r>
    <s v="Job0369"/>
    <s v="Business Analyst"/>
    <s v="Icici Bank"/>
    <s v="Mumbai"/>
    <s v="5+ Years"/>
    <n v="2935000"/>
    <n v="29.35"/>
    <s v="Full Time"/>
    <s v="Remote"/>
    <d v="2026-02-17T00:00:00"/>
    <x v="10"/>
  </r>
  <r>
    <s v="Job0369"/>
    <s v="Business Analyst"/>
    <s v="Icici Bank"/>
    <s v="Mumbai"/>
    <s v="5+ Years"/>
    <n v="2935000"/>
    <n v="29.35"/>
    <s v="Full Time"/>
    <s v="Remote"/>
    <d v="2026-02-17T00:00:00"/>
    <x v="5"/>
  </r>
  <r>
    <s v="Job0369"/>
    <s v="Business Analyst"/>
    <s v="Icici Bank"/>
    <s v="Mumbai"/>
    <s v="5+ Years"/>
    <n v="2935000"/>
    <n v="29.35"/>
    <s v="Full Time"/>
    <s v="Remote"/>
    <d v="2026-02-17T00:00:00"/>
    <x v="12"/>
  </r>
  <r>
    <s v="Job0210"/>
    <s v="Data Scientist"/>
    <s v="Persistent Systems"/>
    <s v="Hyderabad"/>
    <s v="5+ Years"/>
    <n v="2105000"/>
    <n v="21.05"/>
    <s v="Full Time"/>
    <s v="Hybrid"/>
    <d v="2026-06-11T00:00:00"/>
    <x v="12"/>
  </r>
  <r>
    <s v="Job0210"/>
    <s v="Data Scientist"/>
    <s v="Persistent Systems"/>
    <s v="Hyderabad"/>
    <s v="5+ Years"/>
    <n v="2105000"/>
    <n v="21.05"/>
    <s v="Full Time"/>
    <s v="Hybrid"/>
    <d v="2026-06-11T00:00:00"/>
    <x v="4"/>
  </r>
  <r>
    <s v="Job0210"/>
    <s v="Data Scientist"/>
    <s v="Persistent Systems"/>
    <s v="Hyderabad"/>
    <s v="5+ Years"/>
    <n v="2105000"/>
    <n v="21.05"/>
    <s v="Full Time"/>
    <s v="Hybrid"/>
    <d v="2026-06-11T00:00:00"/>
    <x v="6"/>
  </r>
  <r>
    <s v="Job0074"/>
    <s v="Product Data Analyst"/>
    <s v="Sap Labs India"/>
    <s v="Mumbai"/>
    <s v="3-5 Years"/>
    <n v="1120000"/>
    <n v="11.2"/>
    <s v="Contract"/>
    <s v="Remote"/>
    <d v="2026-03-28T00:00:00"/>
    <x v="2"/>
  </r>
  <r>
    <s v="Job0074"/>
    <s v="Product Data Analyst"/>
    <s v="Sap Labs India"/>
    <s v="Mumbai"/>
    <s v="3-5 Years"/>
    <n v="1120000"/>
    <n v="11.2"/>
    <s v="Contract"/>
    <s v="Remote"/>
    <d v="2026-03-28T00:00:00"/>
    <x v="12"/>
  </r>
  <r>
    <s v="Job0074"/>
    <s v="Product Data Analyst"/>
    <s v="Sap Labs India"/>
    <s v="Mumbai"/>
    <s v="3-5 Years"/>
    <n v="1120000"/>
    <n v="11.2"/>
    <s v="Contract"/>
    <s v="Remote"/>
    <d v="2026-03-28T00:00:00"/>
    <x v="9"/>
  </r>
  <r>
    <s v="Job0038"/>
    <s v="Bi Analyst"/>
    <s v="Freshworks"/>
    <s v="Bangalore"/>
    <s v="0-2 Years"/>
    <n v="750000"/>
    <n v="7.5"/>
    <s v="Contract"/>
    <s v="On-Site"/>
    <d v="2026-03-05T00:00:00"/>
    <x v="4"/>
  </r>
  <r>
    <s v="Job0038"/>
    <s v="Bi Analyst"/>
    <s v="Freshworks"/>
    <s v="Bangalore"/>
    <s v="0-2 Years"/>
    <n v="750000"/>
    <n v="7.5"/>
    <s v="Contract"/>
    <s v="On-Site"/>
    <d v="2026-03-05T00:00:00"/>
    <x v="12"/>
  </r>
  <r>
    <s v="Job0038"/>
    <s v="Bi Analyst"/>
    <s v="Freshworks"/>
    <s v="Bangalore"/>
    <s v="0-2 Years"/>
    <n v="750000"/>
    <n v="7.5"/>
    <s v="Contract"/>
    <s v="On-Site"/>
    <d v="2026-03-05T00:00:00"/>
    <x v="5"/>
  </r>
  <r>
    <s v="Job0115"/>
    <s v="Bi Analyst"/>
    <s v="Thoughtworks"/>
    <s v="Delhi"/>
    <s v="0-2 Years"/>
    <n v="515000"/>
    <n v="5.15"/>
    <s v="Full Time"/>
    <s v="Hybrid"/>
    <d v="2026-02-05T00:00:00"/>
    <x v="1"/>
  </r>
  <r>
    <s v="Job0115"/>
    <s v="Bi Analyst"/>
    <s v="Thoughtworks"/>
    <s v="Delhi"/>
    <s v="0-2 Years"/>
    <n v="515000"/>
    <n v="5.15"/>
    <s v="Full Time"/>
    <s v="Hybrid"/>
    <d v="2026-02-05T00:00:00"/>
    <x v="12"/>
  </r>
  <r>
    <s v="Job0115"/>
    <s v="Bi Analyst"/>
    <s v="Thoughtworks"/>
    <s v="Delhi"/>
    <s v="0-2 Years"/>
    <n v="515000"/>
    <n v="5.15"/>
    <s v="Full Time"/>
    <s v="Hybrid"/>
    <d v="2026-02-05T00:00:00"/>
    <x v="11"/>
  </r>
  <r>
    <s v="Job0201"/>
    <s v="Product Data Analyst"/>
    <s v="Goldman Sachs India"/>
    <s v="Delhi"/>
    <s v="3-5 Years"/>
    <n v="1400000"/>
    <n v="14"/>
    <s v="Contract"/>
    <s v="On-Site"/>
    <d v="2026-06-04T00:00:00"/>
    <x v="9"/>
  </r>
  <r>
    <s v="Job0201"/>
    <s v="Product Data Analyst"/>
    <s v="Goldman Sachs India"/>
    <s v="Delhi"/>
    <s v="3-5 Years"/>
    <n v="1400000"/>
    <n v="14"/>
    <s v="Contract"/>
    <s v="On-Site"/>
    <d v="2026-06-04T00:00:00"/>
    <x v="10"/>
  </r>
  <r>
    <s v="Job0201"/>
    <s v="Product Data Analyst"/>
    <s v="Goldman Sachs India"/>
    <s v="Delhi"/>
    <s v="3-5 Years"/>
    <n v="1400000"/>
    <n v="14"/>
    <s v="Contract"/>
    <s v="On-Site"/>
    <d v="2026-06-04T00:00:00"/>
    <x v="3"/>
  </r>
  <r>
    <s v="Job0477"/>
    <s v="Data Analyst"/>
    <s v="Pwc India"/>
    <s v="Pune"/>
    <s v="5+ Years"/>
    <n v="3505000"/>
    <n v="35.049999999999997"/>
    <s v="Contract"/>
    <s v="On-Site"/>
    <d v="2026-04-07T00:00:00"/>
    <x v="11"/>
  </r>
  <r>
    <s v="Job0477"/>
    <s v="Data Analyst"/>
    <s v="Pwc India"/>
    <s v="Pune"/>
    <s v="5+ Years"/>
    <n v="3505000"/>
    <n v="35.049999999999997"/>
    <s v="Contract"/>
    <s v="On-Site"/>
    <d v="2026-04-07T00:00:00"/>
    <x v="5"/>
  </r>
  <r>
    <s v="Job0477"/>
    <s v="Data Analyst"/>
    <s v="Pwc India"/>
    <s v="Pune"/>
    <s v="5+ Years"/>
    <n v="3505000"/>
    <n v="35.049999999999997"/>
    <s v="Contract"/>
    <s v="On-Site"/>
    <d v="2026-04-07T00:00:00"/>
    <x v="0"/>
  </r>
  <r>
    <s v="Job0352"/>
    <s v="Data Analyst"/>
    <s v="Larsen &amp; Toubro"/>
    <s v="Ahmedabad"/>
    <s v="3-5 Years"/>
    <n v="1445000"/>
    <n v="14.45"/>
    <s v="Full Time"/>
    <s v="Hybrid"/>
    <d v="2026-07-25T00:00:00"/>
    <x v="4"/>
  </r>
  <r>
    <s v="Job0352"/>
    <s v="Data Analyst"/>
    <s v="Larsen &amp; Toubro"/>
    <s v="Ahmedabad"/>
    <s v="3-5 Years"/>
    <n v="1445000"/>
    <n v="14.45"/>
    <s v="Full Time"/>
    <s v="Hybrid"/>
    <d v="2026-07-25T00:00:00"/>
    <x v="12"/>
  </r>
  <r>
    <s v="Job0352"/>
    <s v="Data Analyst"/>
    <s v="Larsen &amp; Toubro"/>
    <s v="Ahmedabad"/>
    <s v="3-5 Years"/>
    <n v="1445000"/>
    <n v="14.45"/>
    <s v="Full Time"/>
    <s v="Hybrid"/>
    <d v="2026-07-25T00:00:00"/>
    <x v="5"/>
  </r>
  <r>
    <s v="Job0323"/>
    <s v="Ml Engineer"/>
    <s v="Hdfc Bank"/>
    <s v="Bangalore"/>
    <s v="0-2 Years"/>
    <n v="435000"/>
    <n v="4.3499999999999996"/>
    <s v="Full Time"/>
    <s v="Hybrid"/>
    <d v="2026-05-30T00:00:00"/>
    <x v="13"/>
  </r>
  <r>
    <s v="Job0323"/>
    <s v="Ml Engineer"/>
    <s v="Hdfc Bank"/>
    <s v="Bangalore"/>
    <s v="0-2 Years"/>
    <n v="435000"/>
    <n v="4.3499999999999996"/>
    <s v="Full Time"/>
    <s v="Hybrid"/>
    <d v="2026-05-30T00:00:00"/>
    <x v="3"/>
  </r>
  <r>
    <s v="Job0323"/>
    <s v="Ml Engineer"/>
    <s v="Hdfc Bank"/>
    <s v="Bangalore"/>
    <s v="0-2 Years"/>
    <n v="435000"/>
    <n v="4.3499999999999996"/>
    <s v="Full Time"/>
    <s v="Hybrid"/>
    <d v="2026-05-30T00:00:00"/>
    <x v="10"/>
  </r>
  <r>
    <s v="Job0171"/>
    <s v="Data Engineer"/>
    <s v="Deloitte India"/>
    <s v="Pune"/>
    <s v="3-5 Years"/>
    <n v="1415000"/>
    <n v="14.15"/>
    <s v="Full Time"/>
    <s v="On-Site"/>
    <d v="2026-03-15T00:00:00"/>
    <x v="0"/>
  </r>
  <r>
    <s v="Job0171"/>
    <s v="Data Engineer"/>
    <s v="Deloitte India"/>
    <s v="Pune"/>
    <s v="3-5 Years"/>
    <n v="1415000"/>
    <n v="14.15"/>
    <s v="Full Time"/>
    <s v="On-Site"/>
    <d v="2026-03-15T00:00:00"/>
    <x v="1"/>
  </r>
  <r>
    <s v="Job0171"/>
    <s v="Data Engineer"/>
    <s v="Deloitte India"/>
    <s v="Pune"/>
    <s v="3-5 Years"/>
    <n v="1415000"/>
    <n v="14.15"/>
    <s v="Full Time"/>
    <s v="On-Site"/>
    <d v="2026-03-15T00:00:00"/>
    <x v="2"/>
  </r>
  <r>
    <s v="Job0216"/>
    <s v="Bi Analyst"/>
    <s v="Dunzo"/>
    <s v="Ahmedabad"/>
    <s v="3-5 Years"/>
    <n v="1490000"/>
    <n v="14.9"/>
    <s v="Full Time"/>
    <s v="On-Site"/>
    <d v="2026-03-16T00:00:00"/>
    <x v="12"/>
  </r>
  <r>
    <s v="Job0216"/>
    <s v="Bi Analyst"/>
    <s v="Dunzo"/>
    <s v="Ahmedabad"/>
    <s v="3-5 Years"/>
    <n v="1490000"/>
    <n v="14.9"/>
    <s v="Full Time"/>
    <s v="On-Site"/>
    <d v="2026-03-16T00:00:00"/>
    <x v="9"/>
  </r>
  <r>
    <s v="Job0216"/>
    <s v="Bi Analyst"/>
    <s v="Dunzo"/>
    <s v="Ahmedabad"/>
    <s v="3-5 Years"/>
    <n v="1490000"/>
    <n v="14.9"/>
    <s v="Full Time"/>
    <s v="On-Site"/>
    <d v="2026-03-16T00:00:00"/>
    <x v="10"/>
  </r>
  <r>
    <s v="Job0090"/>
    <s v="Business Analyst"/>
    <s v="Infosys"/>
    <s v="Chennai"/>
    <s v="1-3 Years"/>
    <n v="1095000"/>
    <n v="10.95"/>
    <s v="Full Time"/>
    <s v="On-Site"/>
    <d v="2026-05-31T00:00:00"/>
    <x v="2"/>
  </r>
  <r>
    <s v="Job0090"/>
    <s v="Business Analyst"/>
    <s v="Infosys"/>
    <s v="Chennai"/>
    <s v="1-3 Years"/>
    <n v="1095000"/>
    <n v="10.95"/>
    <s v="Full Time"/>
    <s v="On-Site"/>
    <d v="2026-05-31T00:00:00"/>
    <x v="12"/>
  </r>
  <r>
    <s v="Job0090"/>
    <s v="Business Analyst"/>
    <s v="Infosys"/>
    <s v="Chennai"/>
    <s v="1-3 Years"/>
    <n v="1095000"/>
    <n v="10.95"/>
    <s v="Full Time"/>
    <s v="On-Site"/>
    <d v="2026-05-31T00:00:00"/>
    <x v="0"/>
  </r>
  <r>
    <s v="Job0158"/>
    <s v="Data Analyst"/>
    <s v="Makemytrip"/>
    <s v="Mumbai"/>
    <s v="2-5 Years"/>
    <n v="1725000"/>
    <n v="17.25"/>
    <s v="Full Time"/>
    <s v="On-Site"/>
    <d v="2026-06-07T00:00:00"/>
    <x v="5"/>
  </r>
  <r>
    <s v="Job0158"/>
    <s v="Data Analyst"/>
    <s v="Makemytrip"/>
    <s v="Mumbai"/>
    <s v="2-5 Years"/>
    <n v="1725000"/>
    <n v="17.25"/>
    <s v="Full Time"/>
    <s v="On-Site"/>
    <d v="2026-06-07T00:00:00"/>
    <x v="0"/>
  </r>
  <r>
    <s v="Job0158"/>
    <s v="Data Analyst"/>
    <s v="Makemytrip"/>
    <s v="Mumbai"/>
    <s v="2-5 Years"/>
    <n v="1725000"/>
    <n v="17.25"/>
    <s v="Full Time"/>
    <s v="On-Site"/>
    <d v="2026-06-07T00:00:00"/>
    <x v="2"/>
  </r>
  <r>
    <s v="Job0366"/>
    <s v="Data Engineer"/>
    <s v="Ola"/>
    <s v="Hyderabad"/>
    <s v="2-5 Years"/>
    <n v="1005000"/>
    <n v="10.050000000000001"/>
    <s v="Full Time"/>
    <s v="Hybrid"/>
    <d v="2026-06-07T00:00:00"/>
    <x v="0"/>
  </r>
  <r>
    <s v="Job0366"/>
    <s v="Data Engineer"/>
    <s v="Ola"/>
    <s v="Hyderabad"/>
    <s v="2-5 Years"/>
    <n v="1005000"/>
    <n v="10.050000000000001"/>
    <s v="Full Time"/>
    <s v="Hybrid"/>
    <d v="2026-06-07T00:00:00"/>
    <x v="4"/>
  </r>
  <r>
    <s v="Job0366"/>
    <s v="Data Engineer"/>
    <s v="Ola"/>
    <s v="Hyderabad"/>
    <s v="2-5 Years"/>
    <n v="1005000"/>
    <n v="10.050000000000001"/>
    <s v="Full Time"/>
    <s v="Hybrid"/>
    <d v="2026-06-07T00:00:00"/>
    <x v="7"/>
  </r>
  <r>
    <s v="Job0191"/>
    <s v="Bi Analyst"/>
    <s v="Goldman Sachs India"/>
    <s v="Ahmedabad"/>
    <s v="3-5 Years"/>
    <n v="1065000"/>
    <n v="10.65"/>
    <s v="Full Time"/>
    <s v="Remote"/>
    <d v="2026-08-24T00:00:00"/>
    <x v="8"/>
  </r>
  <r>
    <s v="Job0191"/>
    <s v="Bi Analyst"/>
    <s v="Goldman Sachs India"/>
    <s v="Ahmedabad"/>
    <s v="3-5 Years"/>
    <n v="1065000"/>
    <n v="10.65"/>
    <s v="Full Time"/>
    <s v="Remote"/>
    <d v="2026-08-24T00:00:00"/>
    <x v="10"/>
  </r>
  <r>
    <s v="Job0191"/>
    <s v="Bi Analyst"/>
    <s v="Goldman Sachs India"/>
    <s v="Ahmedabad"/>
    <s v="3-5 Years"/>
    <n v="1065000"/>
    <n v="10.65"/>
    <s v="Full Time"/>
    <s v="Remote"/>
    <d v="2026-08-24T00:00:00"/>
    <x v="5"/>
  </r>
  <r>
    <s v="Job0121"/>
    <s v="Bi Analyst"/>
    <s v="Publicis Sapient"/>
    <s v="Delhi"/>
    <s v="1-3 Years"/>
    <n v="730000"/>
    <n v="7.3"/>
    <s v="Full Time"/>
    <s v="Hybrid"/>
    <d v="2026-02-05T00:00:00"/>
    <x v="8"/>
  </r>
  <r>
    <s v="Job0121"/>
    <s v="Bi Analyst"/>
    <s v="Publicis Sapient"/>
    <s v="Delhi"/>
    <s v="1-3 Years"/>
    <n v="730000"/>
    <n v="7.3"/>
    <s v="Full Time"/>
    <s v="Hybrid"/>
    <d v="2026-02-05T00:00:00"/>
    <x v="0"/>
  </r>
  <r>
    <s v="Job0121"/>
    <s v="Bi Analyst"/>
    <s v="Publicis Sapient"/>
    <s v="Delhi"/>
    <s v="1-3 Years"/>
    <n v="730000"/>
    <n v="7.3"/>
    <s v="Full Time"/>
    <s v="Hybrid"/>
    <d v="2026-02-05T00:00:00"/>
    <x v="10"/>
  </r>
  <r>
    <s v="Job0401"/>
    <s v="Data Engineer"/>
    <s v="Meesho"/>
    <s v="Hyderabad"/>
    <s v="5+ Years"/>
    <n v="3415000"/>
    <n v="34.15"/>
    <s v="Full Time"/>
    <s v="On-Site"/>
    <d v="2026-06-29T00:00:00"/>
    <x v="5"/>
  </r>
  <r>
    <s v="Job0401"/>
    <s v="Data Engineer"/>
    <s v="Meesho"/>
    <s v="Hyderabad"/>
    <s v="5+ Years"/>
    <n v="3415000"/>
    <n v="34.15"/>
    <s v="Full Time"/>
    <s v="On-Site"/>
    <d v="2026-06-29T00:00:00"/>
    <x v="13"/>
  </r>
  <r>
    <s v="Job0401"/>
    <s v="Data Engineer"/>
    <s v="Meesho"/>
    <s v="Hyderabad"/>
    <s v="5+ Years"/>
    <n v="3415000"/>
    <n v="34.15"/>
    <s v="Full Time"/>
    <s v="On-Site"/>
    <d v="2026-06-29T00:00:00"/>
    <x v="7"/>
  </r>
  <r>
    <s v="Job0363"/>
    <s v="Machine Learning Scientist"/>
    <s v="Goldman Sachs India"/>
    <s v="Kolkata"/>
    <s v="3-5 Years"/>
    <n v="1925000"/>
    <n v="19.25"/>
    <s v="Full Time"/>
    <s v="On-Site"/>
    <d v="2026-01-18T00:00:00"/>
    <x v="2"/>
  </r>
  <r>
    <s v="Job0363"/>
    <s v="Machine Learning Scientist"/>
    <s v="Goldman Sachs India"/>
    <s v="Kolkata"/>
    <s v="3-5 Years"/>
    <n v="1925000"/>
    <n v="19.25"/>
    <s v="Full Time"/>
    <s v="On-Site"/>
    <d v="2026-01-18T00:00:00"/>
    <x v="9"/>
  </r>
  <r>
    <s v="Job0363"/>
    <s v="Machine Learning Scientist"/>
    <s v="Goldman Sachs India"/>
    <s v="Kolkata"/>
    <s v="3-5 Years"/>
    <n v="1925000"/>
    <n v="19.25"/>
    <s v="Full Time"/>
    <s v="On-Site"/>
    <d v="2026-01-18T00:00:00"/>
    <x v="1"/>
  </r>
  <r>
    <s v="Job0192"/>
    <s v="Data Analyst"/>
    <s v="Razorpay"/>
    <s v="Hyderabad"/>
    <s v="5+ Years"/>
    <n v="2980000"/>
    <n v="29.8"/>
    <s v="Full Time"/>
    <s v="Remote"/>
    <d v="2026-06-18T00:00:00"/>
    <x v="5"/>
  </r>
  <r>
    <s v="Job0192"/>
    <s v="Data Analyst"/>
    <s v="Razorpay"/>
    <s v="Hyderabad"/>
    <s v="5+ Years"/>
    <n v="2980000"/>
    <n v="29.8"/>
    <s v="Full Time"/>
    <s v="Remote"/>
    <d v="2026-06-18T00:00:00"/>
    <x v="14"/>
  </r>
  <r>
    <s v="Job0192"/>
    <s v="Data Analyst"/>
    <s v="Razorpay"/>
    <s v="Hyderabad"/>
    <s v="5+ Years"/>
    <n v="2980000"/>
    <n v="29.8"/>
    <s v="Full Time"/>
    <s v="Remote"/>
    <d v="2026-06-18T00:00:00"/>
    <x v="13"/>
  </r>
  <r>
    <s v="Job0138"/>
    <s v="Ml Engineer"/>
    <s v="Hsbc India"/>
    <s v="Gurugram"/>
    <s v="5+ Years"/>
    <n v="2790000"/>
    <n v="27.9"/>
    <s v="Full Time"/>
    <s v="Hybrid"/>
    <d v="2026-03-30T00:00:00"/>
    <x v="1"/>
  </r>
  <r>
    <s v="Job0138"/>
    <s v="Ml Engineer"/>
    <s v="Hsbc India"/>
    <s v="Gurugram"/>
    <s v="5+ Years"/>
    <n v="2790000"/>
    <n v="27.9"/>
    <s v="Full Time"/>
    <s v="Hybrid"/>
    <d v="2026-03-30T00:00:00"/>
    <x v="0"/>
  </r>
  <r>
    <s v="Job0138"/>
    <s v="Ml Engineer"/>
    <s v="Hsbc India"/>
    <s v="Gurugram"/>
    <s v="5+ Years"/>
    <n v="2790000"/>
    <n v="27.9"/>
    <s v="Full Time"/>
    <s v="Hybrid"/>
    <d v="2026-03-30T00:00:00"/>
    <x v="13"/>
  </r>
  <r>
    <s v="Job0190"/>
    <s v="Machine Learning Scientist"/>
    <s v="Freshworks"/>
    <s v="Hyderabad"/>
    <s v="2-5 Years"/>
    <n v="1485000"/>
    <n v="14.85"/>
    <s v="Contract"/>
    <s v="Hybrid"/>
    <d v="2026-04-14T00:00:00"/>
    <x v="4"/>
  </r>
  <r>
    <s v="Job0190"/>
    <s v="Machine Learning Scientist"/>
    <s v="Freshworks"/>
    <s v="Hyderabad"/>
    <s v="2-5 Years"/>
    <n v="1485000"/>
    <n v="14.85"/>
    <s v="Contract"/>
    <s v="Hybrid"/>
    <d v="2026-04-14T00:00:00"/>
    <x v="2"/>
  </r>
  <r>
    <s v="Job0190"/>
    <s v="Machine Learning Scientist"/>
    <s v="Freshworks"/>
    <s v="Hyderabad"/>
    <s v="2-5 Years"/>
    <n v="1485000"/>
    <n v="14.85"/>
    <s v="Contract"/>
    <s v="Hybrid"/>
    <d v="2026-04-14T00:00:00"/>
    <x v="0"/>
  </r>
  <r>
    <s v="Job0136"/>
    <s v="Data Scientist"/>
    <s v="Lenskart"/>
    <s v="Ahmedabad"/>
    <s v="2-5 Years"/>
    <n v="1690000"/>
    <n v="16.899999999999999"/>
    <s v="Contract"/>
    <s v="On-Site"/>
    <d v="2026-04-03T00:00:00"/>
    <x v="7"/>
  </r>
  <r>
    <s v="Job0136"/>
    <s v="Data Scientist"/>
    <s v="Lenskart"/>
    <s v="Ahmedabad"/>
    <s v="2-5 Years"/>
    <n v="1690000"/>
    <n v="16.899999999999999"/>
    <s v="Contract"/>
    <s v="On-Site"/>
    <d v="2026-04-03T00:00:00"/>
    <x v="9"/>
  </r>
  <r>
    <s v="Job0136"/>
    <s v="Data Scientist"/>
    <s v="Lenskart"/>
    <s v="Ahmedabad"/>
    <s v="2-5 Years"/>
    <n v="1690000"/>
    <n v="16.899999999999999"/>
    <s v="Contract"/>
    <s v="On-Site"/>
    <d v="2026-04-03T00:00:00"/>
    <x v="4"/>
  </r>
  <r>
    <s v="Job0231"/>
    <s v="Business Analyst"/>
    <s v="Freshworks"/>
    <s v="Chennai"/>
    <s v="0-2 Years"/>
    <n v="460000"/>
    <n v="4.5999999999999996"/>
    <s v="Full Time"/>
    <s v="On-Site"/>
    <d v="2026-06-05T00:00:00"/>
    <x v="12"/>
  </r>
  <r>
    <s v="Job0231"/>
    <s v="Business Analyst"/>
    <s v="Freshworks"/>
    <s v="Chennai"/>
    <s v="0-2 Years"/>
    <n v="460000"/>
    <n v="4.5999999999999996"/>
    <s v="Full Time"/>
    <s v="On-Site"/>
    <d v="2026-06-05T00:00:00"/>
    <x v="0"/>
  </r>
  <r>
    <s v="Job0231"/>
    <s v="Business Analyst"/>
    <s v="Freshworks"/>
    <s v="Chennai"/>
    <s v="0-2 Years"/>
    <n v="460000"/>
    <n v="4.5999999999999996"/>
    <s v="Full Time"/>
    <s v="On-Site"/>
    <d v="2026-06-05T00:00:00"/>
    <x v="5"/>
  </r>
  <r>
    <s v="Job0283"/>
    <s v="Business Analyst"/>
    <s v="Tcs"/>
    <s v="Hyderabad"/>
    <s v="0-2 Years"/>
    <n v="415000"/>
    <n v="4.1500000000000004"/>
    <s v="Internship"/>
    <s v="On-Site"/>
    <d v="2026-04-30T00:00:00"/>
    <x v="3"/>
  </r>
  <r>
    <s v="Job0283"/>
    <s v="Business Analyst"/>
    <s v="Tcs"/>
    <s v="Hyderabad"/>
    <s v="0-2 Years"/>
    <n v="415000"/>
    <n v="4.1500000000000004"/>
    <s v="Internship"/>
    <s v="On-Site"/>
    <d v="2026-04-30T00:00:00"/>
    <x v="12"/>
  </r>
  <r>
    <s v="Job0283"/>
    <s v="Business Analyst"/>
    <s v="Tcs"/>
    <s v="Hyderabad"/>
    <s v="0-2 Years"/>
    <n v="415000"/>
    <n v="4.1500000000000004"/>
    <s v="Internship"/>
    <s v="On-Site"/>
    <d v="2026-04-30T00:00:00"/>
    <x v="0"/>
  </r>
  <r>
    <s v="Job0406"/>
    <s v="Ml Engineer"/>
    <s v="Pwc India"/>
    <s v="Kolkata"/>
    <s v="3-5 Years"/>
    <n v="1685000"/>
    <n v="16.850000000000001"/>
    <s v="Full Time"/>
    <s v="Remote"/>
    <d v="2026-07-29T00:00:00"/>
    <x v="5"/>
  </r>
  <r>
    <s v="Job0406"/>
    <s v="Ml Engineer"/>
    <s v="Pwc India"/>
    <s v="Kolkata"/>
    <s v="3-5 Years"/>
    <n v="1685000"/>
    <n v="16.850000000000001"/>
    <s v="Full Time"/>
    <s v="Remote"/>
    <d v="2026-07-29T00:00:00"/>
    <x v="7"/>
  </r>
  <r>
    <s v="Job0406"/>
    <s v="Ml Engineer"/>
    <s v="Pwc India"/>
    <s v="Kolkata"/>
    <s v="3-5 Years"/>
    <n v="1685000"/>
    <n v="16.850000000000001"/>
    <s v="Full Time"/>
    <s v="Remote"/>
    <d v="2026-07-29T00:00:00"/>
    <x v="13"/>
  </r>
  <r>
    <s v="Job0297"/>
    <s v="Ai/Ml Analyst"/>
    <s v="Persistent Systems"/>
    <s v="Mumbai"/>
    <s v="2-5 Years"/>
    <n v="1510000"/>
    <n v="15.1"/>
    <s v="Contract"/>
    <s v="Hybrid"/>
    <d v="2026-06-19T00:00:00"/>
    <x v="9"/>
  </r>
  <r>
    <s v="Job0297"/>
    <s v="Ai/Ml Analyst"/>
    <s v="Persistent Systems"/>
    <s v="Mumbai"/>
    <s v="2-5 Years"/>
    <n v="1510000"/>
    <n v="15.1"/>
    <s v="Contract"/>
    <s v="Hybrid"/>
    <d v="2026-06-19T00:00:00"/>
    <x v="8"/>
  </r>
  <r>
    <s v="Job0297"/>
    <s v="Ai/Ml Analyst"/>
    <s v="Persistent Systems"/>
    <s v="Mumbai"/>
    <s v="2-5 Years"/>
    <n v="1510000"/>
    <n v="15.1"/>
    <s v="Contract"/>
    <s v="Hybrid"/>
    <d v="2026-06-19T00:00:00"/>
    <x v="13"/>
  </r>
  <r>
    <s v="Job0164"/>
    <s v="Data Engineer"/>
    <s v="Sonata Software"/>
    <s v="Kolkata"/>
    <s v="3-5 Years"/>
    <n v="1990000"/>
    <n v="19.899999999999999"/>
    <s v="Full Time"/>
    <s v="Remote"/>
    <d v="2026-03-08T00:00:00"/>
    <x v="13"/>
  </r>
  <r>
    <s v="Job0164"/>
    <s v="Data Engineer"/>
    <s v="Sonata Software"/>
    <s v="Kolkata"/>
    <s v="3-5 Years"/>
    <n v="1990000"/>
    <n v="19.899999999999999"/>
    <s v="Full Time"/>
    <s v="Remote"/>
    <d v="2026-03-08T00:00:00"/>
    <x v="9"/>
  </r>
  <r>
    <s v="Job0164"/>
    <s v="Data Engineer"/>
    <s v="Sonata Software"/>
    <s v="Kolkata"/>
    <s v="3-5 Years"/>
    <n v="1990000"/>
    <n v="19.899999999999999"/>
    <s v="Full Time"/>
    <s v="Remote"/>
    <d v="2026-03-08T00:00:00"/>
    <x v="0"/>
  </r>
  <r>
    <s v="Job0096"/>
    <s v="Machine Learning Scientist"/>
    <s v="Ibm India"/>
    <s v="Mumbai"/>
    <s v="0-2 Years"/>
    <n v="390000"/>
    <n v="3.9"/>
    <s v="Full Time"/>
    <s v="On-Site"/>
    <d v="2026-05-24T00:00:00"/>
    <x v="14"/>
  </r>
  <r>
    <s v="Job0096"/>
    <s v="Machine Learning Scientist"/>
    <s v="Ibm India"/>
    <s v="Mumbai"/>
    <s v="0-2 Years"/>
    <n v="390000"/>
    <n v="3.9"/>
    <s v="Full Time"/>
    <s v="On-Site"/>
    <d v="2026-05-24T00:00:00"/>
    <x v="2"/>
  </r>
  <r>
    <s v="Job0096"/>
    <s v="Machine Learning Scientist"/>
    <s v="Ibm India"/>
    <s v="Mumbai"/>
    <s v="0-2 Years"/>
    <n v="390000"/>
    <n v="3.9"/>
    <s v="Full Time"/>
    <s v="On-Site"/>
    <d v="2026-05-24T00:00:00"/>
    <x v="13"/>
  </r>
  <r>
    <s v="Job0328"/>
    <s v="Machine Learning Scientist"/>
    <s v="Accenture India"/>
    <s v="Chennai"/>
    <s v="1-3 Years"/>
    <n v="690000"/>
    <n v="6.9"/>
    <s v="Full Time"/>
    <s v="Remote"/>
    <d v="2026-01-02T00:00:00"/>
    <x v="4"/>
  </r>
  <r>
    <s v="Job0328"/>
    <s v="Machine Learning Scientist"/>
    <s v="Accenture India"/>
    <s v="Chennai"/>
    <s v="1-3 Years"/>
    <n v="690000"/>
    <n v="6.9"/>
    <s v="Full Time"/>
    <s v="Remote"/>
    <d v="2026-01-02T00:00:00"/>
    <x v="14"/>
  </r>
  <r>
    <s v="Job0328"/>
    <s v="Machine Learning Scientist"/>
    <s v="Accenture India"/>
    <s v="Chennai"/>
    <s v="1-3 Years"/>
    <n v="690000"/>
    <n v="6.9"/>
    <s v="Full Time"/>
    <s v="Remote"/>
    <d v="2026-01-02T00:00:00"/>
    <x v="11"/>
  </r>
  <r>
    <s v="Job0222"/>
    <s v="Business Analyst"/>
    <s v="Adobe India"/>
    <s v="Hyderabad"/>
    <s v="3-5 Years"/>
    <n v="1585000"/>
    <n v="15.85"/>
    <s v="Full Time"/>
    <s v="Hybrid"/>
    <d v="2026-07-11T00:00:00"/>
    <x v="0"/>
  </r>
  <r>
    <s v="Job0222"/>
    <s v="Business Analyst"/>
    <s v="Adobe India"/>
    <s v="Hyderabad"/>
    <s v="3-5 Years"/>
    <n v="1585000"/>
    <n v="15.85"/>
    <s v="Full Time"/>
    <s v="Hybrid"/>
    <d v="2026-07-11T00:00:00"/>
    <x v="8"/>
  </r>
  <r>
    <s v="Job0222"/>
    <s v="Business Analyst"/>
    <s v="Adobe India"/>
    <s v="Hyderabad"/>
    <s v="3-5 Years"/>
    <n v="1585000"/>
    <n v="15.85"/>
    <s v="Full Time"/>
    <s v="Hybrid"/>
    <d v="2026-07-11T00:00:00"/>
    <x v="5"/>
  </r>
  <r>
    <s v="Job0177"/>
    <s v="Business Analyst"/>
    <s v="Cred"/>
    <s v="Hyderabad"/>
    <s v="3-5 Years"/>
    <n v="1360000"/>
    <n v="13.6"/>
    <s v="Full Time"/>
    <s v="On-Site"/>
    <d v="2026-06-23T00:00:00"/>
    <x v="5"/>
  </r>
  <r>
    <s v="Job0177"/>
    <s v="Business Analyst"/>
    <s v="Cred"/>
    <s v="Hyderabad"/>
    <s v="3-5 Years"/>
    <n v="1360000"/>
    <n v="13.6"/>
    <s v="Full Time"/>
    <s v="On-Site"/>
    <d v="2026-06-23T00:00:00"/>
    <x v="9"/>
  </r>
  <r>
    <s v="Job0177"/>
    <s v="Business Analyst"/>
    <s v="Cred"/>
    <s v="Hyderabad"/>
    <s v="3-5 Years"/>
    <n v="1360000"/>
    <n v="13.6"/>
    <s v="Full Time"/>
    <s v="On-Site"/>
    <d v="2026-06-23T00:00:00"/>
    <x v="7"/>
  </r>
  <r>
    <s v="Job0214"/>
    <s v="Data Scientist"/>
    <s v="Ola"/>
    <s v="Chennai"/>
    <s v="0-2 Years"/>
    <n v="430000"/>
    <n v="4.3"/>
    <s v="Full Time"/>
    <s v="Hybrid"/>
    <d v="2026-06-12T00:00:00"/>
    <x v="13"/>
  </r>
  <r>
    <s v="Job0214"/>
    <s v="Data Scientist"/>
    <s v="Ola"/>
    <s v="Chennai"/>
    <s v="0-2 Years"/>
    <n v="430000"/>
    <n v="4.3"/>
    <s v="Full Time"/>
    <s v="Hybrid"/>
    <d v="2026-06-12T00:00:00"/>
    <x v="3"/>
  </r>
  <r>
    <s v="Job0214"/>
    <s v="Data Scientist"/>
    <s v="Ola"/>
    <s v="Chennai"/>
    <s v="0-2 Years"/>
    <n v="430000"/>
    <n v="4.3"/>
    <s v="Full Time"/>
    <s v="Hybrid"/>
    <d v="2026-06-12T00:00:00"/>
    <x v="1"/>
  </r>
  <r>
    <s v="Job0076"/>
    <s v="Ml Engineer"/>
    <s v="Razorpay"/>
    <s v="Mumbai"/>
    <s v="3-5 Years"/>
    <n v="2175000"/>
    <n v="21.75"/>
    <s v="Full Time"/>
    <s v="On-Site"/>
    <d v="2026-07-23T00:00:00"/>
    <x v="9"/>
  </r>
  <r>
    <s v="Job0076"/>
    <s v="Ml Engineer"/>
    <s v="Razorpay"/>
    <s v="Mumbai"/>
    <s v="3-5 Years"/>
    <n v="2175000"/>
    <n v="21.75"/>
    <s v="Full Time"/>
    <s v="On-Site"/>
    <d v="2026-07-23T00:00:00"/>
    <x v="10"/>
  </r>
  <r>
    <s v="Job0076"/>
    <s v="Ml Engineer"/>
    <s v="Razorpay"/>
    <s v="Mumbai"/>
    <s v="3-5 Years"/>
    <n v="2175000"/>
    <n v="21.75"/>
    <s v="Full Time"/>
    <s v="On-Site"/>
    <d v="2026-07-23T00:00:00"/>
    <x v="6"/>
  </r>
  <r>
    <s v="Job0161"/>
    <s v="Product Data Analyst"/>
    <s v="Razorpay"/>
    <s v="Ahmedabad"/>
    <s v="0-2 Years"/>
    <n v="760000"/>
    <n v="7.6"/>
    <s v="Full Time"/>
    <s v="On-Site"/>
    <d v="2026-08-12T00:00:00"/>
    <x v="6"/>
  </r>
  <r>
    <s v="Job0161"/>
    <s v="Product Data Analyst"/>
    <s v="Razorpay"/>
    <s v="Ahmedabad"/>
    <s v="0-2 Years"/>
    <n v="760000"/>
    <n v="7.6"/>
    <s v="Full Time"/>
    <s v="On-Site"/>
    <d v="2026-08-12T00:00:00"/>
    <x v="2"/>
  </r>
  <r>
    <s v="Job0161"/>
    <s v="Product Data Analyst"/>
    <s v="Razorpay"/>
    <s v="Ahmedabad"/>
    <s v="0-2 Years"/>
    <n v="760000"/>
    <n v="7.6"/>
    <s v="Full Time"/>
    <s v="On-Site"/>
    <d v="2026-08-12T00:00:00"/>
    <x v="10"/>
  </r>
  <r>
    <s v="Job0271"/>
    <s v="Data Analyst"/>
    <s v="L&amp;T Infotech"/>
    <s v="Mumbai"/>
    <s v="0-2 Years"/>
    <n v="650000"/>
    <n v="6.5"/>
    <s v="Contract"/>
    <s v="Hybrid"/>
    <d v="2026-04-18T00:00:00"/>
    <x v="14"/>
  </r>
  <r>
    <s v="Job0271"/>
    <s v="Data Analyst"/>
    <s v="L&amp;T Infotech"/>
    <s v="Mumbai"/>
    <s v="0-2 Years"/>
    <n v="650000"/>
    <n v="6.5"/>
    <s v="Contract"/>
    <s v="Hybrid"/>
    <d v="2026-04-18T00:00:00"/>
    <x v="10"/>
  </r>
  <r>
    <s v="Job0271"/>
    <s v="Data Analyst"/>
    <s v="L&amp;T Infotech"/>
    <s v="Mumbai"/>
    <s v="0-2 Years"/>
    <n v="650000"/>
    <n v="6.5"/>
    <s v="Contract"/>
    <s v="Hybrid"/>
    <d v="2026-04-18T00:00:00"/>
    <x v="5"/>
  </r>
  <r>
    <s v="Job0084"/>
    <s v="Business Analyst"/>
    <s v="Phonepe"/>
    <s v="Noida"/>
    <s v="5+ Years"/>
    <n v="2660000"/>
    <n v="26.6"/>
    <s v="Contract"/>
    <s v="Remote"/>
    <d v="2026-06-13T00:00:00"/>
    <x v="5"/>
  </r>
  <r>
    <s v="Job0084"/>
    <s v="Business Analyst"/>
    <s v="Phonepe"/>
    <s v="Noida"/>
    <s v="5+ Years"/>
    <n v="2660000"/>
    <n v="26.6"/>
    <s v="Contract"/>
    <s v="Remote"/>
    <d v="2026-06-13T00:00:00"/>
    <x v="1"/>
  </r>
  <r>
    <s v="Job0084"/>
    <s v="Business Analyst"/>
    <s v="Phonepe"/>
    <s v="Noida"/>
    <s v="5+ Years"/>
    <n v="2660000"/>
    <n v="26.6"/>
    <s v="Contract"/>
    <s v="Remote"/>
    <d v="2026-06-13T00:00:00"/>
    <x v="3"/>
  </r>
  <r>
    <s v="Job0390"/>
    <s v="Ai Engineer"/>
    <s v="Zensar Technologies"/>
    <s v="Pune"/>
    <s v="5+ Years"/>
    <n v="3110000"/>
    <n v="31.1"/>
    <s v="Full Time"/>
    <s v="Hybrid"/>
    <d v="2026-06-12T00:00:00"/>
    <x v="1"/>
  </r>
  <r>
    <s v="Job0390"/>
    <s v="Ai Engineer"/>
    <s v="Zensar Technologies"/>
    <s v="Pune"/>
    <s v="5+ Years"/>
    <n v="3110000"/>
    <n v="31.1"/>
    <s v="Full Time"/>
    <s v="Hybrid"/>
    <d v="2026-06-12T00:00:00"/>
    <x v="9"/>
  </r>
  <r>
    <s v="Job0390"/>
    <s v="Ai Engineer"/>
    <s v="Zensar Technologies"/>
    <s v="Pune"/>
    <s v="5+ Years"/>
    <n v="3110000"/>
    <n v="31.1"/>
    <s v="Full Time"/>
    <s v="Hybrid"/>
    <d v="2026-06-12T00:00:00"/>
    <x v="14"/>
  </r>
  <r>
    <s v="Job0044"/>
    <s v="Bi Analyst"/>
    <s v="Zs Associates"/>
    <s v="Pune"/>
    <s v="3-5 Years"/>
    <n v="1405000"/>
    <n v="14.05"/>
    <s v="Full Time"/>
    <s v="Hybrid"/>
    <d v="2026-06-01T00:00:00"/>
    <x v="13"/>
  </r>
  <r>
    <s v="Job0044"/>
    <s v="Bi Analyst"/>
    <s v="Zs Associates"/>
    <s v="Pune"/>
    <s v="3-5 Years"/>
    <n v="1405000"/>
    <n v="14.05"/>
    <s v="Full Time"/>
    <s v="Hybrid"/>
    <d v="2026-06-01T00:00:00"/>
    <x v="12"/>
  </r>
  <r>
    <s v="Job0044"/>
    <s v="Bi Analyst"/>
    <s v="Zs Associates"/>
    <s v="Pune"/>
    <s v="3-5 Years"/>
    <n v="1405000"/>
    <n v="14.05"/>
    <s v="Full Time"/>
    <s v="Hybrid"/>
    <d v="2026-06-01T00:00:00"/>
    <x v="2"/>
  </r>
  <r>
    <s v="Job0159"/>
    <s v="Product Data Analyst"/>
    <s v="Ola"/>
    <s v="Hyderabad"/>
    <s v="0-2 Years"/>
    <n v="650000"/>
    <n v="6.5"/>
    <s v="Full Time"/>
    <s v="Hybrid"/>
    <d v="2026-07-17T00:00:00"/>
    <x v="3"/>
  </r>
  <r>
    <s v="Job0159"/>
    <s v="Product Data Analyst"/>
    <s v="Ola"/>
    <s v="Hyderabad"/>
    <s v="0-2 Years"/>
    <n v="650000"/>
    <n v="6.5"/>
    <s v="Full Time"/>
    <s v="Hybrid"/>
    <d v="2026-07-17T00:00:00"/>
    <x v="0"/>
  </r>
  <r>
    <s v="Job0159"/>
    <s v="Product Data Analyst"/>
    <s v="Ola"/>
    <s v="Hyderabad"/>
    <s v="0-2 Years"/>
    <n v="650000"/>
    <n v="6.5"/>
    <s v="Full Time"/>
    <s v="Hybrid"/>
    <d v="2026-07-17T00:00:00"/>
    <x v="10"/>
  </r>
  <r>
    <s v="Job0500"/>
    <s v="Data Engineer"/>
    <s v="Sap Labs India"/>
    <s v="Bangalore"/>
    <s v="0-2 Years"/>
    <n v="660000"/>
    <n v="6.6"/>
    <s v="Full Time"/>
    <s v="Remote"/>
    <d v="2026-07-14T00:00:00"/>
    <x v="1"/>
  </r>
  <r>
    <s v="Job0500"/>
    <s v="Data Engineer"/>
    <s v="Sap Labs India"/>
    <s v="Bangalore"/>
    <s v="0-2 Years"/>
    <n v="660000"/>
    <n v="6.6"/>
    <s v="Full Time"/>
    <s v="Remote"/>
    <d v="2026-07-14T00:00:00"/>
    <x v="6"/>
  </r>
  <r>
    <s v="Job0500"/>
    <s v="Data Engineer"/>
    <s v="Sap Labs India"/>
    <s v="Bangalore"/>
    <s v="0-2 Years"/>
    <n v="660000"/>
    <n v="6.6"/>
    <s v="Full Time"/>
    <s v="Remote"/>
    <d v="2026-07-14T00:00:00"/>
    <x v="9"/>
  </r>
  <r>
    <s v="Job0267"/>
    <s v="Data Scientist"/>
    <s v="Oracle India"/>
    <s v="Kolkata"/>
    <s v="5+ Years"/>
    <n v="4190000"/>
    <n v="41.9"/>
    <s v="Full Time"/>
    <s v="Hybrid"/>
    <d v="2026-02-22T00:00:00"/>
    <x v="9"/>
  </r>
  <r>
    <s v="Job0267"/>
    <s v="Data Scientist"/>
    <s v="Oracle India"/>
    <s v="Kolkata"/>
    <s v="5+ Years"/>
    <n v="4190000"/>
    <n v="41.9"/>
    <s v="Full Time"/>
    <s v="Hybrid"/>
    <d v="2026-02-22T00:00:00"/>
    <x v="6"/>
  </r>
  <r>
    <s v="Job0267"/>
    <s v="Data Scientist"/>
    <s v="Oracle India"/>
    <s v="Kolkata"/>
    <s v="5+ Years"/>
    <n v="4190000"/>
    <n v="41.9"/>
    <s v="Full Time"/>
    <s v="Hybrid"/>
    <d v="2026-02-22T00:00:00"/>
    <x v="8"/>
  </r>
  <r>
    <s v="Job0089"/>
    <s v="Product Data Analyst"/>
    <s v="Wipro"/>
    <s v="Pune"/>
    <s v="2-5 Years"/>
    <n v="1045000"/>
    <n v="10.45"/>
    <s v="Full Time"/>
    <s v="Hybrid"/>
    <d v="2026-03-26T00:00:00"/>
    <x v="12"/>
  </r>
  <r>
    <s v="Job0089"/>
    <s v="Product Data Analyst"/>
    <s v="Wipro"/>
    <s v="Pune"/>
    <s v="2-5 Years"/>
    <n v="1045000"/>
    <n v="10.45"/>
    <s v="Full Time"/>
    <s v="Hybrid"/>
    <d v="2026-03-26T00:00:00"/>
    <x v="4"/>
  </r>
  <r>
    <s v="Job0089"/>
    <s v="Product Data Analyst"/>
    <s v="Wipro"/>
    <s v="Pune"/>
    <s v="2-5 Years"/>
    <n v="1045000"/>
    <n v="10.45"/>
    <s v="Full Time"/>
    <s v="Hybrid"/>
    <d v="2026-03-26T00:00:00"/>
    <x v="2"/>
  </r>
  <r>
    <s v="Job0174"/>
    <s v="Ai/Ml Analyst"/>
    <s v="Tata Consultancy Services"/>
    <s v="Ahmedabad"/>
    <s v="3-5 Years"/>
    <n v="1990000"/>
    <n v="19.899999999999999"/>
    <s v="Full Time"/>
    <s v="Hybrid"/>
    <d v="2026-04-18T00:00:00"/>
    <x v="3"/>
  </r>
  <r>
    <s v="Job0174"/>
    <s v="Ai/Ml Analyst"/>
    <s v="Tata Consultancy Services"/>
    <s v="Ahmedabad"/>
    <s v="3-5 Years"/>
    <n v="1990000"/>
    <n v="19.899999999999999"/>
    <s v="Full Time"/>
    <s v="Hybrid"/>
    <d v="2026-04-18T00:00:00"/>
    <x v="9"/>
  </r>
  <r>
    <s v="Job0174"/>
    <s v="Ai/Ml Analyst"/>
    <s v="Tata Consultancy Services"/>
    <s v="Ahmedabad"/>
    <s v="3-5 Years"/>
    <n v="1990000"/>
    <n v="19.899999999999999"/>
    <s v="Full Time"/>
    <s v="Hybrid"/>
    <d v="2026-04-18T00:00:00"/>
    <x v="12"/>
  </r>
  <r>
    <s v="Job0345"/>
    <s v="Ai Engineer"/>
    <s v="Deloitte India"/>
    <s v="Ahmedabad"/>
    <s v="2-5 Years"/>
    <n v="1175000"/>
    <n v="11.75"/>
    <s v="Contract"/>
    <s v="Hybrid"/>
    <d v="2026-01-02T00:00:00"/>
    <x v="3"/>
  </r>
  <r>
    <s v="Job0345"/>
    <s v="Ai Engineer"/>
    <s v="Deloitte India"/>
    <s v="Ahmedabad"/>
    <s v="2-5 Years"/>
    <n v="1175000"/>
    <n v="11.75"/>
    <s v="Contract"/>
    <s v="Hybrid"/>
    <d v="2026-01-02T00:00:00"/>
    <x v="1"/>
  </r>
  <r>
    <s v="Job0345"/>
    <s v="Ai Engineer"/>
    <s v="Deloitte India"/>
    <s v="Ahmedabad"/>
    <s v="2-5 Years"/>
    <n v="1175000"/>
    <n v="11.75"/>
    <s v="Contract"/>
    <s v="Hybrid"/>
    <d v="2026-01-02T00:00:00"/>
    <x v="11"/>
  </r>
  <r>
    <s v="Job0368"/>
    <s v="Business Analyst"/>
    <s v="Thoughtworks"/>
    <s v="Chennai"/>
    <s v="3-5 Years"/>
    <n v="1265000"/>
    <n v="12.65"/>
    <s v="Full Time"/>
    <s v="Remote"/>
    <d v="2026-07-18T00:00:00"/>
    <x v="10"/>
  </r>
  <r>
    <s v="Job0368"/>
    <s v="Business Analyst"/>
    <s v="Thoughtworks"/>
    <s v="Chennai"/>
    <s v="3-5 Years"/>
    <n v="1265000"/>
    <n v="12.65"/>
    <s v="Full Time"/>
    <s v="Remote"/>
    <d v="2026-07-18T00:00:00"/>
    <x v="8"/>
  </r>
  <r>
    <s v="Job0368"/>
    <s v="Business Analyst"/>
    <s v="Thoughtworks"/>
    <s v="Chennai"/>
    <s v="3-5 Years"/>
    <n v="1265000"/>
    <n v="12.65"/>
    <s v="Full Time"/>
    <s v="Remote"/>
    <d v="2026-07-18T00:00:00"/>
    <x v="14"/>
  </r>
  <r>
    <s v="Job0123"/>
    <s v="Business Analyst"/>
    <s v="Lenskart"/>
    <s v="Kolkata"/>
    <s v="5+ Years"/>
    <n v="2825000"/>
    <n v="28.25"/>
    <s v="Full Time"/>
    <s v="Hybrid"/>
    <d v="2026-08-03T00:00:00"/>
    <x v="7"/>
  </r>
  <r>
    <s v="Job0123"/>
    <s v="Business Analyst"/>
    <s v="Lenskart"/>
    <s v="Kolkata"/>
    <s v="5+ Years"/>
    <n v="2825000"/>
    <n v="28.25"/>
    <s v="Full Time"/>
    <s v="Hybrid"/>
    <d v="2026-08-03T00:00:00"/>
    <x v="2"/>
  </r>
  <r>
    <s v="Job0123"/>
    <s v="Business Analyst"/>
    <s v="Lenskart"/>
    <s v="Kolkata"/>
    <s v="5+ Years"/>
    <n v="2825000"/>
    <n v="28.25"/>
    <s v="Full Time"/>
    <s v="Hybrid"/>
    <d v="2026-08-03T00:00:00"/>
    <x v="6"/>
  </r>
  <r>
    <s v="Job0454"/>
    <s v="Ai Engineer"/>
    <s v="Adobe India"/>
    <s v="Gurugram"/>
    <s v="3-5 Years"/>
    <n v="1035000"/>
    <n v="10.35"/>
    <s v="Full Time"/>
    <s v="Hybrid"/>
    <d v="2026-02-02T00:00:00"/>
    <x v="7"/>
  </r>
  <r>
    <s v="Job0454"/>
    <s v="Ai Engineer"/>
    <s v="Adobe India"/>
    <s v="Gurugram"/>
    <s v="3-5 Years"/>
    <n v="1035000"/>
    <n v="10.35"/>
    <s v="Full Time"/>
    <s v="Hybrid"/>
    <d v="2026-02-02T00:00:00"/>
    <x v="11"/>
  </r>
  <r>
    <s v="Job0454"/>
    <s v="Ai Engineer"/>
    <s v="Adobe India"/>
    <s v="Gurugram"/>
    <s v="3-5 Years"/>
    <n v="1035000"/>
    <n v="10.35"/>
    <s v="Full Time"/>
    <s v="Hybrid"/>
    <d v="2026-02-02T00:00:00"/>
    <x v="10"/>
  </r>
  <r>
    <s v="Job0333"/>
    <s v="Business Analyst"/>
    <s v="Hsbc India"/>
    <s v="Ahmedabad"/>
    <s v="2-5 Years"/>
    <n v="1760000"/>
    <n v="17.600000000000001"/>
    <s v="Full Time"/>
    <s v="Hybrid"/>
    <d v="2026-06-15T00:00:00"/>
    <x v="4"/>
  </r>
  <r>
    <s v="Job0333"/>
    <s v="Business Analyst"/>
    <s v="Hsbc India"/>
    <s v="Ahmedabad"/>
    <s v="2-5 Years"/>
    <n v="1760000"/>
    <n v="17.600000000000001"/>
    <s v="Full Time"/>
    <s v="Hybrid"/>
    <d v="2026-06-15T00:00:00"/>
    <x v="11"/>
  </r>
  <r>
    <s v="Job0333"/>
    <s v="Business Analyst"/>
    <s v="Hsbc India"/>
    <s v="Ahmedabad"/>
    <s v="2-5 Years"/>
    <n v="1760000"/>
    <n v="17.600000000000001"/>
    <s v="Full Time"/>
    <s v="Hybrid"/>
    <d v="2026-06-15T00:00:00"/>
    <x v="8"/>
  </r>
  <r>
    <s v="Job0063"/>
    <s v="Business Analyst"/>
    <s v="Microsoft India"/>
    <s v="Kolkata"/>
    <s v="5+ Years"/>
    <n v="4270000"/>
    <n v="42.7"/>
    <s v="Full Time"/>
    <s v="Hybrid"/>
    <d v="2026-06-03T00:00:00"/>
    <x v="14"/>
  </r>
  <r>
    <s v="Job0063"/>
    <s v="Business Analyst"/>
    <s v="Microsoft India"/>
    <s v="Kolkata"/>
    <s v="5+ Years"/>
    <n v="4270000"/>
    <n v="42.7"/>
    <s v="Full Time"/>
    <s v="Hybrid"/>
    <d v="2026-06-03T00:00:00"/>
    <x v="8"/>
  </r>
  <r>
    <s v="Job0063"/>
    <s v="Business Analyst"/>
    <s v="Microsoft India"/>
    <s v="Kolkata"/>
    <s v="5+ Years"/>
    <n v="4270000"/>
    <n v="42.7"/>
    <s v="Full Time"/>
    <s v="Hybrid"/>
    <d v="2026-06-03T00:00:00"/>
    <x v="2"/>
  </r>
  <r>
    <s v="Job0001"/>
    <s v="Data Scientist"/>
    <s v="Hcltech"/>
    <s v="Chennai"/>
    <s v="1-3 Years"/>
    <n v="635000"/>
    <n v="6.35"/>
    <s v="Full Time"/>
    <s v="Hybrid"/>
    <d v="2026-01-09T00:00:00"/>
    <x v="0"/>
  </r>
  <r>
    <s v="Job0001"/>
    <s v="Data Scientist"/>
    <s v="Hcltech"/>
    <s v="Chennai"/>
    <s v="1-3 Years"/>
    <n v="635000"/>
    <n v="6.35"/>
    <s v="Full Time"/>
    <s v="Hybrid"/>
    <d v="2026-01-09T00:00:00"/>
    <x v="13"/>
  </r>
  <r>
    <s v="Job0001"/>
    <s v="Data Scientist"/>
    <s v="Hcltech"/>
    <s v="Chennai"/>
    <s v="1-3 Years"/>
    <n v="635000"/>
    <n v="6.35"/>
    <s v="Full Time"/>
    <s v="Hybrid"/>
    <d v="2026-01-09T00:00:00"/>
    <x v="6"/>
  </r>
  <r>
    <s v="Job0086"/>
    <s v="Machine Learning Scientist"/>
    <s v="Amazon India"/>
    <s v="Noida"/>
    <s v="0-2 Years"/>
    <n v="290000"/>
    <n v="2.9"/>
    <s v="Internship"/>
    <s v="Hybrid"/>
    <d v="2026-06-21T00:00:00"/>
    <x v="5"/>
  </r>
  <r>
    <s v="Job0086"/>
    <s v="Machine Learning Scientist"/>
    <s v="Amazon India"/>
    <s v="Noida"/>
    <s v="0-2 Years"/>
    <n v="290000"/>
    <n v="2.9"/>
    <s v="Internship"/>
    <s v="Hybrid"/>
    <d v="2026-06-21T00:00:00"/>
    <x v="8"/>
  </r>
  <r>
    <s v="Job0086"/>
    <s v="Machine Learning Scientist"/>
    <s v="Amazon India"/>
    <s v="Noida"/>
    <s v="0-2 Years"/>
    <n v="290000"/>
    <n v="2.9"/>
    <s v="Internship"/>
    <s v="Hybrid"/>
    <d v="2026-06-21T00:00:00"/>
    <x v="1"/>
  </r>
  <r>
    <s v="Job0167"/>
    <s v="Data Engineer"/>
    <s v="Quantiphi"/>
    <s v="Gurugram"/>
    <s v="0-2 Years"/>
    <n v="310000"/>
    <n v="3.1"/>
    <s v="Internship"/>
    <s v="On-Site"/>
    <d v="2026-06-20T00:00:00"/>
    <x v="4"/>
  </r>
  <r>
    <s v="Job0167"/>
    <s v="Data Engineer"/>
    <s v="Quantiphi"/>
    <s v="Gurugram"/>
    <s v="0-2 Years"/>
    <n v="310000"/>
    <n v="3.1"/>
    <s v="Internship"/>
    <s v="On-Site"/>
    <d v="2026-06-20T00:00:00"/>
    <x v="14"/>
  </r>
  <r>
    <s v="Job0167"/>
    <s v="Data Engineer"/>
    <s v="Quantiphi"/>
    <s v="Gurugram"/>
    <s v="0-2 Years"/>
    <n v="310000"/>
    <n v="3.1"/>
    <s v="Internship"/>
    <s v="On-Site"/>
    <d v="2026-06-20T00:00:00"/>
    <x v="5"/>
  </r>
  <r>
    <s v="Job0431"/>
    <s v="Ai/Ml Analyst"/>
    <s v="American Express India"/>
    <s v="Ahmedabad"/>
    <s v="5+ Years"/>
    <n v="4355000"/>
    <n v="43.55"/>
    <s v="Full Time"/>
    <s v="Hybrid"/>
    <d v="2026-02-15T00:00:00"/>
    <x v="14"/>
  </r>
  <r>
    <s v="Job0431"/>
    <s v="Ai/Ml Analyst"/>
    <s v="American Express India"/>
    <s v="Ahmedabad"/>
    <s v="5+ Years"/>
    <n v="4355000"/>
    <n v="43.55"/>
    <s v="Full Time"/>
    <s v="Hybrid"/>
    <d v="2026-02-15T00:00:00"/>
    <x v="3"/>
  </r>
  <r>
    <s v="Job0431"/>
    <s v="Ai/Ml Analyst"/>
    <s v="American Express India"/>
    <s v="Ahmedabad"/>
    <s v="5+ Years"/>
    <n v="4355000"/>
    <n v="43.55"/>
    <s v="Full Time"/>
    <s v="Hybrid"/>
    <d v="2026-02-15T00:00:00"/>
    <x v="5"/>
  </r>
  <r>
    <s v="Job0154"/>
    <s v="Data Analyst"/>
    <s v="Bajaj Finserv"/>
    <s v="Delhi"/>
    <s v="3-5 Years"/>
    <n v="1180000"/>
    <n v="11.8"/>
    <s v="Full Time"/>
    <s v="Hybrid"/>
    <d v="2026-05-13T00:00:00"/>
    <x v="8"/>
  </r>
  <r>
    <s v="Job0154"/>
    <s v="Data Analyst"/>
    <s v="Bajaj Finserv"/>
    <s v="Delhi"/>
    <s v="3-5 Years"/>
    <n v="1180000"/>
    <n v="11.8"/>
    <s v="Full Time"/>
    <s v="Hybrid"/>
    <d v="2026-05-13T00:00:00"/>
    <x v="2"/>
  </r>
  <r>
    <s v="Job0154"/>
    <s v="Data Analyst"/>
    <s v="Bajaj Finserv"/>
    <s v="Delhi"/>
    <s v="3-5 Years"/>
    <n v="1180000"/>
    <n v="11.8"/>
    <s v="Full Time"/>
    <s v="Hybrid"/>
    <d v="2026-05-13T00:00:00"/>
    <x v="0"/>
  </r>
  <r>
    <s v="Job0466"/>
    <s v="Data Scientist"/>
    <s v="Mindtree"/>
    <s v="Ahmedabad"/>
    <s v="2-5 Years"/>
    <n v="1265000"/>
    <n v="12.65"/>
    <s v="Full Time"/>
    <s v="On-Site"/>
    <d v="2026-06-25T00:00:00"/>
    <x v="4"/>
  </r>
  <r>
    <s v="Job0466"/>
    <s v="Data Scientist"/>
    <s v="Mindtree"/>
    <s v="Ahmedabad"/>
    <s v="2-5 Years"/>
    <n v="1265000"/>
    <n v="12.65"/>
    <s v="Full Time"/>
    <s v="On-Site"/>
    <d v="2026-06-25T00:00:00"/>
    <x v="7"/>
  </r>
  <r>
    <s v="Job0466"/>
    <s v="Data Scientist"/>
    <s v="Mindtree"/>
    <s v="Ahmedabad"/>
    <s v="2-5 Years"/>
    <n v="1265000"/>
    <n v="12.65"/>
    <s v="Full Time"/>
    <s v="On-Site"/>
    <d v="2026-06-25T00:00:00"/>
    <x v="9"/>
  </r>
  <r>
    <s v="Job0261"/>
    <s v="Bi Analyst"/>
    <s v="Zs Associates"/>
    <s v="Delhi"/>
    <s v="1-3 Years"/>
    <n v="925000"/>
    <n v="9.25"/>
    <s v="Full Time"/>
    <s v="On-Site"/>
    <d v="2026-07-07T00:00:00"/>
    <x v="0"/>
  </r>
  <r>
    <s v="Job0261"/>
    <s v="Bi Analyst"/>
    <s v="Zs Associates"/>
    <s v="Delhi"/>
    <s v="1-3 Years"/>
    <n v="925000"/>
    <n v="9.25"/>
    <s v="Full Time"/>
    <s v="On-Site"/>
    <d v="2026-07-07T00:00:00"/>
    <x v="2"/>
  </r>
  <r>
    <s v="Job0261"/>
    <s v="Bi Analyst"/>
    <s v="Zs Associates"/>
    <s v="Delhi"/>
    <s v="1-3 Years"/>
    <n v="925000"/>
    <n v="9.25"/>
    <s v="Full Time"/>
    <s v="On-Site"/>
    <d v="2026-07-07T00:00:00"/>
    <x v="7"/>
  </r>
  <r>
    <s v="Job0378"/>
    <s v="Data Scientist"/>
    <s v="Zomato"/>
    <s v="Bangalore"/>
    <s v="3-5 Years"/>
    <n v="1125000"/>
    <n v="11.25"/>
    <s v="Full Time"/>
    <s v="On-Site"/>
    <d v="2026-06-08T00:00:00"/>
    <x v="3"/>
  </r>
  <r>
    <s v="Job0378"/>
    <s v="Data Scientist"/>
    <s v="Zomato"/>
    <s v="Bangalore"/>
    <s v="3-5 Years"/>
    <n v="1125000"/>
    <n v="11.25"/>
    <s v="Full Time"/>
    <s v="On-Site"/>
    <d v="2026-06-08T00:00:00"/>
    <x v="9"/>
  </r>
  <r>
    <s v="Job0378"/>
    <s v="Data Scientist"/>
    <s v="Zomato"/>
    <s v="Bangalore"/>
    <s v="3-5 Years"/>
    <n v="1125000"/>
    <n v="11.25"/>
    <s v="Full Time"/>
    <s v="On-Site"/>
    <d v="2026-06-08T00:00:00"/>
    <x v="8"/>
  </r>
  <r>
    <s v="Job0365"/>
    <s v="Ai/Ml Analyst"/>
    <s v="Sonata Software"/>
    <s v="Gurugram"/>
    <s v="2-5 Years"/>
    <n v="1155000"/>
    <n v="11.55"/>
    <s v="Contract"/>
    <s v="Hybrid"/>
    <d v="2026-07-08T00:00:00"/>
    <x v="7"/>
  </r>
  <r>
    <s v="Job0365"/>
    <s v="Ai/Ml Analyst"/>
    <s v="Sonata Software"/>
    <s v="Gurugram"/>
    <s v="2-5 Years"/>
    <n v="1155000"/>
    <n v="11.55"/>
    <s v="Contract"/>
    <s v="Hybrid"/>
    <d v="2026-07-08T00:00:00"/>
    <x v="12"/>
  </r>
  <r>
    <s v="Job0365"/>
    <s v="Ai/Ml Analyst"/>
    <s v="Sonata Software"/>
    <s v="Gurugram"/>
    <s v="2-5 Years"/>
    <n v="1155000"/>
    <n v="11.55"/>
    <s v="Contract"/>
    <s v="Hybrid"/>
    <d v="2026-07-08T00:00:00"/>
    <x v="1"/>
  </r>
  <r>
    <s v="Job0329"/>
    <s v="Data Scientist"/>
    <s v="Zomato"/>
    <s v="Hyderabad"/>
    <s v="3-5 Years"/>
    <n v="2005000"/>
    <n v="20.05"/>
    <s v="Full Time"/>
    <s v="On-Site"/>
    <d v="2026-06-15T00:00:00"/>
    <x v="8"/>
  </r>
  <r>
    <s v="Job0329"/>
    <s v="Data Scientist"/>
    <s v="Zomato"/>
    <s v="Hyderabad"/>
    <s v="3-5 Years"/>
    <n v="2005000"/>
    <n v="20.05"/>
    <s v="Full Time"/>
    <s v="On-Site"/>
    <d v="2026-06-15T00:00:00"/>
    <x v="4"/>
  </r>
  <r>
    <s v="Job0329"/>
    <s v="Data Scientist"/>
    <s v="Zomato"/>
    <s v="Hyderabad"/>
    <s v="3-5 Years"/>
    <n v="2005000"/>
    <n v="20.05"/>
    <s v="Full Time"/>
    <s v="On-Site"/>
    <d v="2026-06-15T00:00:00"/>
    <x v="6"/>
  </r>
  <r>
    <s v="Job0079"/>
    <s v="Data Scientist"/>
    <s v="Bajaj Finserv"/>
    <s v="Delhi"/>
    <s v="0-2 Years"/>
    <n v="405000"/>
    <n v="4.05"/>
    <s v="Internship"/>
    <s v="Hybrid"/>
    <d v="2026-05-27T00:00:00"/>
    <x v="3"/>
  </r>
  <r>
    <s v="Job0079"/>
    <s v="Data Scientist"/>
    <s v="Bajaj Finserv"/>
    <s v="Delhi"/>
    <s v="0-2 Years"/>
    <n v="405000"/>
    <n v="4.05"/>
    <s v="Internship"/>
    <s v="Hybrid"/>
    <d v="2026-05-27T00:00:00"/>
    <x v="11"/>
  </r>
  <r>
    <s v="Job0079"/>
    <s v="Data Scientist"/>
    <s v="Bajaj Finserv"/>
    <s v="Delhi"/>
    <s v="0-2 Years"/>
    <n v="405000"/>
    <n v="4.05"/>
    <s v="Internship"/>
    <s v="Hybrid"/>
    <d v="2026-05-27T00:00:00"/>
    <x v="1"/>
  </r>
  <r>
    <s v="Job0421"/>
    <s v="Business Analyst"/>
    <s v="Microsoft India"/>
    <s v="Ahmedabad"/>
    <s v="1-3 Years"/>
    <n v="760000"/>
    <n v="7.6"/>
    <s v="Contract"/>
    <s v="On-Site"/>
    <d v="2026-03-23T00:00:00"/>
    <x v="0"/>
  </r>
  <r>
    <s v="Job0421"/>
    <s v="Business Analyst"/>
    <s v="Microsoft India"/>
    <s v="Ahmedabad"/>
    <s v="1-3 Years"/>
    <n v="760000"/>
    <n v="7.6"/>
    <s v="Contract"/>
    <s v="On-Site"/>
    <d v="2026-03-23T00:00:00"/>
    <x v="3"/>
  </r>
  <r>
    <s v="Job0421"/>
    <s v="Business Analyst"/>
    <s v="Microsoft India"/>
    <s v="Ahmedabad"/>
    <s v="1-3 Years"/>
    <n v="760000"/>
    <n v="7.6"/>
    <s v="Contract"/>
    <s v="On-Site"/>
    <d v="2026-03-23T00:00:00"/>
    <x v="9"/>
  </r>
  <r>
    <s v="Job0483"/>
    <s v="Data Scientist"/>
    <s v="Delhivery"/>
    <s v="Hyderabad"/>
    <s v="0-2 Years"/>
    <n v="525000"/>
    <n v="5.25"/>
    <s v="Full Time"/>
    <s v="On-Site"/>
    <d v="2026-06-11T00:00:00"/>
    <x v="0"/>
  </r>
  <r>
    <s v="Job0483"/>
    <s v="Data Scientist"/>
    <s v="Delhivery"/>
    <s v="Hyderabad"/>
    <s v="0-2 Years"/>
    <n v="525000"/>
    <n v="5.25"/>
    <s v="Full Time"/>
    <s v="On-Site"/>
    <d v="2026-06-11T00:00:00"/>
    <x v="1"/>
  </r>
  <r>
    <s v="Job0483"/>
    <s v="Data Scientist"/>
    <s v="Delhivery"/>
    <s v="Hyderabad"/>
    <s v="0-2 Years"/>
    <n v="525000"/>
    <n v="5.25"/>
    <s v="Full Time"/>
    <s v="On-Site"/>
    <d v="2026-06-11T00:00:00"/>
    <x v="9"/>
  </r>
  <r>
    <s v="Job0014"/>
    <s v="Ai Engineer"/>
    <s v="Bajaj Finserv"/>
    <s v="Ahmedabad"/>
    <s v="3-5 Years"/>
    <n v="1145000"/>
    <n v="11.45"/>
    <s v="Full Time"/>
    <s v="Hybrid"/>
    <d v="2026-06-11T00:00:00"/>
    <x v="9"/>
  </r>
  <r>
    <s v="Job0014"/>
    <s v="Ai Engineer"/>
    <s v="Bajaj Finserv"/>
    <s v="Ahmedabad"/>
    <s v="3-5 Years"/>
    <n v="1145000"/>
    <n v="11.45"/>
    <s v="Full Time"/>
    <s v="Hybrid"/>
    <d v="2026-06-11T00:00:00"/>
    <x v="14"/>
  </r>
  <r>
    <s v="Job0014"/>
    <s v="Ai Engineer"/>
    <s v="Bajaj Finserv"/>
    <s v="Ahmedabad"/>
    <s v="3-5 Years"/>
    <n v="1145000"/>
    <n v="11.45"/>
    <s v="Full Time"/>
    <s v="Hybrid"/>
    <d v="2026-06-11T00:00:00"/>
    <x v="7"/>
  </r>
  <r>
    <s v="Job0289"/>
    <s v="Ai Engineer"/>
    <s v="Pwc India"/>
    <s v="Hyderabad"/>
    <s v="2-5 Years"/>
    <n v="1025000"/>
    <n v="10.25"/>
    <s v="Contract"/>
    <s v="Hybrid"/>
    <d v="2026-03-17T00:00:00"/>
    <x v="3"/>
  </r>
  <r>
    <s v="Job0289"/>
    <s v="Ai Engineer"/>
    <s v="Pwc India"/>
    <s v="Hyderabad"/>
    <s v="2-5 Years"/>
    <n v="1025000"/>
    <n v="10.25"/>
    <s v="Contract"/>
    <s v="Hybrid"/>
    <d v="2026-03-17T00:00:00"/>
    <x v="10"/>
  </r>
  <r>
    <s v="Job0289"/>
    <s v="Ai Engineer"/>
    <s v="Pwc India"/>
    <s v="Hyderabad"/>
    <s v="2-5 Years"/>
    <n v="1025000"/>
    <n v="10.25"/>
    <s v="Contract"/>
    <s v="Hybrid"/>
    <d v="2026-03-17T00:00:00"/>
    <x v="13"/>
  </r>
  <r>
    <s v="Job0256"/>
    <s v="Ml Engineer"/>
    <s v="Cognizant"/>
    <s v="Gurugram"/>
    <s v="5+ Years"/>
    <n v="2635000"/>
    <n v="26.35"/>
    <s v="Full Time"/>
    <s v="Hybrid"/>
    <d v="2026-01-15T00:00:00"/>
    <x v="13"/>
  </r>
  <r>
    <s v="Job0256"/>
    <s v="Ml Engineer"/>
    <s v="Cognizant"/>
    <s v="Gurugram"/>
    <s v="5+ Years"/>
    <n v="2635000"/>
    <n v="26.35"/>
    <s v="Full Time"/>
    <s v="Hybrid"/>
    <d v="2026-01-15T00:00:00"/>
    <x v="5"/>
  </r>
  <r>
    <s v="Job0256"/>
    <s v="Ml Engineer"/>
    <s v="Cognizant"/>
    <s v="Gurugram"/>
    <s v="5+ Years"/>
    <n v="2635000"/>
    <n v="26.35"/>
    <s v="Full Time"/>
    <s v="Hybrid"/>
    <d v="2026-01-15T00:00:00"/>
    <x v="7"/>
  </r>
  <r>
    <s v="Job0325"/>
    <s v="Ai Engineer"/>
    <s v="Deloitte India"/>
    <s v="Delhi"/>
    <s v="5+ Years"/>
    <n v="2240000"/>
    <n v="22.4"/>
    <s v="Full Time"/>
    <s v="Remote"/>
    <d v="2026-02-26T00:00:00"/>
    <x v="1"/>
  </r>
  <r>
    <s v="Job0325"/>
    <s v="Ai Engineer"/>
    <s v="Deloitte India"/>
    <s v="Delhi"/>
    <s v="5+ Years"/>
    <n v="2240000"/>
    <n v="22.4"/>
    <s v="Full Time"/>
    <s v="Remote"/>
    <d v="2026-02-26T00:00:00"/>
    <x v="9"/>
  </r>
  <r>
    <s v="Job0325"/>
    <s v="Ai Engineer"/>
    <s v="Deloitte India"/>
    <s v="Delhi"/>
    <s v="5+ Years"/>
    <n v="2240000"/>
    <n v="22.4"/>
    <s v="Full Time"/>
    <s v="Remote"/>
    <d v="2026-02-26T00:00:00"/>
    <x v="6"/>
  </r>
  <r>
    <s v="Job0071"/>
    <s v="Business Analyst"/>
    <s v="Ibm India"/>
    <s v="Chennai"/>
    <s v="3-5 Years"/>
    <n v="1410000"/>
    <n v="14.1"/>
    <s v="Contract"/>
    <s v="Hybrid"/>
    <d v="2026-08-10T00:00:00"/>
    <x v="5"/>
  </r>
  <r>
    <s v="Job0071"/>
    <s v="Business Analyst"/>
    <s v="Ibm India"/>
    <s v="Chennai"/>
    <s v="3-5 Years"/>
    <n v="1410000"/>
    <n v="14.1"/>
    <s v="Contract"/>
    <s v="Hybrid"/>
    <d v="2026-08-10T00:00:00"/>
    <x v="10"/>
  </r>
  <r>
    <s v="Job0071"/>
    <s v="Business Analyst"/>
    <s v="Ibm India"/>
    <s v="Chennai"/>
    <s v="3-5 Years"/>
    <n v="1410000"/>
    <n v="14.1"/>
    <s v="Contract"/>
    <s v="Hybrid"/>
    <d v="2026-08-10T00:00:00"/>
    <x v="8"/>
  </r>
  <r>
    <s v="Job0308"/>
    <s v="Ai/Ml Analyst"/>
    <s v="Kpmg India"/>
    <s v="Noida"/>
    <s v="1-3 Years"/>
    <n v="790000"/>
    <n v="7.9"/>
    <s v="Full Time"/>
    <s v="Hybrid"/>
    <d v="2026-08-28T00:00:00"/>
    <x v="9"/>
  </r>
  <r>
    <s v="Job0308"/>
    <s v="Ai/Ml Analyst"/>
    <s v="Kpmg India"/>
    <s v="Noida"/>
    <s v="1-3 Years"/>
    <n v="790000"/>
    <n v="7.9"/>
    <s v="Full Time"/>
    <s v="Hybrid"/>
    <d v="2026-08-28T00:00:00"/>
    <x v="13"/>
  </r>
  <r>
    <s v="Job0308"/>
    <s v="Ai/Ml Analyst"/>
    <s v="Kpmg India"/>
    <s v="Noida"/>
    <s v="1-3 Years"/>
    <n v="790000"/>
    <n v="7.9"/>
    <s v="Full Time"/>
    <s v="Hybrid"/>
    <d v="2026-08-28T00:00:00"/>
    <x v="12"/>
  </r>
  <r>
    <s v="Job0049"/>
    <s v="Bi Analyst"/>
    <s v="Hsbc India"/>
    <s v="Hyderabad"/>
    <s v="0-2 Years"/>
    <n v="615000"/>
    <n v="6.15"/>
    <s v="Contract"/>
    <s v="Hybrid"/>
    <d v="2026-07-20T00:00:00"/>
    <x v="10"/>
  </r>
  <r>
    <s v="Job0049"/>
    <s v="Bi Analyst"/>
    <s v="Hsbc India"/>
    <s v="Hyderabad"/>
    <s v="0-2 Years"/>
    <n v="615000"/>
    <n v="6.15"/>
    <s v="Contract"/>
    <s v="Hybrid"/>
    <d v="2026-07-20T00:00:00"/>
    <x v="11"/>
  </r>
  <r>
    <s v="Job0049"/>
    <s v="Bi Analyst"/>
    <s v="Hsbc India"/>
    <s v="Hyderabad"/>
    <s v="0-2 Years"/>
    <n v="615000"/>
    <n v="6.15"/>
    <s v="Contract"/>
    <s v="Hybrid"/>
    <d v="2026-07-20T00:00:00"/>
    <x v="5"/>
  </r>
  <r>
    <s v="Job0146"/>
    <s v="Business Analyst"/>
    <s v="Adobe India"/>
    <s v="Kolkata"/>
    <s v="2-5 Years"/>
    <n v="990000"/>
    <n v="9.9"/>
    <s v="Full Time"/>
    <s v="On-Site"/>
    <d v="2026-05-10T00:00:00"/>
    <x v="2"/>
  </r>
  <r>
    <s v="Job0146"/>
    <s v="Business Analyst"/>
    <s v="Adobe India"/>
    <s v="Kolkata"/>
    <s v="2-5 Years"/>
    <n v="990000"/>
    <n v="9.9"/>
    <s v="Full Time"/>
    <s v="On-Site"/>
    <d v="2026-05-10T00:00:00"/>
    <x v="1"/>
  </r>
  <r>
    <s v="Job0146"/>
    <s v="Business Analyst"/>
    <s v="Adobe India"/>
    <s v="Kolkata"/>
    <s v="2-5 Years"/>
    <n v="990000"/>
    <n v="9.9"/>
    <s v="Full Time"/>
    <s v="On-Site"/>
    <d v="2026-05-10T00:00:00"/>
    <x v="8"/>
  </r>
  <r>
    <s v="Job0119"/>
    <s v="Product Data Analyst"/>
    <s v="Quantiphi"/>
    <s v="Chennai"/>
    <s v="0-2 Years"/>
    <n v="640000"/>
    <n v="6.4"/>
    <s v="Contract"/>
    <s v="Hybrid"/>
    <d v="2026-03-11T00:00:00"/>
    <x v="8"/>
  </r>
  <r>
    <s v="Job0119"/>
    <s v="Product Data Analyst"/>
    <s v="Quantiphi"/>
    <s v="Chennai"/>
    <s v="0-2 Years"/>
    <n v="640000"/>
    <n v="6.4"/>
    <s v="Contract"/>
    <s v="Hybrid"/>
    <d v="2026-03-11T00:00:00"/>
    <x v="0"/>
  </r>
  <r>
    <s v="Job0119"/>
    <s v="Product Data Analyst"/>
    <s v="Quantiphi"/>
    <s v="Chennai"/>
    <s v="0-2 Years"/>
    <n v="640000"/>
    <n v="6.4"/>
    <s v="Contract"/>
    <s v="Hybrid"/>
    <d v="2026-03-11T00:00:00"/>
    <x v="2"/>
  </r>
  <r>
    <s v="Job0396"/>
    <s v="Ai/Ml Analyst"/>
    <s v="Goldman Sachs India"/>
    <s v="Bangalore"/>
    <s v="0-2 Years"/>
    <n v="630000"/>
    <n v="6.3"/>
    <s v="Full Time"/>
    <s v="Hybrid"/>
    <d v="2026-05-15T00:00:00"/>
    <x v="7"/>
  </r>
  <r>
    <s v="Job0396"/>
    <s v="Ai/Ml Analyst"/>
    <s v="Goldman Sachs India"/>
    <s v="Bangalore"/>
    <s v="0-2 Years"/>
    <n v="630000"/>
    <n v="6.3"/>
    <s v="Full Time"/>
    <s v="Hybrid"/>
    <d v="2026-05-15T00:00:00"/>
    <x v="0"/>
  </r>
  <r>
    <s v="Job0396"/>
    <s v="Ai/Ml Analyst"/>
    <s v="Goldman Sachs India"/>
    <s v="Bangalore"/>
    <s v="0-2 Years"/>
    <n v="630000"/>
    <n v="6.3"/>
    <s v="Full Time"/>
    <s v="Hybrid"/>
    <d v="2026-05-15T00:00:00"/>
    <x v="3"/>
  </r>
  <r>
    <s v="Job0221"/>
    <s v="Ml Engineer"/>
    <s v="Unacademy"/>
    <s v="Ahmedabad"/>
    <s v="0-2 Years"/>
    <n v="410000"/>
    <n v="4.0999999999999996"/>
    <s v="Full Time"/>
    <s v="Hybrid"/>
    <d v="2026-03-05T00:00:00"/>
    <x v="6"/>
  </r>
  <r>
    <s v="Job0221"/>
    <s v="Ml Engineer"/>
    <s v="Unacademy"/>
    <s v="Ahmedabad"/>
    <s v="0-2 Years"/>
    <n v="410000"/>
    <n v="4.0999999999999996"/>
    <s v="Full Time"/>
    <s v="Hybrid"/>
    <d v="2026-03-05T00:00:00"/>
    <x v="7"/>
  </r>
  <r>
    <s v="Job0221"/>
    <s v="Ml Engineer"/>
    <s v="Unacademy"/>
    <s v="Ahmedabad"/>
    <s v="0-2 Years"/>
    <n v="410000"/>
    <n v="4.0999999999999996"/>
    <s v="Full Time"/>
    <s v="Hybrid"/>
    <d v="2026-03-05T00:00:00"/>
    <x v="3"/>
  </r>
  <r>
    <s v="Job0402"/>
    <s v="Bi Analyst"/>
    <s v="Mu Sigma"/>
    <s v="Bangalore"/>
    <s v="1-3 Years"/>
    <n v="830000"/>
    <n v="8.3000000000000007"/>
    <s v="Full Time"/>
    <s v="Hybrid"/>
    <d v="2026-04-06T00:00:00"/>
    <x v="8"/>
  </r>
  <r>
    <s v="Job0402"/>
    <s v="Bi Analyst"/>
    <s v="Mu Sigma"/>
    <s v="Bangalore"/>
    <s v="1-3 Years"/>
    <n v="830000"/>
    <n v="8.3000000000000007"/>
    <s v="Full Time"/>
    <s v="Hybrid"/>
    <d v="2026-04-06T00:00:00"/>
    <x v="3"/>
  </r>
  <r>
    <s v="Job0402"/>
    <s v="Bi Analyst"/>
    <s v="Mu Sigma"/>
    <s v="Bangalore"/>
    <s v="1-3 Years"/>
    <n v="830000"/>
    <n v="8.3000000000000007"/>
    <s v="Full Time"/>
    <s v="Hybrid"/>
    <d v="2026-04-06T00:00:00"/>
    <x v="13"/>
  </r>
  <r>
    <s v="Job0407"/>
    <s v="Data Scientist"/>
    <s v="Amazon India"/>
    <s v="Pune"/>
    <s v="5+ Years"/>
    <n v="2705000"/>
    <n v="27.05"/>
    <s v="Contract"/>
    <s v="On-Site"/>
    <d v="2026-07-17T00:00:00"/>
    <x v="5"/>
  </r>
  <r>
    <s v="Job0407"/>
    <s v="Data Scientist"/>
    <s v="Amazon India"/>
    <s v="Pune"/>
    <s v="5+ Years"/>
    <n v="2705000"/>
    <n v="27.05"/>
    <s v="Contract"/>
    <s v="On-Site"/>
    <d v="2026-07-17T00:00:00"/>
    <x v="3"/>
  </r>
  <r>
    <s v="Job0407"/>
    <s v="Data Scientist"/>
    <s v="Amazon India"/>
    <s v="Pune"/>
    <s v="5+ Years"/>
    <n v="2705000"/>
    <n v="27.05"/>
    <s v="Contract"/>
    <s v="On-Site"/>
    <d v="2026-07-17T00:00:00"/>
    <x v="6"/>
  </r>
  <r>
    <s v="Job0338"/>
    <s v="Ai Engineer"/>
    <s v="Tata Consultancy Services"/>
    <s v="Bangalore"/>
    <s v="0-2 Years"/>
    <n v="490000"/>
    <n v="4.9000000000000004"/>
    <s v="Contract"/>
    <s v="On-Site"/>
    <d v="2026-03-26T00:00:00"/>
    <x v="6"/>
  </r>
  <r>
    <s v="Job0338"/>
    <s v="Ai Engineer"/>
    <s v="Tata Consultancy Services"/>
    <s v="Bangalore"/>
    <s v="0-2 Years"/>
    <n v="490000"/>
    <n v="4.9000000000000004"/>
    <s v="Contract"/>
    <s v="On-Site"/>
    <d v="2026-03-26T00:00:00"/>
    <x v="7"/>
  </r>
  <r>
    <s v="Job0338"/>
    <s v="Ai Engineer"/>
    <s v="Tata Consultancy Services"/>
    <s v="Bangalore"/>
    <s v="0-2 Years"/>
    <n v="490000"/>
    <n v="4.9000000000000004"/>
    <s v="Contract"/>
    <s v="On-Site"/>
    <d v="2026-03-26T00:00:00"/>
    <x v="10"/>
  </r>
  <r>
    <s v="Job0197"/>
    <s v="Business Analyst"/>
    <s v="American Express India"/>
    <s v="Delhi"/>
    <s v="2-5 Years"/>
    <n v="905000"/>
    <n v="9.0500000000000007"/>
    <s v="Full Time"/>
    <s v="Hybrid"/>
    <d v="2026-04-25T00:00:00"/>
    <x v="2"/>
  </r>
  <r>
    <s v="Job0197"/>
    <s v="Business Analyst"/>
    <s v="American Express India"/>
    <s v="Delhi"/>
    <s v="2-5 Years"/>
    <n v="905000"/>
    <n v="9.0500000000000007"/>
    <s v="Full Time"/>
    <s v="Hybrid"/>
    <d v="2026-04-25T00:00:00"/>
    <x v="0"/>
  </r>
  <r>
    <s v="Job0197"/>
    <s v="Business Analyst"/>
    <s v="American Express India"/>
    <s v="Delhi"/>
    <s v="2-5 Years"/>
    <n v="905000"/>
    <n v="9.0500000000000007"/>
    <s v="Full Time"/>
    <s v="Hybrid"/>
    <d v="2026-04-25T00:00:00"/>
    <x v="8"/>
  </r>
  <r>
    <s v="Job0357"/>
    <s v="Data Scientist"/>
    <s v="Paytm"/>
    <s v="Ahmedabad"/>
    <s v="3-5 Years"/>
    <n v="1945000"/>
    <n v="19.45"/>
    <s v="Contract"/>
    <s v="Hybrid"/>
    <d v="2026-07-30T00:00:00"/>
    <x v="9"/>
  </r>
  <r>
    <s v="Job0357"/>
    <s v="Data Scientist"/>
    <s v="Paytm"/>
    <s v="Ahmedabad"/>
    <s v="3-5 Years"/>
    <n v="1945000"/>
    <n v="19.45"/>
    <s v="Contract"/>
    <s v="Hybrid"/>
    <d v="2026-07-30T00:00:00"/>
    <x v="2"/>
  </r>
  <r>
    <s v="Job0357"/>
    <s v="Data Scientist"/>
    <s v="Paytm"/>
    <s v="Ahmedabad"/>
    <s v="3-5 Years"/>
    <n v="1945000"/>
    <n v="19.45"/>
    <s v="Contract"/>
    <s v="Hybrid"/>
    <d v="2026-07-30T00:00:00"/>
    <x v="6"/>
  </r>
  <r>
    <s v="Job0468"/>
    <s v="Ml Engineer"/>
    <s v="Nykaa"/>
    <s v="Bangalore"/>
    <s v="0-2 Years"/>
    <n v="665000"/>
    <n v="6.65"/>
    <s v="Full Time"/>
    <s v="Hybrid"/>
    <d v="2026-05-27T00:00:00"/>
    <x v="2"/>
  </r>
  <r>
    <s v="Job0468"/>
    <s v="Ml Engineer"/>
    <s v="Nykaa"/>
    <s v="Bangalore"/>
    <s v="0-2 Years"/>
    <n v="665000"/>
    <n v="6.65"/>
    <s v="Full Time"/>
    <s v="Hybrid"/>
    <d v="2026-05-27T00:00:00"/>
    <x v="13"/>
  </r>
  <r>
    <s v="Job0468"/>
    <s v="Ml Engineer"/>
    <s v="Nykaa"/>
    <s v="Bangalore"/>
    <s v="0-2 Years"/>
    <n v="665000"/>
    <n v="6.65"/>
    <s v="Full Time"/>
    <s v="Hybrid"/>
    <d v="2026-05-27T00:00:00"/>
    <x v="3"/>
  </r>
  <r>
    <s v="Job0273"/>
    <s v="Business Analyst"/>
    <s v="Paytm"/>
    <s v="Hyderabad"/>
    <s v="1-3 Years"/>
    <n v="525000"/>
    <n v="5.25"/>
    <s v="Full Time"/>
    <s v="Hybrid"/>
    <d v="2026-08-23T00:00:00"/>
    <x v="5"/>
  </r>
  <r>
    <s v="Job0273"/>
    <s v="Business Analyst"/>
    <s v="Paytm"/>
    <s v="Hyderabad"/>
    <s v="1-3 Years"/>
    <n v="525000"/>
    <n v="5.25"/>
    <s v="Full Time"/>
    <s v="Hybrid"/>
    <d v="2026-08-23T00:00:00"/>
    <x v="10"/>
  </r>
  <r>
    <s v="Job0273"/>
    <s v="Business Analyst"/>
    <s v="Paytm"/>
    <s v="Hyderabad"/>
    <s v="1-3 Years"/>
    <n v="525000"/>
    <n v="5.25"/>
    <s v="Full Time"/>
    <s v="Hybrid"/>
    <d v="2026-08-23T00:00:00"/>
    <x v="7"/>
  </r>
  <r>
    <s v="Job0039"/>
    <s v="Data Scientist"/>
    <s v="Icici Bank"/>
    <s v="Bangalore"/>
    <s v="0-2 Years"/>
    <n v="380000"/>
    <n v="3.8"/>
    <s v="Internship"/>
    <s v="On-Site"/>
    <d v="2026-08-17T00:00:00"/>
    <x v="13"/>
  </r>
  <r>
    <s v="Job0039"/>
    <s v="Data Scientist"/>
    <s v="Icici Bank"/>
    <s v="Bangalore"/>
    <s v="0-2 Years"/>
    <n v="380000"/>
    <n v="3.8"/>
    <s v="Internship"/>
    <s v="On-Site"/>
    <d v="2026-08-17T00:00:00"/>
    <x v="11"/>
  </r>
  <r>
    <s v="Job0039"/>
    <s v="Data Scientist"/>
    <s v="Icici Bank"/>
    <s v="Bangalore"/>
    <s v="0-2 Years"/>
    <n v="380000"/>
    <n v="3.8"/>
    <s v="Internship"/>
    <s v="On-Site"/>
    <d v="2026-08-17T00:00:00"/>
    <x v="8"/>
  </r>
  <r>
    <s v="Job0145"/>
    <s v="Data Scientist"/>
    <s v="Google India"/>
    <s v="Hyderabad"/>
    <s v="3-5 Years"/>
    <n v="1145000"/>
    <n v="11.45"/>
    <s v="Full Time"/>
    <s v="Remote"/>
    <d v="2026-08-19T00:00:00"/>
    <x v="6"/>
  </r>
  <r>
    <s v="Job0145"/>
    <s v="Data Scientist"/>
    <s v="Google India"/>
    <s v="Hyderabad"/>
    <s v="3-5 Years"/>
    <n v="1145000"/>
    <n v="11.45"/>
    <s v="Full Time"/>
    <s v="Remote"/>
    <d v="2026-08-19T00:00:00"/>
    <x v="1"/>
  </r>
  <r>
    <s v="Job0145"/>
    <s v="Data Scientist"/>
    <s v="Google India"/>
    <s v="Hyderabad"/>
    <s v="3-5 Years"/>
    <n v="1145000"/>
    <n v="11.45"/>
    <s v="Full Time"/>
    <s v="Remote"/>
    <d v="2026-08-19T00:00:00"/>
    <x v="13"/>
  </r>
  <r>
    <s v="Job0081"/>
    <s v="Ml Engineer"/>
    <s v="Razorpay"/>
    <s v="Kolkata"/>
    <s v="2-5 Years"/>
    <n v="1020000"/>
    <n v="10.199999999999999"/>
    <s v="Full Time"/>
    <s v="Hybrid"/>
    <d v="2026-08-20T00:00:00"/>
    <x v="6"/>
  </r>
  <r>
    <s v="Job0081"/>
    <s v="Ml Engineer"/>
    <s v="Razorpay"/>
    <s v="Kolkata"/>
    <s v="2-5 Years"/>
    <n v="1020000"/>
    <n v="10.199999999999999"/>
    <s v="Full Time"/>
    <s v="Hybrid"/>
    <d v="2026-08-20T00:00:00"/>
    <x v="7"/>
  </r>
  <r>
    <s v="Job0081"/>
    <s v="Ml Engineer"/>
    <s v="Razorpay"/>
    <s v="Kolkata"/>
    <s v="2-5 Years"/>
    <n v="1020000"/>
    <n v="10.199999999999999"/>
    <s v="Full Time"/>
    <s v="Hybrid"/>
    <d v="2026-08-20T00:00:00"/>
    <x v="9"/>
  </r>
  <r>
    <s v="Job0478"/>
    <s v="Product Data Analyst"/>
    <s v="Flipkart"/>
    <s v="Mumbai"/>
    <s v="1-3 Years"/>
    <n v="650000"/>
    <n v="6.5"/>
    <s v="Full Time"/>
    <s v="On-Site"/>
    <d v="2026-07-17T00:00:00"/>
    <x v="5"/>
  </r>
  <r>
    <s v="Job0478"/>
    <s v="Product Data Analyst"/>
    <s v="Flipkart"/>
    <s v="Mumbai"/>
    <s v="1-3 Years"/>
    <n v="650000"/>
    <n v="6.5"/>
    <s v="Full Time"/>
    <s v="On-Site"/>
    <d v="2026-07-17T00:00:00"/>
    <x v="10"/>
  </r>
  <r>
    <s v="Job0478"/>
    <s v="Product Data Analyst"/>
    <s v="Flipkart"/>
    <s v="Mumbai"/>
    <s v="1-3 Years"/>
    <n v="650000"/>
    <n v="6.5"/>
    <s v="Full Time"/>
    <s v="On-Site"/>
    <d v="2026-07-17T00:00:00"/>
    <x v="4"/>
  </r>
  <r>
    <s v="Job0341"/>
    <s v="Business Analyst"/>
    <s v="Samsung R&amp;D Institute India"/>
    <s v="Noida"/>
    <s v="1-3 Years"/>
    <n v="1035000"/>
    <n v="10.35"/>
    <s v="Full Time"/>
    <s v="On-Site"/>
    <d v="2026-01-03T00:00:00"/>
    <x v="8"/>
  </r>
  <r>
    <s v="Job0341"/>
    <s v="Business Analyst"/>
    <s v="Samsung R&amp;D Institute India"/>
    <s v="Noida"/>
    <s v="1-3 Years"/>
    <n v="1035000"/>
    <n v="10.35"/>
    <s v="Full Time"/>
    <s v="On-Site"/>
    <d v="2026-01-03T00:00:00"/>
    <x v="12"/>
  </r>
  <r>
    <s v="Job0341"/>
    <s v="Business Analyst"/>
    <s v="Samsung R&amp;D Institute India"/>
    <s v="Noida"/>
    <s v="1-3 Years"/>
    <n v="1035000"/>
    <n v="10.35"/>
    <s v="Full Time"/>
    <s v="On-Site"/>
    <d v="2026-01-03T00:00:00"/>
    <x v="5"/>
  </r>
  <r>
    <s v="Job0217"/>
    <s v="Data Analyst"/>
    <s v="Policybazaar"/>
    <s v="Hyderabad"/>
    <s v="5+ Years"/>
    <n v="2435000"/>
    <n v="24.35"/>
    <s v="Contract"/>
    <s v="Hybrid"/>
    <d v="2026-07-18T00:00:00"/>
    <x v="0"/>
  </r>
  <r>
    <s v="Job0217"/>
    <s v="Data Analyst"/>
    <s v="Policybazaar"/>
    <s v="Hyderabad"/>
    <s v="5+ Years"/>
    <n v="2435000"/>
    <n v="24.35"/>
    <s v="Contract"/>
    <s v="Hybrid"/>
    <d v="2026-07-18T00:00:00"/>
    <x v="11"/>
  </r>
  <r>
    <s v="Job0217"/>
    <s v="Data Analyst"/>
    <s v="Policybazaar"/>
    <s v="Hyderabad"/>
    <s v="5+ Years"/>
    <n v="2435000"/>
    <n v="24.35"/>
    <s v="Contract"/>
    <s v="Hybrid"/>
    <d v="2026-07-18T00:00:00"/>
    <x v="12"/>
  </r>
  <r>
    <s v="Job0491"/>
    <s v="Business Analyst"/>
    <s v="Reliance Jio"/>
    <s v="Bangalore"/>
    <s v="2-5 Years"/>
    <n v="1355000"/>
    <n v="13.55"/>
    <s v="Full Time"/>
    <s v="On-Site"/>
    <d v="2026-01-05T00:00:00"/>
    <x v="4"/>
  </r>
  <r>
    <s v="Job0491"/>
    <s v="Business Analyst"/>
    <s v="Reliance Jio"/>
    <s v="Bangalore"/>
    <s v="2-5 Years"/>
    <n v="1355000"/>
    <n v="13.55"/>
    <s v="Full Time"/>
    <s v="On-Site"/>
    <d v="2026-01-05T00:00:00"/>
    <x v="7"/>
  </r>
  <r>
    <s v="Job0491"/>
    <s v="Business Analyst"/>
    <s v="Reliance Jio"/>
    <s v="Bangalore"/>
    <s v="2-5 Years"/>
    <n v="1355000"/>
    <n v="13.55"/>
    <s v="Full Time"/>
    <s v="On-Site"/>
    <d v="2026-01-05T00:00:00"/>
    <x v="0"/>
  </r>
  <r>
    <s v="Job0254"/>
    <s v="Bi Analyst"/>
    <s v="Quantiphi"/>
    <s v="Noida"/>
    <s v="1-3 Years"/>
    <n v="885000"/>
    <n v="8.85"/>
    <s v="Contract"/>
    <s v="Hybrid"/>
    <d v="2026-04-08T00:00:00"/>
    <x v="14"/>
  </r>
  <r>
    <s v="Job0254"/>
    <s v="Bi Analyst"/>
    <s v="Quantiphi"/>
    <s v="Noida"/>
    <s v="1-3 Years"/>
    <n v="885000"/>
    <n v="8.85"/>
    <s v="Contract"/>
    <s v="Hybrid"/>
    <d v="2026-04-08T00:00:00"/>
    <x v="4"/>
  </r>
  <r>
    <s v="Job0254"/>
    <s v="Bi Analyst"/>
    <s v="Quantiphi"/>
    <s v="Noida"/>
    <s v="1-3 Years"/>
    <n v="885000"/>
    <n v="8.85"/>
    <s v="Contract"/>
    <s v="Hybrid"/>
    <d v="2026-04-08T00:00:00"/>
    <x v="2"/>
  </r>
  <r>
    <s v="Job0153"/>
    <s v="Ml Engineer"/>
    <s v="Razorpay"/>
    <s v="Pune"/>
    <s v="5+ Years"/>
    <n v="2995000"/>
    <n v="29.95"/>
    <s v="Full Time"/>
    <s v="On-Site"/>
    <d v="2026-02-18T00:00:00"/>
    <x v="3"/>
  </r>
  <r>
    <s v="Job0153"/>
    <s v="Ml Engineer"/>
    <s v="Razorpay"/>
    <s v="Pune"/>
    <s v="5+ Years"/>
    <n v="2995000"/>
    <n v="29.95"/>
    <s v="Full Time"/>
    <s v="On-Site"/>
    <d v="2026-02-18T00:00:00"/>
    <x v="9"/>
  </r>
  <r>
    <s v="Job0153"/>
    <s v="Ml Engineer"/>
    <s v="Razorpay"/>
    <s v="Pune"/>
    <s v="5+ Years"/>
    <n v="2995000"/>
    <n v="29.95"/>
    <s v="Full Time"/>
    <s v="On-Site"/>
    <d v="2026-02-18T00:00:00"/>
    <x v="13"/>
  </r>
  <r>
    <s v="Job0169"/>
    <s v="Ai/Ml Analyst"/>
    <s v="Swiggy"/>
    <s v="Kolkata"/>
    <s v="5+ Years"/>
    <n v="2035000"/>
    <n v="20.350000000000001"/>
    <s v="Full Time"/>
    <s v="Hybrid"/>
    <d v="2026-04-25T00:00:00"/>
    <x v="0"/>
  </r>
  <r>
    <s v="Job0169"/>
    <s v="Ai/Ml Analyst"/>
    <s v="Swiggy"/>
    <s v="Kolkata"/>
    <s v="5+ Years"/>
    <n v="2035000"/>
    <n v="20.350000000000001"/>
    <s v="Full Time"/>
    <s v="Hybrid"/>
    <d v="2026-04-25T00:00:00"/>
    <x v="9"/>
  </r>
  <r>
    <s v="Job0169"/>
    <s v="Ai/Ml Analyst"/>
    <s v="Swiggy"/>
    <s v="Kolkata"/>
    <s v="5+ Years"/>
    <n v="2035000"/>
    <n v="20.350000000000001"/>
    <s v="Full Time"/>
    <s v="Hybrid"/>
    <d v="2026-04-25T00:00:00"/>
    <x v="8"/>
  </r>
  <r>
    <s v="Job0194"/>
    <s v="Bi Analyst"/>
    <s v="Delhivery"/>
    <s v="Delhi"/>
    <s v="3-5 Years"/>
    <n v="1905000"/>
    <n v="19.05"/>
    <s v="Full Time"/>
    <s v="On-Site"/>
    <d v="2026-03-01T00:00:00"/>
    <x v="12"/>
  </r>
  <r>
    <s v="Job0194"/>
    <s v="Bi Analyst"/>
    <s v="Delhivery"/>
    <s v="Delhi"/>
    <s v="3-5 Years"/>
    <n v="1905000"/>
    <n v="19.05"/>
    <s v="Full Time"/>
    <s v="On-Site"/>
    <d v="2026-03-01T00:00:00"/>
    <x v="3"/>
  </r>
  <r>
    <s v="Job0194"/>
    <s v="Bi Analyst"/>
    <s v="Delhivery"/>
    <s v="Delhi"/>
    <s v="3-5 Years"/>
    <n v="1905000"/>
    <n v="19.05"/>
    <s v="Full Time"/>
    <s v="On-Site"/>
    <d v="2026-03-01T00:00:00"/>
    <x v="2"/>
  </r>
  <r>
    <s v="Job0040"/>
    <s v="Ai/Ml Analyst"/>
    <s v="Tata Consultancy Services"/>
    <s v="Ahmedabad"/>
    <s v="3-5 Years"/>
    <n v="2075000"/>
    <n v="20.75"/>
    <s v="Full Time"/>
    <s v="Hybrid"/>
    <d v="2026-05-05T00:00:00"/>
    <x v="8"/>
  </r>
  <r>
    <s v="Job0040"/>
    <s v="Ai/Ml Analyst"/>
    <s v="Tata Consultancy Services"/>
    <s v="Ahmedabad"/>
    <s v="3-5 Years"/>
    <n v="2075000"/>
    <n v="20.75"/>
    <s v="Full Time"/>
    <s v="Hybrid"/>
    <d v="2026-05-05T00:00:00"/>
    <x v="11"/>
  </r>
  <r>
    <s v="Job0040"/>
    <s v="Ai/Ml Analyst"/>
    <s v="Tata Consultancy Services"/>
    <s v="Ahmedabad"/>
    <s v="3-5 Years"/>
    <n v="2075000"/>
    <n v="20.75"/>
    <s v="Full Time"/>
    <s v="Hybrid"/>
    <d v="2026-05-05T00:00:00"/>
    <x v="7"/>
  </r>
  <r>
    <s v="Job0489"/>
    <s v="Product Data Analyst"/>
    <s v="Persistent Systems"/>
    <s v="Kolkata"/>
    <s v="0-2 Years"/>
    <n v="720000"/>
    <n v="7.2"/>
    <s v="Full Time"/>
    <s v="Hybrid"/>
    <d v="2026-07-27T00:00:00"/>
    <x v="2"/>
  </r>
  <r>
    <s v="Job0489"/>
    <s v="Product Data Analyst"/>
    <s v="Persistent Systems"/>
    <s v="Kolkata"/>
    <s v="0-2 Years"/>
    <n v="720000"/>
    <n v="7.2"/>
    <s v="Full Time"/>
    <s v="Hybrid"/>
    <d v="2026-07-27T00:00:00"/>
    <x v="12"/>
  </r>
  <r>
    <s v="Job0489"/>
    <s v="Product Data Analyst"/>
    <s v="Persistent Systems"/>
    <s v="Kolkata"/>
    <s v="0-2 Years"/>
    <n v="720000"/>
    <n v="7.2"/>
    <s v="Full Time"/>
    <s v="Hybrid"/>
    <d v="2026-07-27T00:00:00"/>
    <x v="9"/>
  </r>
  <r>
    <s v="Job0007"/>
    <s v="Data Analyst"/>
    <s v="Razorpay"/>
    <s v="Pune"/>
    <s v="2-5 Years"/>
    <n v="1200000"/>
    <n v="12"/>
    <s v="Full Time"/>
    <s v="On-Site"/>
    <d v="2026-08-15T00:00:00"/>
    <x v="8"/>
  </r>
  <r>
    <s v="Job0007"/>
    <s v="Data Analyst"/>
    <s v="Razorpay"/>
    <s v="Pune"/>
    <s v="2-5 Years"/>
    <n v="1200000"/>
    <n v="12"/>
    <s v="Full Time"/>
    <s v="On-Site"/>
    <d v="2026-08-15T00:00:00"/>
    <x v="10"/>
  </r>
  <r>
    <s v="Job0007"/>
    <s v="Data Analyst"/>
    <s v="Razorpay"/>
    <s v="Pune"/>
    <s v="2-5 Years"/>
    <n v="1200000"/>
    <n v="12"/>
    <s v="Full Time"/>
    <s v="On-Site"/>
    <d v="2026-08-15T00:00:00"/>
    <x v="3"/>
  </r>
  <r>
    <s v="Job0133"/>
    <s v="Bi Analyst"/>
    <s v="Tech Mahindra"/>
    <s v="Kolkata"/>
    <s v="0-2 Years"/>
    <n v="310000"/>
    <n v="3.1"/>
    <s v="Internship"/>
    <s v="On-Site"/>
    <d v="2026-01-30T00:00:00"/>
    <x v="8"/>
  </r>
  <r>
    <s v="Job0133"/>
    <s v="Bi Analyst"/>
    <s v="Tech Mahindra"/>
    <s v="Kolkata"/>
    <s v="0-2 Years"/>
    <n v="310000"/>
    <n v="3.1"/>
    <s v="Internship"/>
    <s v="On-Site"/>
    <d v="2026-01-30T00:00:00"/>
    <x v="5"/>
  </r>
  <r>
    <s v="Job0133"/>
    <s v="Bi Analyst"/>
    <s v="Tech Mahindra"/>
    <s v="Kolkata"/>
    <s v="0-2 Years"/>
    <n v="310000"/>
    <n v="3.1"/>
    <s v="Internship"/>
    <s v="On-Site"/>
    <d v="2026-01-30T00:00:00"/>
    <x v="10"/>
  </r>
  <r>
    <s v="Job0447"/>
    <s v="Ai/Ml Analyst"/>
    <s v="Microsoft India"/>
    <s v="Delhi"/>
    <s v="1-3 Years"/>
    <n v="960000"/>
    <n v="9.6"/>
    <s v="Full Time"/>
    <s v="On-Site"/>
    <d v="2026-07-02T00:00:00"/>
    <x v="9"/>
  </r>
  <r>
    <s v="Job0447"/>
    <s v="Ai/Ml Analyst"/>
    <s v="Microsoft India"/>
    <s v="Delhi"/>
    <s v="1-3 Years"/>
    <n v="960000"/>
    <n v="9.6"/>
    <s v="Full Time"/>
    <s v="On-Site"/>
    <d v="2026-07-02T00:00:00"/>
    <x v="0"/>
  </r>
  <r>
    <s v="Job0447"/>
    <s v="Ai/Ml Analyst"/>
    <s v="Microsoft India"/>
    <s v="Delhi"/>
    <s v="1-3 Years"/>
    <n v="960000"/>
    <n v="9.6"/>
    <s v="Full Time"/>
    <s v="On-Site"/>
    <d v="2026-07-02T00:00:00"/>
    <x v="8"/>
  </r>
  <r>
    <s v="Job0116"/>
    <s v="Business Analyst"/>
    <s v="Deloitte India"/>
    <s v="Chennai"/>
    <s v="0-2 Years"/>
    <n v="580000"/>
    <n v="5.8"/>
    <s v="Full Time"/>
    <s v="On-Site"/>
    <d v="2026-02-11T00:00:00"/>
    <x v="12"/>
  </r>
  <r>
    <s v="Job0116"/>
    <s v="Business Analyst"/>
    <s v="Deloitte India"/>
    <s v="Chennai"/>
    <s v="0-2 Years"/>
    <n v="580000"/>
    <n v="5.8"/>
    <s v="Full Time"/>
    <s v="On-Site"/>
    <d v="2026-02-11T00:00:00"/>
    <x v="7"/>
  </r>
  <r>
    <s v="Job0116"/>
    <s v="Business Analyst"/>
    <s v="Deloitte India"/>
    <s v="Chennai"/>
    <s v="0-2 Years"/>
    <n v="580000"/>
    <n v="5.8"/>
    <s v="Full Time"/>
    <s v="On-Site"/>
    <d v="2026-02-11T00:00:00"/>
    <x v="0"/>
  </r>
  <r>
    <s v="Job0444"/>
    <s v="Data Analyst"/>
    <s v="Oracle India"/>
    <s v="Noida"/>
    <s v="5+ Years"/>
    <n v="4045000"/>
    <n v="40.450000000000003"/>
    <s v="Full Time"/>
    <s v="Hybrid"/>
    <d v="2026-07-01T00:00:00"/>
    <x v="5"/>
  </r>
  <r>
    <s v="Job0444"/>
    <s v="Data Analyst"/>
    <s v="Oracle India"/>
    <s v="Noida"/>
    <s v="5+ Years"/>
    <n v="4045000"/>
    <n v="40.450000000000003"/>
    <s v="Full Time"/>
    <s v="Hybrid"/>
    <d v="2026-07-01T00:00:00"/>
    <x v="8"/>
  </r>
  <r>
    <s v="Job0444"/>
    <s v="Data Analyst"/>
    <s v="Oracle India"/>
    <s v="Noida"/>
    <s v="5+ Years"/>
    <n v="4045000"/>
    <n v="40.450000000000003"/>
    <s v="Full Time"/>
    <s v="Hybrid"/>
    <d v="2026-07-01T00:00:00"/>
    <x v="12"/>
  </r>
  <r>
    <s v="Job0080"/>
    <s v="Ai Engineer"/>
    <s v="Nykaa"/>
    <s v="Chennai"/>
    <s v="0-2 Years"/>
    <n v="790000"/>
    <n v="7.9"/>
    <s v="Full Time"/>
    <s v="Hybrid"/>
    <d v="2026-05-08T00:00:00"/>
    <x v="9"/>
  </r>
  <r>
    <s v="Job0080"/>
    <s v="Ai Engineer"/>
    <s v="Nykaa"/>
    <s v="Chennai"/>
    <s v="0-2 Years"/>
    <n v="790000"/>
    <n v="7.9"/>
    <s v="Full Time"/>
    <s v="Hybrid"/>
    <d v="2026-05-08T00:00:00"/>
    <x v="11"/>
  </r>
  <r>
    <s v="Job0080"/>
    <s v="Ai Engineer"/>
    <s v="Nykaa"/>
    <s v="Chennai"/>
    <s v="0-2 Years"/>
    <n v="790000"/>
    <n v="7.9"/>
    <s v="Full Time"/>
    <s v="Hybrid"/>
    <d v="2026-05-08T00:00:00"/>
    <x v="7"/>
  </r>
  <r>
    <s v="Job0018"/>
    <s v="Data Scientist"/>
    <s v="Bajaj Finserv"/>
    <s v="Ahmedabad"/>
    <s v="0-2 Years"/>
    <n v="450000"/>
    <n v="4.5"/>
    <s v="Internship"/>
    <s v="On-Site"/>
    <d v="2026-04-15T00:00:00"/>
    <x v="11"/>
  </r>
  <r>
    <s v="Job0018"/>
    <s v="Data Scientist"/>
    <s v="Bajaj Finserv"/>
    <s v="Ahmedabad"/>
    <s v="0-2 Years"/>
    <n v="450000"/>
    <n v="4.5"/>
    <s v="Internship"/>
    <s v="On-Site"/>
    <d v="2026-04-15T00:00:00"/>
    <x v="12"/>
  </r>
  <r>
    <s v="Job0018"/>
    <s v="Data Scientist"/>
    <s v="Bajaj Finserv"/>
    <s v="Ahmedabad"/>
    <s v="0-2 Years"/>
    <n v="450000"/>
    <n v="4.5"/>
    <s v="Internship"/>
    <s v="On-Site"/>
    <d v="2026-04-15T00:00:00"/>
    <x v="9"/>
  </r>
  <r>
    <s v="Job0134"/>
    <s v="Data Analyst"/>
    <s v="Flipkart"/>
    <s v="Gurugram"/>
    <s v="5+ Years"/>
    <n v="2720000"/>
    <n v="27.2"/>
    <s v="Full Time"/>
    <s v="Hybrid"/>
    <d v="2026-02-21T00:00:00"/>
    <x v="5"/>
  </r>
  <r>
    <s v="Job0134"/>
    <s v="Data Analyst"/>
    <s v="Flipkart"/>
    <s v="Gurugram"/>
    <s v="5+ Years"/>
    <n v="2720000"/>
    <n v="27.2"/>
    <s v="Full Time"/>
    <s v="Hybrid"/>
    <d v="2026-02-21T00:00:00"/>
    <x v="8"/>
  </r>
  <r>
    <s v="Job0134"/>
    <s v="Data Analyst"/>
    <s v="Flipkart"/>
    <s v="Gurugram"/>
    <s v="5+ Years"/>
    <n v="2720000"/>
    <n v="27.2"/>
    <s v="Full Time"/>
    <s v="Hybrid"/>
    <d v="2026-02-21T00:00:00"/>
    <x v="10"/>
  </r>
  <r>
    <s v="Job0303"/>
    <s v="Data Analyst"/>
    <s v="Nykaa"/>
    <s v="Delhi"/>
    <s v="2-5 Years"/>
    <n v="1225000"/>
    <n v="12.25"/>
    <s v="Full Time"/>
    <s v="On-Site"/>
    <d v="2026-06-19T00:00:00"/>
    <x v="2"/>
  </r>
  <r>
    <s v="Job0303"/>
    <s v="Data Analyst"/>
    <s v="Nykaa"/>
    <s v="Delhi"/>
    <s v="2-5 Years"/>
    <n v="1225000"/>
    <n v="12.25"/>
    <s v="Full Time"/>
    <s v="On-Site"/>
    <d v="2026-06-19T00:00:00"/>
    <x v="11"/>
  </r>
  <r>
    <s v="Job0303"/>
    <s v="Data Analyst"/>
    <s v="Nykaa"/>
    <s v="Delhi"/>
    <s v="2-5 Years"/>
    <n v="1225000"/>
    <n v="12.25"/>
    <s v="Full Time"/>
    <s v="On-Site"/>
    <d v="2026-06-19T00:00:00"/>
    <x v="9"/>
  </r>
  <r>
    <s v="Job0496"/>
    <s v="Data Analyst"/>
    <s v="Capgemini"/>
    <s v="Delhi"/>
    <s v="2-5 Years"/>
    <n v="1010000"/>
    <n v="10.1"/>
    <s v="Full Time"/>
    <s v="Hybrid"/>
    <d v="2026-07-09T00:00:00"/>
    <x v="1"/>
  </r>
  <r>
    <s v="Job0496"/>
    <s v="Data Analyst"/>
    <s v="Capgemini"/>
    <s v="Delhi"/>
    <s v="2-5 Years"/>
    <n v="1010000"/>
    <n v="10.1"/>
    <s v="Full Time"/>
    <s v="Hybrid"/>
    <d v="2026-07-09T00:00:00"/>
    <x v="2"/>
  </r>
  <r>
    <s v="Job0496"/>
    <s v="Data Analyst"/>
    <s v="Capgemini"/>
    <s v="Delhi"/>
    <s v="2-5 Years"/>
    <n v="1010000"/>
    <n v="10.1"/>
    <s v="Full Time"/>
    <s v="Hybrid"/>
    <d v="2026-07-09T00:00:00"/>
    <x v="0"/>
  </r>
  <r>
    <s v="Job0427"/>
    <s v="Machine Learning Scientist"/>
    <s v="Accenture India"/>
    <s v="Hyderabad"/>
    <s v="0-2 Years"/>
    <n v="210000"/>
    <n v="2.1"/>
    <s v="Internship"/>
    <s v="Hybrid"/>
    <d v="2026-07-18T00:00:00"/>
    <x v="12"/>
  </r>
  <r>
    <s v="Job0427"/>
    <s v="Machine Learning Scientist"/>
    <s v="Accenture India"/>
    <s v="Hyderabad"/>
    <s v="0-2 Years"/>
    <n v="210000"/>
    <n v="2.1"/>
    <s v="Internship"/>
    <s v="Hybrid"/>
    <d v="2026-07-18T00:00:00"/>
    <x v="2"/>
  </r>
  <r>
    <s v="Job0427"/>
    <s v="Machine Learning Scientist"/>
    <s v="Accenture India"/>
    <s v="Hyderabad"/>
    <s v="0-2 Years"/>
    <n v="210000"/>
    <n v="2.1"/>
    <s v="Internship"/>
    <s v="Hybrid"/>
    <d v="2026-07-18T00:00:00"/>
    <x v="1"/>
  </r>
  <r>
    <s v="Job0183"/>
    <s v="Ai Engineer"/>
    <s v="Microsoft India"/>
    <s v="Chennai"/>
    <s v="2-5 Years"/>
    <n v="1315000"/>
    <n v="13.15"/>
    <s v="Full Time"/>
    <s v="Remote"/>
    <d v="2026-08-23T00:00:00"/>
    <x v="1"/>
  </r>
  <r>
    <s v="Job0183"/>
    <s v="Ai Engineer"/>
    <s v="Microsoft India"/>
    <s v="Chennai"/>
    <s v="2-5 Years"/>
    <n v="1315000"/>
    <n v="13.15"/>
    <s v="Full Time"/>
    <s v="Remote"/>
    <d v="2026-08-23T00:00:00"/>
    <x v="4"/>
  </r>
  <r>
    <s v="Job0183"/>
    <s v="Ai Engineer"/>
    <s v="Microsoft India"/>
    <s v="Chennai"/>
    <s v="2-5 Years"/>
    <n v="1315000"/>
    <n v="13.15"/>
    <s v="Full Time"/>
    <s v="Remote"/>
    <d v="2026-08-23T00:00:00"/>
    <x v="3"/>
  </r>
  <r>
    <s v="Job0285"/>
    <s v="Product Data Analyst"/>
    <s v="Makemytrip"/>
    <s v="Chennai"/>
    <s v="0-2 Years"/>
    <n v="565000"/>
    <n v="5.65"/>
    <s v="Full Time"/>
    <s v="Hybrid"/>
    <d v="2026-05-13T00:00:00"/>
    <x v="8"/>
  </r>
  <r>
    <s v="Job0285"/>
    <s v="Product Data Analyst"/>
    <s v="Makemytrip"/>
    <s v="Chennai"/>
    <s v="0-2 Years"/>
    <n v="565000"/>
    <n v="5.65"/>
    <s v="Full Time"/>
    <s v="Hybrid"/>
    <d v="2026-05-13T00:00:00"/>
    <x v="2"/>
  </r>
  <r>
    <s v="Job0285"/>
    <s v="Product Data Analyst"/>
    <s v="Makemytrip"/>
    <s v="Chennai"/>
    <s v="0-2 Years"/>
    <n v="565000"/>
    <n v="5.65"/>
    <s v="Full Time"/>
    <s v="Hybrid"/>
    <d v="2026-05-13T00:00:00"/>
    <x v="5"/>
  </r>
  <r>
    <s v="Job0337"/>
    <s v="Data Scientist"/>
    <s v="Makemytrip"/>
    <s v="Kolkata"/>
    <s v="0-2 Years"/>
    <n v="755000"/>
    <n v="7.55"/>
    <s v="Full Time"/>
    <s v="Hybrid"/>
    <d v="2026-04-04T00:00:00"/>
    <x v="8"/>
  </r>
  <r>
    <s v="Job0337"/>
    <s v="Data Scientist"/>
    <s v="Makemytrip"/>
    <s v="Kolkata"/>
    <s v="0-2 Years"/>
    <n v="755000"/>
    <n v="7.55"/>
    <s v="Full Time"/>
    <s v="Hybrid"/>
    <d v="2026-04-04T00:00:00"/>
    <x v="0"/>
  </r>
  <r>
    <s v="Job0337"/>
    <s v="Data Scientist"/>
    <s v="Makemytrip"/>
    <s v="Kolkata"/>
    <s v="0-2 Years"/>
    <n v="755000"/>
    <n v="7.55"/>
    <s v="Full Time"/>
    <s v="Hybrid"/>
    <d v="2026-04-04T00:00:00"/>
    <x v="10"/>
  </r>
  <r>
    <s v="Job0015"/>
    <s v="Data Analyst"/>
    <s v="Razorpay"/>
    <s v="Mumbai"/>
    <s v="0-2 Years"/>
    <n v="735000"/>
    <n v="7.35"/>
    <s v="Full Time"/>
    <s v="Hybrid"/>
    <d v="2026-07-26T00:00:00"/>
    <x v="9"/>
  </r>
  <r>
    <s v="Job0015"/>
    <s v="Data Analyst"/>
    <s v="Razorpay"/>
    <s v="Mumbai"/>
    <s v="0-2 Years"/>
    <n v="735000"/>
    <n v="7.35"/>
    <s v="Full Time"/>
    <s v="Hybrid"/>
    <d v="2026-07-26T00:00:00"/>
    <x v="0"/>
  </r>
  <r>
    <s v="Job0015"/>
    <s v="Data Analyst"/>
    <s v="Razorpay"/>
    <s v="Mumbai"/>
    <s v="0-2 Years"/>
    <n v="735000"/>
    <n v="7.35"/>
    <s v="Full Time"/>
    <s v="Hybrid"/>
    <d v="2026-07-26T00:00:00"/>
    <x v="10"/>
  </r>
  <r>
    <s v="Job0397"/>
    <s v="Machine Learning Scientist"/>
    <s v="Lenskart"/>
    <s v="Bangalore"/>
    <s v="5+ Years"/>
    <n v="2420000"/>
    <n v="24.2"/>
    <s v="Full Time"/>
    <s v="Hybrid"/>
    <d v="2026-01-09T00:00:00"/>
    <x v="1"/>
  </r>
  <r>
    <s v="Job0397"/>
    <s v="Machine Learning Scientist"/>
    <s v="Lenskart"/>
    <s v="Bangalore"/>
    <s v="5+ Years"/>
    <n v="2420000"/>
    <n v="24.2"/>
    <s v="Full Time"/>
    <s v="Hybrid"/>
    <d v="2026-01-09T00:00:00"/>
    <x v="2"/>
  </r>
  <r>
    <s v="Job0397"/>
    <s v="Machine Learning Scientist"/>
    <s v="Lenskart"/>
    <s v="Bangalore"/>
    <s v="5+ Years"/>
    <n v="2420000"/>
    <n v="24.2"/>
    <s v="Full Time"/>
    <s v="Hybrid"/>
    <d v="2026-01-09T00:00:00"/>
    <x v="7"/>
  </r>
  <r>
    <s v="Job0450"/>
    <s v="Product Data Analyst"/>
    <s v="Dunzo"/>
    <s v="Ahmedabad"/>
    <s v="0-2 Years"/>
    <n v="445000"/>
    <n v="4.45"/>
    <s v="Full Time"/>
    <s v="Hybrid"/>
    <d v="2026-01-19T00:00:00"/>
    <x v="8"/>
  </r>
  <r>
    <s v="Job0450"/>
    <s v="Product Data Analyst"/>
    <s v="Dunzo"/>
    <s v="Ahmedabad"/>
    <s v="0-2 Years"/>
    <n v="445000"/>
    <n v="4.45"/>
    <s v="Full Time"/>
    <s v="Hybrid"/>
    <d v="2026-01-19T00:00:00"/>
    <x v="2"/>
  </r>
  <r>
    <s v="Job0450"/>
    <s v="Product Data Analyst"/>
    <s v="Dunzo"/>
    <s v="Ahmedabad"/>
    <s v="0-2 Years"/>
    <n v="445000"/>
    <n v="4.45"/>
    <s v="Full Time"/>
    <s v="Hybrid"/>
    <d v="2026-01-19T00:00:00"/>
    <x v="10"/>
  </r>
  <r>
    <s v="Job0395"/>
    <s v="Ai Engineer"/>
    <s v="Axis Bank"/>
    <s v="Chennai"/>
    <s v="5+ Years"/>
    <n v="4250000"/>
    <n v="42.5"/>
    <s v="Full Time"/>
    <s v="Remote"/>
    <d v="2026-07-18T00:00:00"/>
    <x v="7"/>
  </r>
  <r>
    <s v="Job0395"/>
    <s v="Ai Engineer"/>
    <s v="Axis Bank"/>
    <s v="Chennai"/>
    <s v="5+ Years"/>
    <n v="4250000"/>
    <n v="42.5"/>
    <s v="Full Time"/>
    <s v="Remote"/>
    <d v="2026-07-18T00:00:00"/>
    <x v="1"/>
  </r>
  <r>
    <s v="Job0395"/>
    <s v="Ai Engineer"/>
    <s v="Axis Bank"/>
    <s v="Chennai"/>
    <s v="5+ Years"/>
    <n v="4250000"/>
    <n v="42.5"/>
    <s v="Full Time"/>
    <s v="Remote"/>
    <d v="2026-07-18T00:00:00"/>
    <x v="9"/>
  </r>
  <r>
    <s v="Job0279"/>
    <s v="Machine Learning Scientist"/>
    <s v="Cred"/>
    <s v="Delhi"/>
    <s v="0-2 Years"/>
    <n v="580000"/>
    <n v="5.8"/>
    <s v="Full Time"/>
    <s v="Hybrid"/>
    <d v="2026-08-13T00:00:00"/>
    <x v="9"/>
  </r>
  <r>
    <s v="Job0279"/>
    <s v="Machine Learning Scientist"/>
    <s v="Cred"/>
    <s v="Delhi"/>
    <s v="0-2 Years"/>
    <n v="580000"/>
    <n v="5.8"/>
    <s v="Full Time"/>
    <s v="Hybrid"/>
    <d v="2026-08-13T00:00:00"/>
    <x v="3"/>
  </r>
  <r>
    <s v="Job0279"/>
    <s v="Machine Learning Scientist"/>
    <s v="Cred"/>
    <s v="Delhi"/>
    <s v="0-2 Years"/>
    <n v="580000"/>
    <n v="5.8"/>
    <s v="Full Time"/>
    <s v="Hybrid"/>
    <d v="2026-08-13T00:00:00"/>
    <x v="4"/>
  </r>
  <r>
    <s v="Job0265"/>
    <s v="Business Analyst"/>
    <s v="Bank Of America India"/>
    <s v="Gurugram"/>
    <s v="3-5 Years"/>
    <n v="1420000"/>
    <n v="14.2"/>
    <s v="Full Time"/>
    <s v="On-Site"/>
    <d v="2026-01-19T00:00:00"/>
    <x v="8"/>
  </r>
  <r>
    <s v="Job0265"/>
    <s v="Business Analyst"/>
    <s v="Bank Of America India"/>
    <s v="Gurugram"/>
    <s v="3-5 Years"/>
    <n v="1420000"/>
    <n v="14.2"/>
    <s v="Full Time"/>
    <s v="On-Site"/>
    <d v="2026-01-19T00:00:00"/>
    <x v="12"/>
  </r>
  <r>
    <s v="Job0265"/>
    <s v="Business Analyst"/>
    <s v="Bank Of America India"/>
    <s v="Gurugram"/>
    <s v="3-5 Years"/>
    <n v="1420000"/>
    <n v="14.2"/>
    <s v="Full Time"/>
    <s v="On-Site"/>
    <d v="2026-01-19T00:00:00"/>
    <x v="4"/>
  </r>
  <r>
    <s v="Job0372"/>
    <s v="Business Analyst"/>
    <s v="L&amp;T Infotech"/>
    <s v="Gurugram"/>
    <s v="0-2 Years"/>
    <n v="430000"/>
    <n v="4.3"/>
    <s v="Full Time"/>
    <s v="On-Site"/>
    <d v="2026-03-22T00:00:00"/>
    <x v="14"/>
  </r>
  <r>
    <s v="Job0372"/>
    <s v="Business Analyst"/>
    <s v="L&amp;T Infotech"/>
    <s v="Gurugram"/>
    <s v="0-2 Years"/>
    <n v="430000"/>
    <n v="4.3"/>
    <s v="Full Time"/>
    <s v="On-Site"/>
    <d v="2026-03-22T00:00:00"/>
    <x v="5"/>
  </r>
  <r>
    <s v="Job0372"/>
    <s v="Business Analyst"/>
    <s v="L&amp;T Infotech"/>
    <s v="Gurugram"/>
    <s v="0-2 Years"/>
    <n v="430000"/>
    <n v="4.3"/>
    <s v="Full Time"/>
    <s v="On-Site"/>
    <d v="2026-03-22T00:00:00"/>
    <x v="8"/>
  </r>
  <r>
    <s v="Job0004"/>
    <s v="Data Analyst"/>
    <s v="Icici Bank"/>
    <s v="Ahmedabad"/>
    <s v="0-2 Years"/>
    <n v="790000"/>
    <n v="7.9"/>
    <s v="Full Time"/>
    <s v="Hybrid"/>
    <d v="2026-05-28T00:00:00"/>
    <x v="13"/>
  </r>
  <r>
    <s v="Job0004"/>
    <s v="Data Analyst"/>
    <s v="Icici Bank"/>
    <s v="Ahmedabad"/>
    <s v="0-2 Years"/>
    <n v="790000"/>
    <n v="7.9"/>
    <s v="Full Time"/>
    <s v="Hybrid"/>
    <d v="2026-05-28T00:00:00"/>
    <x v="11"/>
  </r>
  <r>
    <s v="Job0004"/>
    <s v="Data Analyst"/>
    <s v="Icici Bank"/>
    <s v="Ahmedabad"/>
    <s v="0-2 Years"/>
    <n v="790000"/>
    <n v="7.9"/>
    <s v="Full Time"/>
    <s v="Hybrid"/>
    <d v="2026-05-28T00:00:00"/>
    <x v="3"/>
  </r>
  <r>
    <s v="Job0043"/>
    <s v="Machine Learning Scientist"/>
    <s v="Infosys"/>
    <s v="Delhi"/>
    <s v="2-5 Years"/>
    <n v="1555000"/>
    <n v="15.55"/>
    <s v="Contract"/>
    <s v="On-Site"/>
    <d v="2026-03-11T00:00:00"/>
    <x v="8"/>
  </r>
  <r>
    <s v="Job0043"/>
    <s v="Machine Learning Scientist"/>
    <s v="Infosys"/>
    <s v="Delhi"/>
    <s v="2-5 Years"/>
    <n v="1555000"/>
    <n v="15.55"/>
    <s v="Contract"/>
    <s v="On-Site"/>
    <d v="2026-03-11T00:00:00"/>
    <x v="14"/>
  </r>
  <r>
    <s v="Job0043"/>
    <s v="Machine Learning Scientist"/>
    <s v="Infosys"/>
    <s v="Delhi"/>
    <s v="2-5 Years"/>
    <n v="1555000"/>
    <n v="15.55"/>
    <s v="Contract"/>
    <s v="On-Site"/>
    <d v="2026-03-11T00:00:00"/>
    <x v="3"/>
  </r>
  <r>
    <s v="Job0204"/>
    <s v="Data Scientist"/>
    <s v="Bank Of America India"/>
    <s v="Gurugram"/>
    <s v="1-3 Years"/>
    <n v="880000"/>
    <n v="8.8000000000000007"/>
    <s v="Full Time"/>
    <s v="Hybrid"/>
    <d v="2026-05-30T00:00:00"/>
    <x v="1"/>
  </r>
  <r>
    <s v="Job0204"/>
    <s v="Data Scientist"/>
    <s v="Bank Of America India"/>
    <s v="Gurugram"/>
    <s v="1-3 Years"/>
    <n v="880000"/>
    <n v="8.8000000000000007"/>
    <s v="Full Time"/>
    <s v="Hybrid"/>
    <d v="2026-05-30T00:00:00"/>
    <x v="0"/>
  </r>
  <r>
    <s v="Job0204"/>
    <s v="Data Scientist"/>
    <s v="Bank Of America India"/>
    <s v="Gurugram"/>
    <s v="1-3 Years"/>
    <n v="880000"/>
    <n v="8.8000000000000007"/>
    <s v="Full Time"/>
    <s v="Hybrid"/>
    <d v="2026-05-30T00:00:00"/>
    <x v="6"/>
  </r>
  <r>
    <s v="Job0024"/>
    <s v="Ml Engineer"/>
    <s v="Zensar Technologies"/>
    <s v="Gurugram"/>
    <s v="5+ Years"/>
    <n v="3640000"/>
    <n v="36.4"/>
    <s v="Full Time"/>
    <s v="On-Site"/>
    <d v="2026-08-29T00:00:00"/>
    <x v="13"/>
  </r>
  <r>
    <s v="Job0024"/>
    <s v="Ml Engineer"/>
    <s v="Zensar Technologies"/>
    <s v="Gurugram"/>
    <s v="5+ Years"/>
    <n v="3640000"/>
    <n v="36.4"/>
    <s v="Full Time"/>
    <s v="On-Site"/>
    <d v="2026-08-29T00:00:00"/>
    <x v="7"/>
  </r>
  <r>
    <s v="Job0024"/>
    <s v="Ml Engineer"/>
    <s v="Zensar Technologies"/>
    <s v="Gurugram"/>
    <s v="5+ Years"/>
    <n v="3640000"/>
    <n v="36.4"/>
    <s v="Full Time"/>
    <s v="On-Site"/>
    <d v="2026-08-29T00:00:00"/>
    <x v="9"/>
  </r>
  <r>
    <s v="Job0160"/>
    <s v="Business Analyst"/>
    <s v="Infosys"/>
    <s v="Ahmedabad"/>
    <s v="0-2 Years"/>
    <n v="465000"/>
    <n v="4.6500000000000004"/>
    <s v="Internship"/>
    <s v="Hybrid"/>
    <d v="2026-06-16T00:00:00"/>
    <x v="10"/>
  </r>
  <r>
    <s v="Job0160"/>
    <s v="Business Analyst"/>
    <s v="Infosys"/>
    <s v="Ahmedabad"/>
    <s v="0-2 Years"/>
    <n v="465000"/>
    <n v="4.6500000000000004"/>
    <s v="Internship"/>
    <s v="Hybrid"/>
    <d v="2026-06-16T00:00:00"/>
    <x v="2"/>
  </r>
  <r>
    <s v="Job0160"/>
    <s v="Business Analyst"/>
    <s v="Infosys"/>
    <s v="Ahmedabad"/>
    <s v="0-2 Years"/>
    <n v="465000"/>
    <n v="4.6500000000000004"/>
    <s v="Internship"/>
    <s v="Hybrid"/>
    <d v="2026-06-16T00:00:00"/>
    <x v="3"/>
  </r>
  <r>
    <s v="Job0356"/>
    <s v="Ai/Ml Analyst"/>
    <s v="Wns Global Services"/>
    <s v="Chennai"/>
    <s v="2-5 Years"/>
    <n v="1380000"/>
    <n v="13.8"/>
    <s v="Full Time"/>
    <s v="Hybrid"/>
    <d v="2026-02-11T00:00:00"/>
    <x v="0"/>
  </r>
  <r>
    <s v="Job0356"/>
    <s v="Ai/Ml Analyst"/>
    <s v="Wns Global Services"/>
    <s v="Chennai"/>
    <s v="2-5 Years"/>
    <n v="1380000"/>
    <n v="13.8"/>
    <s v="Full Time"/>
    <s v="Hybrid"/>
    <d v="2026-02-11T00:00:00"/>
    <x v="7"/>
  </r>
  <r>
    <s v="Job0356"/>
    <s v="Ai/Ml Analyst"/>
    <s v="Wns Global Services"/>
    <s v="Chennai"/>
    <s v="2-5 Years"/>
    <n v="1380000"/>
    <n v="13.8"/>
    <s v="Full Time"/>
    <s v="Hybrid"/>
    <d v="2026-02-11T00:00:00"/>
    <x v="12"/>
  </r>
  <r>
    <s v="Job0452"/>
    <s v="Product Data Analyst"/>
    <s v="Hdfc Bank"/>
    <s v="Kolkata"/>
    <s v="2-5 Years"/>
    <n v="1110000"/>
    <n v="11.1"/>
    <s v="Contract"/>
    <s v="On-Site"/>
    <d v="2026-01-24T00:00:00"/>
    <x v="4"/>
  </r>
  <r>
    <s v="Job0452"/>
    <s v="Product Data Analyst"/>
    <s v="Hdfc Bank"/>
    <s v="Kolkata"/>
    <s v="2-5 Years"/>
    <n v="1110000"/>
    <n v="11.1"/>
    <s v="Contract"/>
    <s v="On-Site"/>
    <d v="2026-01-24T00:00:00"/>
    <x v="8"/>
  </r>
  <r>
    <s v="Job0452"/>
    <s v="Product Data Analyst"/>
    <s v="Hdfc Bank"/>
    <s v="Kolkata"/>
    <s v="2-5 Years"/>
    <n v="1110000"/>
    <n v="11.1"/>
    <s v="Contract"/>
    <s v="On-Site"/>
    <d v="2026-01-24T00:00:00"/>
    <x v="2"/>
  </r>
  <r>
    <s v="Job0370"/>
    <s v="Ai/Ml Analyst"/>
    <s v="Byju'S"/>
    <s v="Hyderabad"/>
    <s v="2-5 Years"/>
    <n v="1270000"/>
    <n v="12.7"/>
    <s v="Full Time"/>
    <s v="Hybrid"/>
    <d v="2026-08-07T00:00:00"/>
    <x v="6"/>
  </r>
  <r>
    <s v="Job0370"/>
    <s v="Ai/Ml Analyst"/>
    <s v="Byju'S"/>
    <s v="Hyderabad"/>
    <s v="2-5 Years"/>
    <n v="1270000"/>
    <n v="12.7"/>
    <s v="Full Time"/>
    <s v="Hybrid"/>
    <d v="2026-08-07T00:00:00"/>
    <x v="14"/>
  </r>
  <r>
    <s v="Job0370"/>
    <s v="Ai/Ml Analyst"/>
    <s v="Byju'S"/>
    <s v="Hyderabad"/>
    <s v="2-5 Years"/>
    <n v="1270000"/>
    <n v="12.7"/>
    <s v="Full Time"/>
    <s v="Hybrid"/>
    <d v="2026-08-07T00:00:00"/>
    <x v="12"/>
  </r>
  <r>
    <s v="Job0322"/>
    <s v="Ml Engineer"/>
    <s v="Swiggy"/>
    <s v="Kolkata"/>
    <s v="3-5 Years"/>
    <n v="1995000"/>
    <n v="19.95"/>
    <s v="Contract"/>
    <s v="On-Site"/>
    <d v="2026-02-19T00:00:00"/>
    <x v="1"/>
  </r>
  <r>
    <s v="Job0322"/>
    <s v="Ml Engineer"/>
    <s v="Swiggy"/>
    <s v="Kolkata"/>
    <s v="3-5 Years"/>
    <n v="1995000"/>
    <n v="19.95"/>
    <s v="Contract"/>
    <s v="On-Site"/>
    <d v="2026-02-19T00:00:00"/>
    <x v="4"/>
  </r>
  <r>
    <s v="Job0322"/>
    <s v="Ml Engineer"/>
    <s v="Swiggy"/>
    <s v="Kolkata"/>
    <s v="3-5 Years"/>
    <n v="1995000"/>
    <n v="19.95"/>
    <s v="Contract"/>
    <s v="On-Site"/>
    <d v="2026-02-19T00:00:00"/>
    <x v="7"/>
  </r>
  <r>
    <s v="Job0203"/>
    <s v="Bi Analyst"/>
    <s v="Samsung R&amp;D Institute India"/>
    <s v="Mumbai"/>
    <s v="0-2 Years"/>
    <n v="255000"/>
    <n v="2.5499999999999998"/>
    <s v="Internship"/>
    <s v="On-Site"/>
    <d v="2026-08-01T00:00:00"/>
    <x v="10"/>
  </r>
  <r>
    <s v="Job0203"/>
    <s v="Bi Analyst"/>
    <s v="Samsung R&amp;D Institute India"/>
    <s v="Mumbai"/>
    <s v="0-2 Years"/>
    <n v="255000"/>
    <n v="2.5499999999999998"/>
    <s v="Internship"/>
    <s v="On-Site"/>
    <d v="2026-08-01T00:00:00"/>
    <x v="2"/>
  </r>
  <r>
    <s v="Job0203"/>
    <s v="Bi Analyst"/>
    <s v="Samsung R&amp;D Institute India"/>
    <s v="Mumbai"/>
    <s v="0-2 Years"/>
    <n v="255000"/>
    <n v="2.5499999999999998"/>
    <s v="Internship"/>
    <s v="On-Site"/>
    <d v="2026-08-01T00:00:00"/>
    <x v="0"/>
  </r>
  <r>
    <s v="Job0435"/>
    <s v="Data Analyst"/>
    <s v="Dell Technologies India"/>
    <s v="Pune"/>
    <s v="1-3 Years"/>
    <n v="1010000"/>
    <n v="10.1"/>
    <s v="Full Time"/>
    <s v="On-Site"/>
    <d v="2026-02-11T00:00:00"/>
    <x v="2"/>
  </r>
  <r>
    <s v="Job0435"/>
    <s v="Data Analyst"/>
    <s v="Dell Technologies India"/>
    <s v="Pune"/>
    <s v="1-3 Years"/>
    <n v="1010000"/>
    <n v="10.1"/>
    <s v="Full Time"/>
    <s v="On-Site"/>
    <d v="2026-02-11T00:00:00"/>
    <x v="10"/>
  </r>
  <r>
    <s v="Job0435"/>
    <s v="Data Analyst"/>
    <s v="Dell Technologies India"/>
    <s v="Pune"/>
    <s v="1-3 Years"/>
    <n v="1010000"/>
    <n v="10.1"/>
    <s v="Full Time"/>
    <s v="On-Site"/>
    <d v="2026-02-11T00:00:00"/>
    <x v="0"/>
  </r>
  <r>
    <s v="Job0019"/>
    <s v="Machine Learning Scientist"/>
    <s v="Wns Global Services"/>
    <s v="Hyderabad"/>
    <s v="3-5 Years"/>
    <n v="2085000"/>
    <n v="20.85"/>
    <s v="Full Time"/>
    <s v="Remote"/>
    <d v="2026-06-28T00:00:00"/>
    <x v="4"/>
  </r>
  <r>
    <s v="Job0019"/>
    <s v="Machine Learning Scientist"/>
    <s v="Wns Global Services"/>
    <s v="Hyderabad"/>
    <s v="3-5 Years"/>
    <n v="2085000"/>
    <n v="20.85"/>
    <s v="Full Time"/>
    <s v="Remote"/>
    <d v="2026-06-28T00:00:00"/>
    <x v="1"/>
  </r>
  <r>
    <s v="Job0019"/>
    <s v="Machine Learning Scientist"/>
    <s v="Wns Global Services"/>
    <s v="Hyderabad"/>
    <s v="3-5 Years"/>
    <n v="2085000"/>
    <n v="20.85"/>
    <s v="Full Time"/>
    <s v="Remote"/>
    <d v="2026-06-28T00:00:00"/>
    <x v="8"/>
  </r>
  <r>
    <s v="Job0050"/>
    <s v="Data Analyst"/>
    <s v="Dell Technologies India"/>
    <s v="Ahmedabad"/>
    <s v="3-5 Years"/>
    <n v="1795000"/>
    <n v="17.95"/>
    <s v="Full Time"/>
    <s v="Hybrid"/>
    <d v="2026-06-12T00:00:00"/>
    <x v="0"/>
  </r>
  <r>
    <s v="Job0050"/>
    <s v="Data Analyst"/>
    <s v="Dell Technologies India"/>
    <s v="Ahmedabad"/>
    <s v="3-5 Years"/>
    <n v="1795000"/>
    <n v="17.95"/>
    <s v="Full Time"/>
    <s v="Hybrid"/>
    <d v="2026-06-12T00:00:00"/>
    <x v="6"/>
  </r>
  <r>
    <s v="Job0050"/>
    <s v="Data Analyst"/>
    <s v="Dell Technologies India"/>
    <s v="Ahmedabad"/>
    <s v="3-5 Years"/>
    <n v="1795000"/>
    <n v="17.95"/>
    <s v="Full Time"/>
    <s v="Hybrid"/>
    <d v="2026-06-12T00:00:00"/>
    <x v="12"/>
  </r>
  <r>
    <s v="Job0006"/>
    <s v="Ml Engineer"/>
    <s v="Deloitte India"/>
    <s v="Kolkata"/>
    <s v="1-3 Years"/>
    <n v="820000"/>
    <n v="8.1999999999999993"/>
    <s v="Full Time"/>
    <s v="Hybrid"/>
    <d v="2026-08-04T00:00:00"/>
    <x v="1"/>
  </r>
  <r>
    <s v="Job0006"/>
    <s v="Ml Engineer"/>
    <s v="Deloitte India"/>
    <s v="Kolkata"/>
    <s v="1-3 Years"/>
    <n v="820000"/>
    <n v="8.1999999999999993"/>
    <s v="Full Time"/>
    <s v="Hybrid"/>
    <d v="2026-08-04T00:00:00"/>
    <x v="7"/>
  </r>
  <r>
    <s v="Job0006"/>
    <s v="Ml Engineer"/>
    <s v="Deloitte India"/>
    <s v="Kolkata"/>
    <s v="1-3 Years"/>
    <n v="820000"/>
    <n v="8.1999999999999993"/>
    <s v="Full Time"/>
    <s v="Hybrid"/>
    <d v="2026-08-04T00:00:00"/>
    <x v="6"/>
  </r>
  <r>
    <s v="Job0243"/>
    <s v="Machine Learning Scientist"/>
    <s v="Swiggy"/>
    <s v="Ahmedabad"/>
    <s v="0-2 Years"/>
    <n v="205000"/>
    <n v="2.0499999999999998"/>
    <s v="Internship"/>
    <s v="Hybrid"/>
    <d v="2026-08-06T00:00:00"/>
    <x v="9"/>
  </r>
  <r>
    <s v="Job0243"/>
    <s v="Machine Learning Scientist"/>
    <s v="Swiggy"/>
    <s v="Ahmedabad"/>
    <s v="0-2 Years"/>
    <n v="205000"/>
    <n v="2.0499999999999998"/>
    <s v="Internship"/>
    <s v="Hybrid"/>
    <d v="2026-08-06T00:00:00"/>
    <x v="6"/>
  </r>
  <r>
    <s v="Job0243"/>
    <s v="Machine Learning Scientist"/>
    <s v="Swiggy"/>
    <s v="Ahmedabad"/>
    <s v="0-2 Years"/>
    <n v="205000"/>
    <n v="2.0499999999999998"/>
    <s v="Internship"/>
    <s v="Hybrid"/>
    <d v="2026-08-06T00:00:00"/>
    <x v="8"/>
  </r>
  <r>
    <s v="Job0360"/>
    <s v="Data Analyst"/>
    <s v="Samsung R&amp;D Institute India"/>
    <s v="Hyderabad"/>
    <s v="0-2 Years"/>
    <n v="790000"/>
    <n v="7.9"/>
    <s v="Full Time"/>
    <s v="Hybrid"/>
    <d v="2026-06-30T00:00:00"/>
    <x v="10"/>
  </r>
  <r>
    <s v="Job0360"/>
    <s v="Data Analyst"/>
    <s v="Samsung R&amp;D Institute India"/>
    <s v="Hyderabad"/>
    <s v="0-2 Years"/>
    <n v="790000"/>
    <n v="7.9"/>
    <s v="Full Time"/>
    <s v="Hybrid"/>
    <d v="2026-06-30T00:00:00"/>
    <x v="2"/>
  </r>
  <r>
    <s v="Job0360"/>
    <s v="Data Analyst"/>
    <s v="Samsung R&amp;D Institute India"/>
    <s v="Hyderabad"/>
    <s v="0-2 Years"/>
    <n v="790000"/>
    <n v="7.9"/>
    <s v="Full Time"/>
    <s v="Hybrid"/>
    <d v="2026-06-30T00:00:00"/>
    <x v="8"/>
  </r>
  <r>
    <s v="Job0426"/>
    <s v="Ai Engineer"/>
    <s v="Icici Bank"/>
    <s v="Hyderabad"/>
    <s v="3-5 Years"/>
    <n v="1485000"/>
    <n v="14.85"/>
    <s v="Full Time"/>
    <s v="On-Site"/>
    <d v="2026-04-26T00:00:00"/>
    <x v="9"/>
  </r>
  <r>
    <s v="Job0426"/>
    <s v="Ai Engineer"/>
    <s v="Icici Bank"/>
    <s v="Hyderabad"/>
    <s v="3-5 Years"/>
    <n v="1485000"/>
    <n v="14.85"/>
    <s v="Full Time"/>
    <s v="On-Site"/>
    <d v="2026-04-26T00:00:00"/>
    <x v="11"/>
  </r>
  <r>
    <s v="Job0426"/>
    <s v="Ai Engineer"/>
    <s v="Icici Bank"/>
    <s v="Hyderabad"/>
    <s v="3-5 Years"/>
    <n v="1485000"/>
    <n v="14.85"/>
    <s v="Full Time"/>
    <s v="On-Site"/>
    <d v="2026-04-26T00:00:00"/>
    <x v="13"/>
  </r>
  <r>
    <s v="Job0253"/>
    <s v="Business Analyst"/>
    <s v="Policybazaar"/>
    <s v="Chennai"/>
    <s v="3-5 Years"/>
    <n v="2060000"/>
    <n v="20.6"/>
    <s v="Full Time"/>
    <s v="Hybrid"/>
    <d v="2026-03-13T00:00:00"/>
    <x v="6"/>
  </r>
  <r>
    <s v="Job0253"/>
    <s v="Business Analyst"/>
    <s v="Policybazaar"/>
    <s v="Chennai"/>
    <s v="3-5 Years"/>
    <n v="2060000"/>
    <n v="20.6"/>
    <s v="Full Time"/>
    <s v="Hybrid"/>
    <d v="2026-03-13T00:00:00"/>
    <x v="2"/>
  </r>
  <r>
    <s v="Job0253"/>
    <s v="Business Analyst"/>
    <s v="Policybazaar"/>
    <s v="Chennai"/>
    <s v="3-5 Years"/>
    <n v="2060000"/>
    <n v="20.6"/>
    <s v="Full Time"/>
    <s v="Hybrid"/>
    <d v="2026-03-13T00:00:00"/>
    <x v="1"/>
  </r>
  <r>
    <s v="Job0166"/>
    <s v="Machine Learning Scientist"/>
    <s v="Microsoft India"/>
    <s v="Bangalore"/>
    <s v="3-5 Years"/>
    <n v="1825000"/>
    <n v="18.25"/>
    <s v="Contract"/>
    <s v="On-Site"/>
    <d v="2026-02-26T00:00:00"/>
    <x v="11"/>
  </r>
  <r>
    <s v="Job0166"/>
    <s v="Machine Learning Scientist"/>
    <s v="Microsoft India"/>
    <s v="Bangalore"/>
    <s v="3-5 Years"/>
    <n v="1825000"/>
    <n v="18.25"/>
    <s v="Contract"/>
    <s v="On-Site"/>
    <d v="2026-02-26T00:00:00"/>
    <x v="1"/>
  </r>
  <r>
    <s v="Job0166"/>
    <s v="Machine Learning Scientist"/>
    <s v="Microsoft India"/>
    <s v="Bangalore"/>
    <s v="3-5 Years"/>
    <n v="1825000"/>
    <n v="18.25"/>
    <s v="Contract"/>
    <s v="On-Site"/>
    <d v="2026-02-26T00:00:00"/>
    <x v="7"/>
  </r>
  <r>
    <s v="Job0162"/>
    <s v="Ml Engineer"/>
    <s v="Tech Mahindra"/>
    <s v="Pune"/>
    <s v="2-5 Years"/>
    <n v="1370000"/>
    <n v="13.7"/>
    <s v="Full Time"/>
    <s v="On-Site"/>
    <d v="2026-04-30T00:00:00"/>
    <x v="11"/>
  </r>
  <r>
    <s v="Job0162"/>
    <s v="Ml Engineer"/>
    <s v="Tech Mahindra"/>
    <s v="Pune"/>
    <s v="2-5 Years"/>
    <n v="1370000"/>
    <n v="13.7"/>
    <s v="Full Time"/>
    <s v="On-Site"/>
    <d v="2026-04-30T00:00:00"/>
    <x v="3"/>
  </r>
  <r>
    <s v="Job0162"/>
    <s v="Ml Engineer"/>
    <s v="Tech Mahindra"/>
    <s v="Pune"/>
    <s v="2-5 Years"/>
    <n v="1370000"/>
    <n v="13.7"/>
    <s v="Full Time"/>
    <s v="On-Site"/>
    <d v="2026-04-30T00:00:00"/>
    <x v="13"/>
  </r>
  <r>
    <s v="Job0113"/>
    <s v="Product Data Analyst"/>
    <s v="Capgemini"/>
    <s v="Delhi"/>
    <s v="0-2 Years"/>
    <n v="500000"/>
    <n v="5"/>
    <s v="Full Time"/>
    <s v="Hybrid"/>
    <d v="2026-05-30T00:00:00"/>
    <x v="9"/>
  </r>
  <r>
    <s v="Job0113"/>
    <s v="Product Data Analyst"/>
    <s v="Capgemini"/>
    <s v="Delhi"/>
    <s v="0-2 Years"/>
    <n v="500000"/>
    <n v="5"/>
    <s v="Full Time"/>
    <s v="Hybrid"/>
    <d v="2026-05-30T00:00:00"/>
    <x v="10"/>
  </r>
  <r>
    <s v="Job0113"/>
    <s v="Product Data Analyst"/>
    <s v="Capgemini"/>
    <s v="Delhi"/>
    <s v="0-2 Years"/>
    <n v="500000"/>
    <n v="5"/>
    <s v="Full Time"/>
    <s v="Hybrid"/>
    <d v="2026-05-30T00:00:00"/>
    <x v="0"/>
  </r>
  <r>
    <s v="Job0309"/>
    <s v="Business Analyst"/>
    <s v="Publicis Sapient"/>
    <s v="Gurugram"/>
    <s v="3-5 Years"/>
    <n v="2045000"/>
    <n v="20.45"/>
    <s v="Full Time"/>
    <s v="Hybrid"/>
    <d v="2026-04-14T00:00:00"/>
    <x v="0"/>
  </r>
  <r>
    <s v="Job0309"/>
    <s v="Business Analyst"/>
    <s v="Publicis Sapient"/>
    <s v="Gurugram"/>
    <s v="3-5 Years"/>
    <n v="2045000"/>
    <n v="20.45"/>
    <s v="Full Time"/>
    <s v="Hybrid"/>
    <d v="2026-04-14T00:00:00"/>
    <x v="5"/>
  </r>
  <r>
    <s v="Job0309"/>
    <s v="Business Analyst"/>
    <s v="Publicis Sapient"/>
    <s v="Gurugram"/>
    <s v="3-5 Years"/>
    <n v="2045000"/>
    <n v="20.45"/>
    <s v="Full Time"/>
    <s v="Hybrid"/>
    <d v="2026-04-14T00:00:00"/>
    <x v="8"/>
  </r>
  <r>
    <s v="Job0131"/>
    <s v="Machine Learning Scientist"/>
    <s v="Tata Consultancy Services"/>
    <s v="Bangalore"/>
    <s v="3-5 Years"/>
    <n v="1420000"/>
    <n v="14.2"/>
    <s v="Full Time"/>
    <s v="On-Site"/>
    <d v="2026-06-13T00:00:00"/>
    <x v="9"/>
  </r>
  <r>
    <s v="Job0131"/>
    <s v="Machine Learning Scientist"/>
    <s v="Tata Consultancy Services"/>
    <s v="Bangalore"/>
    <s v="3-5 Years"/>
    <n v="1420000"/>
    <n v="14.2"/>
    <s v="Full Time"/>
    <s v="On-Site"/>
    <d v="2026-06-13T00:00:00"/>
    <x v="7"/>
  </r>
  <r>
    <s v="Job0131"/>
    <s v="Machine Learning Scientist"/>
    <s v="Tata Consultancy Services"/>
    <s v="Bangalore"/>
    <s v="3-5 Years"/>
    <n v="1420000"/>
    <n v="14.2"/>
    <s v="Full Time"/>
    <s v="On-Site"/>
    <d v="2026-06-13T00:00:00"/>
    <x v="6"/>
  </r>
  <r>
    <s v="Job0485"/>
    <s v="Bi Analyst"/>
    <s v="Mu Sigma"/>
    <s v="Delhi"/>
    <s v="3-5 Years"/>
    <n v="1100000"/>
    <n v="11"/>
    <s v="Full Time"/>
    <s v="On-Site"/>
    <d v="2026-04-10T00:00:00"/>
    <x v="5"/>
  </r>
  <r>
    <s v="Job0485"/>
    <s v="Bi Analyst"/>
    <s v="Mu Sigma"/>
    <s v="Delhi"/>
    <s v="3-5 Years"/>
    <n v="1100000"/>
    <n v="11"/>
    <s v="Full Time"/>
    <s v="On-Site"/>
    <d v="2026-04-10T00:00:00"/>
    <x v="10"/>
  </r>
  <r>
    <s v="Job0485"/>
    <s v="Bi Analyst"/>
    <s v="Mu Sigma"/>
    <s v="Delhi"/>
    <s v="3-5 Years"/>
    <n v="1100000"/>
    <n v="11"/>
    <s v="Full Time"/>
    <s v="On-Site"/>
    <d v="2026-04-10T00:00:00"/>
    <x v="2"/>
  </r>
  <r>
    <s v="Job0055"/>
    <s v="Machine Learning Scientist"/>
    <s v="Lenskart"/>
    <s v="Ahmedabad"/>
    <s v="2-5 Years"/>
    <n v="1225000"/>
    <n v="12.25"/>
    <s v="Full Time"/>
    <s v="Hybrid"/>
    <d v="2026-02-19T00:00:00"/>
    <x v="8"/>
  </r>
  <r>
    <s v="Job0055"/>
    <s v="Machine Learning Scientist"/>
    <s v="Lenskart"/>
    <s v="Ahmedabad"/>
    <s v="2-5 Years"/>
    <n v="1225000"/>
    <n v="12.25"/>
    <s v="Full Time"/>
    <s v="Hybrid"/>
    <d v="2026-02-19T00:00:00"/>
    <x v="9"/>
  </r>
  <r>
    <s v="Job0055"/>
    <s v="Machine Learning Scientist"/>
    <s v="Lenskart"/>
    <s v="Ahmedabad"/>
    <s v="2-5 Years"/>
    <n v="1225000"/>
    <n v="12.25"/>
    <s v="Full Time"/>
    <s v="Hybrid"/>
    <d v="2026-02-19T00:00:00"/>
    <x v="6"/>
  </r>
  <r>
    <s v="Job0029"/>
    <s v="Business Analyst"/>
    <s v="Bank Of America India"/>
    <s v="Pune"/>
    <s v="1-3 Years"/>
    <n v="940000"/>
    <n v="9.4"/>
    <s v="Full Time"/>
    <s v="On-Site"/>
    <d v="2026-03-05T00:00:00"/>
    <x v="11"/>
  </r>
  <r>
    <s v="Job0029"/>
    <s v="Business Analyst"/>
    <s v="Bank Of America India"/>
    <s v="Pune"/>
    <s v="1-3 Years"/>
    <n v="940000"/>
    <n v="9.4"/>
    <s v="Full Time"/>
    <s v="On-Site"/>
    <d v="2026-03-05T00:00:00"/>
    <x v="8"/>
  </r>
  <r>
    <s v="Job0029"/>
    <s v="Business Analyst"/>
    <s v="Bank Of America India"/>
    <s v="Pune"/>
    <s v="1-3 Years"/>
    <n v="940000"/>
    <n v="9.4"/>
    <s v="Full Time"/>
    <s v="On-Site"/>
    <d v="2026-03-05T00:00:00"/>
    <x v="4"/>
  </r>
  <r>
    <s v="Job0314"/>
    <s v="Bi Analyst"/>
    <s v="Mu Sigma"/>
    <s v="Chennai"/>
    <s v="5+ Years"/>
    <n v="2170000"/>
    <n v="21.7"/>
    <s v="Full Time"/>
    <s v="On-Site"/>
    <d v="2026-01-12T00:00:00"/>
    <x v="8"/>
  </r>
  <r>
    <s v="Job0314"/>
    <s v="Bi Analyst"/>
    <s v="Mu Sigma"/>
    <s v="Chennai"/>
    <s v="5+ Years"/>
    <n v="2170000"/>
    <n v="21.7"/>
    <s v="Full Time"/>
    <s v="On-Site"/>
    <d v="2026-01-12T00:00:00"/>
    <x v="12"/>
  </r>
  <r>
    <s v="Job0314"/>
    <s v="Bi Analyst"/>
    <s v="Mu Sigma"/>
    <s v="Chennai"/>
    <s v="5+ Years"/>
    <n v="2170000"/>
    <n v="21.7"/>
    <s v="Full Time"/>
    <s v="On-Site"/>
    <d v="2026-01-12T00:00:00"/>
    <x v="2"/>
  </r>
  <r>
    <s v="Job0259"/>
    <s v="Data Engineer"/>
    <s v="Wipro"/>
    <s v="Ahmedabad"/>
    <s v="3-5 Years"/>
    <n v="1000000"/>
    <n v="10"/>
    <s v="Contract"/>
    <s v="Hybrid"/>
    <d v="2026-01-06T00:00:00"/>
    <x v="4"/>
  </r>
  <r>
    <s v="Job0259"/>
    <s v="Data Engineer"/>
    <s v="Wipro"/>
    <s v="Ahmedabad"/>
    <s v="3-5 Years"/>
    <n v="1000000"/>
    <n v="10"/>
    <s v="Contract"/>
    <s v="Hybrid"/>
    <d v="2026-01-06T00:00:00"/>
    <x v="13"/>
  </r>
  <r>
    <s v="Job0259"/>
    <s v="Data Engineer"/>
    <s v="Wipro"/>
    <s v="Ahmedabad"/>
    <s v="3-5 Years"/>
    <n v="1000000"/>
    <n v="10"/>
    <s v="Contract"/>
    <s v="Hybrid"/>
    <d v="2026-01-06T00:00:00"/>
    <x v="0"/>
  </r>
  <r>
    <s v="Job0251"/>
    <s v="Data Scientist"/>
    <s v="Wipro"/>
    <s v="Mumbai"/>
    <s v="1-3 Years"/>
    <n v="1040000"/>
    <n v="10.4"/>
    <s v="Full Time"/>
    <s v="Remote"/>
    <d v="2026-02-01T00:00:00"/>
    <x v="11"/>
  </r>
  <r>
    <s v="Job0251"/>
    <s v="Data Scientist"/>
    <s v="Wipro"/>
    <s v="Mumbai"/>
    <s v="1-3 Years"/>
    <n v="1040000"/>
    <n v="10.4"/>
    <s v="Full Time"/>
    <s v="Remote"/>
    <d v="2026-02-01T00:00:00"/>
    <x v="4"/>
  </r>
  <r>
    <s v="Job0251"/>
    <s v="Data Scientist"/>
    <s v="Wipro"/>
    <s v="Mumbai"/>
    <s v="1-3 Years"/>
    <n v="1040000"/>
    <n v="10.4"/>
    <s v="Full Time"/>
    <s v="Remote"/>
    <d v="2026-02-01T00:00:00"/>
    <x v="3"/>
  </r>
  <r>
    <s v="Job0021"/>
    <s v="Data Scientist"/>
    <s v="Flipkart"/>
    <s v="Mumbai"/>
    <s v="5+ Years"/>
    <n v="1795000"/>
    <n v="17.95"/>
    <s v="Contract"/>
    <s v="Hybrid"/>
    <d v="2026-06-02T00:00:00"/>
    <x v="13"/>
  </r>
  <r>
    <s v="Job0021"/>
    <s v="Data Scientist"/>
    <s v="Flipkart"/>
    <s v="Mumbai"/>
    <s v="5+ Years"/>
    <n v="1795000"/>
    <n v="17.95"/>
    <s v="Contract"/>
    <s v="Hybrid"/>
    <d v="2026-06-02T00:00:00"/>
    <x v="12"/>
  </r>
  <r>
    <s v="Job0021"/>
    <s v="Data Scientist"/>
    <s v="Flipkart"/>
    <s v="Mumbai"/>
    <s v="5+ Years"/>
    <n v="1795000"/>
    <n v="17.95"/>
    <s v="Contract"/>
    <s v="Hybrid"/>
    <d v="2026-06-02T00:00:00"/>
    <x v="5"/>
  </r>
  <r>
    <s v="Job0232"/>
    <s v="Ai/Ml Analyst"/>
    <s v="Myntra"/>
    <s v="Noida"/>
    <s v="2-5 Years"/>
    <n v="1445000"/>
    <n v="14.45"/>
    <s v="Contract"/>
    <s v="On-Site"/>
    <d v="2026-01-19T00:00:00"/>
    <x v="0"/>
  </r>
  <r>
    <s v="Job0232"/>
    <s v="Ai/Ml Analyst"/>
    <s v="Myntra"/>
    <s v="Noida"/>
    <s v="2-5 Years"/>
    <n v="1445000"/>
    <n v="14.45"/>
    <s v="Contract"/>
    <s v="On-Site"/>
    <d v="2026-01-19T00:00:00"/>
    <x v="12"/>
  </r>
  <r>
    <s v="Job0232"/>
    <s v="Ai/Ml Analyst"/>
    <s v="Myntra"/>
    <s v="Noida"/>
    <s v="2-5 Years"/>
    <n v="1445000"/>
    <n v="14.45"/>
    <s v="Contract"/>
    <s v="On-Site"/>
    <d v="2026-01-19T00:00:00"/>
    <x v="8"/>
  </r>
  <r>
    <s v="Job0034"/>
    <s v="Ai Engineer"/>
    <s v="Google India"/>
    <s v="Mumbai"/>
    <s v="2-5 Years"/>
    <n v="1305000"/>
    <n v="13.05"/>
    <s v="Full Time"/>
    <s v="Hybrid"/>
    <d v="2026-06-23T00:00:00"/>
    <x v="1"/>
  </r>
  <r>
    <s v="Job0034"/>
    <s v="Ai Engineer"/>
    <s v="Google India"/>
    <s v="Mumbai"/>
    <s v="2-5 Years"/>
    <n v="1305000"/>
    <n v="13.05"/>
    <s v="Full Time"/>
    <s v="Hybrid"/>
    <d v="2026-06-23T00:00:00"/>
    <x v="7"/>
  </r>
  <r>
    <s v="Job0034"/>
    <s v="Ai Engineer"/>
    <s v="Google India"/>
    <s v="Mumbai"/>
    <s v="2-5 Years"/>
    <n v="1305000"/>
    <n v="13.05"/>
    <s v="Full Time"/>
    <s v="Hybrid"/>
    <d v="2026-06-23T00:00:00"/>
    <x v="12"/>
  </r>
  <r>
    <s v="Job0307"/>
    <s v="Bi Analyst"/>
    <s v="Bajaj Finserv"/>
    <s v="Pune"/>
    <s v="0-2 Years"/>
    <n v="470000"/>
    <n v="4.7"/>
    <s v="Full Time"/>
    <s v="On-Site"/>
    <d v="2026-05-13T00:00:00"/>
    <x v="2"/>
  </r>
  <r>
    <s v="Job0307"/>
    <s v="Bi Analyst"/>
    <s v="Bajaj Finserv"/>
    <s v="Pune"/>
    <s v="0-2 Years"/>
    <n v="470000"/>
    <n v="4.7"/>
    <s v="Full Time"/>
    <s v="On-Site"/>
    <d v="2026-05-13T00:00:00"/>
    <x v="8"/>
  </r>
  <r>
    <s v="Job0307"/>
    <s v="Bi Analyst"/>
    <s v="Bajaj Finserv"/>
    <s v="Pune"/>
    <s v="0-2 Years"/>
    <n v="470000"/>
    <n v="4.7"/>
    <s v="Full Time"/>
    <s v="On-Site"/>
    <d v="2026-05-13T00:00:00"/>
    <x v="0"/>
  </r>
  <r>
    <s v="Job0425"/>
    <s v="Data Analyst"/>
    <s v="Unacademy"/>
    <s v="Noida"/>
    <s v="0-2 Years"/>
    <n v="425000"/>
    <n v="4.25"/>
    <s v="Internship"/>
    <s v="Remote"/>
    <d v="2026-05-06T00:00:00"/>
    <x v="1"/>
  </r>
  <r>
    <s v="Job0425"/>
    <s v="Data Analyst"/>
    <s v="Unacademy"/>
    <s v="Noida"/>
    <s v="0-2 Years"/>
    <n v="425000"/>
    <n v="4.25"/>
    <s v="Internship"/>
    <s v="Remote"/>
    <d v="2026-05-06T00:00:00"/>
    <x v="11"/>
  </r>
  <r>
    <s v="Job0425"/>
    <s v="Data Analyst"/>
    <s v="Unacademy"/>
    <s v="Noida"/>
    <s v="0-2 Years"/>
    <n v="425000"/>
    <n v="4.25"/>
    <s v="Internship"/>
    <s v="Remote"/>
    <d v="2026-05-06T00:00:00"/>
    <x v="13"/>
  </r>
  <r>
    <s v="Job0135"/>
    <s v="Data Scientist"/>
    <s v="Quantiphi"/>
    <s v="Mumbai"/>
    <s v="3-5 Years"/>
    <n v="1205000"/>
    <n v="12.05"/>
    <s v="Full Time"/>
    <s v="On-Site"/>
    <d v="2026-03-30T00:00:00"/>
    <x v="11"/>
  </r>
  <r>
    <s v="Job0135"/>
    <s v="Data Scientist"/>
    <s v="Quantiphi"/>
    <s v="Mumbai"/>
    <s v="3-5 Years"/>
    <n v="1205000"/>
    <n v="12.05"/>
    <s v="Full Time"/>
    <s v="On-Site"/>
    <d v="2026-03-30T00:00:00"/>
    <x v="3"/>
  </r>
  <r>
    <s v="Job0135"/>
    <s v="Data Scientist"/>
    <s v="Quantiphi"/>
    <s v="Mumbai"/>
    <s v="3-5 Years"/>
    <n v="1205000"/>
    <n v="12.05"/>
    <s v="Full Time"/>
    <s v="On-Site"/>
    <d v="2026-03-30T00:00:00"/>
    <x v="7"/>
  </r>
  <r>
    <s v="Job0184"/>
    <s v="Data Engineer"/>
    <s v="Jpmorgan Chase India"/>
    <s v="Delhi"/>
    <s v="3-5 Years"/>
    <n v="1055000"/>
    <n v="10.55"/>
    <s v="Contract"/>
    <s v="On-Site"/>
    <d v="2026-02-20T00:00:00"/>
    <x v="14"/>
  </r>
  <r>
    <s v="Job0184"/>
    <s v="Data Engineer"/>
    <s v="Jpmorgan Chase India"/>
    <s v="Delhi"/>
    <s v="3-5 Years"/>
    <n v="1055000"/>
    <n v="10.55"/>
    <s v="Contract"/>
    <s v="On-Site"/>
    <d v="2026-02-20T00:00:00"/>
    <x v="13"/>
  </r>
  <r>
    <s v="Job0184"/>
    <s v="Data Engineer"/>
    <s v="Jpmorgan Chase India"/>
    <s v="Delhi"/>
    <s v="3-5 Years"/>
    <n v="1055000"/>
    <n v="10.55"/>
    <s v="Contract"/>
    <s v="On-Site"/>
    <d v="2026-02-20T00:00:00"/>
    <x v="9"/>
  </r>
  <r>
    <s v="Job0296"/>
    <s v="Ai Engineer"/>
    <s v="Zs Associates"/>
    <s v="Delhi"/>
    <s v="1-3 Years"/>
    <n v="600000"/>
    <n v="6"/>
    <s v="Contract"/>
    <s v="On-Site"/>
    <d v="2026-05-31T00:00:00"/>
    <x v="1"/>
  </r>
  <r>
    <s v="Job0296"/>
    <s v="Ai Engineer"/>
    <s v="Zs Associates"/>
    <s v="Delhi"/>
    <s v="1-3 Years"/>
    <n v="600000"/>
    <n v="6"/>
    <s v="Contract"/>
    <s v="On-Site"/>
    <d v="2026-05-31T00:00:00"/>
    <x v="7"/>
  </r>
  <r>
    <s v="Job0296"/>
    <s v="Ai Engineer"/>
    <s v="Zs Associates"/>
    <s v="Delhi"/>
    <s v="1-3 Years"/>
    <n v="600000"/>
    <n v="6"/>
    <s v="Contract"/>
    <s v="On-Site"/>
    <d v="2026-05-31T00:00:00"/>
    <x v="9"/>
  </r>
  <r>
    <s v="Job0301"/>
    <s v="Ai/Ml Analyst"/>
    <s v="Nagarro"/>
    <s v="Hyderabad"/>
    <s v="3-5 Years"/>
    <n v="1395000"/>
    <n v="13.95"/>
    <s v="Full Time"/>
    <s v="Hybrid"/>
    <d v="2026-05-07T00:00:00"/>
    <x v="11"/>
  </r>
  <r>
    <s v="Job0301"/>
    <s v="Ai/Ml Analyst"/>
    <s v="Nagarro"/>
    <s v="Hyderabad"/>
    <s v="3-5 Years"/>
    <n v="1395000"/>
    <n v="13.95"/>
    <s v="Full Time"/>
    <s v="Hybrid"/>
    <d v="2026-05-07T00:00:00"/>
    <x v="13"/>
  </r>
  <r>
    <s v="Job0301"/>
    <s v="Ai/Ml Analyst"/>
    <s v="Nagarro"/>
    <s v="Hyderabad"/>
    <s v="3-5 Years"/>
    <n v="1395000"/>
    <n v="13.95"/>
    <s v="Full Time"/>
    <s v="Hybrid"/>
    <d v="2026-05-07T00:00:00"/>
    <x v="7"/>
  </r>
  <r>
    <s v="Job0114"/>
    <s v="Business Analyst"/>
    <s v="Dell Technologies India"/>
    <s v="Chennai"/>
    <s v="3-5 Years"/>
    <n v="1155000"/>
    <n v="11.55"/>
    <s v="Full Time"/>
    <s v="Remote"/>
    <d v="2026-06-21T00:00:00"/>
    <x v="12"/>
  </r>
  <r>
    <s v="Job0114"/>
    <s v="Business Analyst"/>
    <s v="Dell Technologies India"/>
    <s v="Chennai"/>
    <s v="3-5 Years"/>
    <n v="1155000"/>
    <n v="11.55"/>
    <s v="Full Time"/>
    <s v="Remote"/>
    <d v="2026-06-21T00:00:00"/>
    <x v="0"/>
  </r>
  <r>
    <s v="Job0114"/>
    <s v="Business Analyst"/>
    <s v="Dell Technologies India"/>
    <s v="Chennai"/>
    <s v="3-5 Years"/>
    <n v="1155000"/>
    <n v="11.55"/>
    <s v="Full Time"/>
    <s v="Remote"/>
    <d v="2026-06-21T00:00:00"/>
    <x v="10"/>
  </r>
  <r>
    <s v="Job0451"/>
    <s v="Ml Engineer"/>
    <s v="Oracle India"/>
    <s v="Ahmedabad"/>
    <s v="3-5 Years"/>
    <n v="1060000"/>
    <n v="10.6"/>
    <s v="Full Time"/>
    <s v="On-Site"/>
    <d v="2026-06-30T00:00:00"/>
    <x v="2"/>
  </r>
  <r>
    <s v="Job0451"/>
    <s v="Ml Engineer"/>
    <s v="Oracle India"/>
    <s v="Ahmedabad"/>
    <s v="3-5 Years"/>
    <n v="1060000"/>
    <n v="10.6"/>
    <s v="Full Time"/>
    <s v="On-Site"/>
    <d v="2026-06-30T00:00:00"/>
    <x v="1"/>
  </r>
  <r>
    <s v="Job0451"/>
    <s v="Ml Engineer"/>
    <s v="Oracle India"/>
    <s v="Ahmedabad"/>
    <s v="3-5 Years"/>
    <n v="1060000"/>
    <n v="10.6"/>
    <s v="Full Time"/>
    <s v="On-Site"/>
    <d v="2026-06-30T00:00:00"/>
    <x v="3"/>
  </r>
  <r>
    <s v="Job0193"/>
    <s v="Data Analyst"/>
    <s v="Sonata Software"/>
    <s v="Delhi"/>
    <s v="0-2 Years"/>
    <n v="785000"/>
    <n v="7.85"/>
    <s v="Full Time"/>
    <s v="On-Site"/>
    <d v="2026-05-26T00:00:00"/>
    <x v="0"/>
  </r>
  <r>
    <s v="Job0193"/>
    <s v="Data Analyst"/>
    <s v="Sonata Software"/>
    <s v="Delhi"/>
    <s v="0-2 Years"/>
    <n v="785000"/>
    <n v="7.85"/>
    <s v="Full Time"/>
    <s v="On-Site"/>
    <d v="2026-05-26T00:00:00"/>
    <x v="5"/>
  </r>
  <r>
    <s v="Job0193"/>
    <s v="Data Analyst"/>
    <s v="Sonata Software"/>
    <s v="Delhi"/>
    <s v="0-2 Years"/>
    <n v="785000"/>
    <n v="7.85"/>
    <s v="Full Time"/>
    <s v="On-Site"/>
    <d v="2026-05-26T00:00:00"/>
    <x v="6"/>
  </r>
  <r>
    <s v="Job0442"/>
    <s v="Ai Engineer"/>
    <s v="Wns Global Services"/>
    <s v="Gurugram"/>
    <s v="0-2 Years"/>
    <n v="640000"/>
    <n v="6.4"/>
    <s v="Full Time"/>
    <s v="Hybrid"/>
    <d v="2026-07-20T00:00:00"/>
    <x v="14"/>
  </r>
  <r>
    <s v="Job0442"/>
    <s v="Ai Engineer"/>
    <s v="Wns Global Services"/>
    <s v="Gurugram"/>
    <s v="0-2 Years"/>
    <n v="640000"/>
    <n v="6.4"/>
    <s v="Full Time"/>
    <s v="Hybrid"/>
    <d v="2026-07-20T00:00:00"/>
    <x v="3"/>
  </r>
  <r>
    <s v="Job0442"/>
    <s v="Ai Engineer"/>
    <s v="Wns Global Services"/>
    <s v="Gurugram"/>
    <s v="0-2 Years"/>
    <n v="640000"/>
    <n v="6.4"/>
    <s v="Full Time"/>
    <s v="Hybrid"/>
    <d v="2026-07-20T00:00:00"/>
    <x v="1"/>
  </r>
  <r>
    <s v="Job0117"/>
    <s v="Business Analyst"/>
    <s v="Persistent Systems"/>
    <s v="Gurugram"/>
    <s v="0-2 Years"/>
    <n v="535000"/>
    <n v="5.35"/>
    <s v="Full Time"/>
    <s v="Hybrid"/>
    <d v="2026-05-17T00:00:00"/>
    <x v="4"/>
  </r>
  <r>
    <s v="Job0117"/>
    <s v="Business Analyst"/>
    <s v="Persistent Systems"/>
    <s v="Gurugram"/>
    <s v="0-2 Years"/>
    <n v="535000"/>
    <n v="5.35"/>
    <s v="Full Time"/>
    <s v="Hybrid"/>
    <d v="2026-05-17T00:00:00"/>
    <x v="8"/>
  </r>
  <r>
    <s v="Job0117"/>
    <s v="Business Analyst"/>
    <s v="Persistent Systems"/>
    <s v="Gurugram"/>
    <s v="0-2 Years"/>
    <n v="535000"/>
    <n v="5.35"/>
    <s v="Full Time"/>
    <s v="Hybrid"/>
    <d v="2026-05-17T00:00:00"/>
    <x v="0"/>
  </r>
  <r>
    <s v="Job0480"/>
    <s v="Machine Learning Scientist"/>
    <s v="Ibm India"/>
    <s v="Gurugram"/>
    <s v="1-3 Years"/>
    <n v="865000"/>
    <n v="8.65"/>
    <s v="Full Time"/>
    <s v="Hybrid"/>
    <d v="2026-03-08T00:00:00"/>
    <x v="3"/>
  </r>
  <r>
    <s v="Job0480"/>
    <s v="Machine Learning Scientist"/>
    <s v="Ibm India"/>
    <s v="Gurugram"/>
    <s v="1-3 Years"/>
    <n v="865000"/>
    <n v="8.65"/>
    <s v="Full Time"/>
    <s v="Hybrid"/>
    <d v="2026-03-08T00:00:00"/>
    <x v="8"/>
  </r>
  <r>
    <s v="Job0480"/>
    <s v="Machine Learning Scientist"/>
    <s v="Ibm India"/>
    <s v="Gurugram"/>
    <s v="1-3 Years"/>
    <n v="865000"/>
    <n v="8.65"/>
    <s v="Full Time"/>
    <s v="Hybrid"/>
    <d v="2026-03-08T00:00:00"/>
    <x v="6"/>
  </r>
  <r>
    <s v="Job0445"/>
    <s v="Data Analyst"/>
    <s v="Unacademy"/>
    <s v="Noida"/>
    <s v="0-2 Years"/>
    <n v="575000"/>
    <n v="5.75"/>
    <s v="Full Time"/>
    <s v="Hybrid"/>
    <d v="2026-02-14T00:00:00"/>
    <x v="12"/>
  </r>
  <r>
    <s v="Job0445"/>
    <s v="Data Analyst"/>
    <s v="Unacademy"/>
    <s v="Noida"/>
    <s v="0-2 Years"/>
    <n v="575000"/>
    <n v="5.75"/>
    <s v="Full Time"/>
    <s v="Hybrid"/>
    <d v="2026-02-14T00:00:00"/>
    <x v="14"/>
  </r>
  <r>
    <s v="Job0445"/>
    <s v="Data Analyst"/>
    <s v="Unacademy"/>
    <s v="Noida"/>
    <s v="0-2 Years"/>
    <n v="575000"/>
    <n v="5.75"/>
    <s v="Full Time"/>
    <s v="Hybrid"/>
    <d v="2026-02-14T00:00:00"/>
    <x v="10"/>
  </r>
  <r>
    <s v="Job0494"/>
    <s v="Business Analyst"/>
    <s v="Nagarro"/>
    <s v="Kolkata"/>
    <s v="0-2 Years"/>
    <n v="630000"/>
    <n v="6.3"/>
    <s v="Contract"/>
    <s v="Hybrid"/>
    <d v="2026-08-09T00:00:00"/>
    <x v="5"/>
  </r>
  <r>
    <s v="Job0494"/>
    <s v="Business Analyst"/>
    <s v="Nagarro"/>
    <s v="Kolkata"/>
    <s v="0-2 Years"/>
    <n v="630000"/>
    <n v="6.3"/>
    <s v="Contract"/>
    <s v="Hybrid"/>
    <d v="2026-08-09T00:00:00"/>
    <x v="2"/>
  </r>
  <r>
    <s v="Job0494"/>
    <s v="Business Analyst"/>
    <s v="Nagarro"/>
    <s v="Kolkata"/>
    <s v="0-2 Years"/>
    <n v="630000"/>
    <n v="6.3"/>
    <s v="Contract"/>
    <s v="Hybrid"/>
    <d v="2026-08-09T00:00:00"/>
    <x v="12"/>
  </r>
  <r>
    <s v="Job0195"/>
    <s v="Data Scientist"/>
    <s v="Oracle India"/>
    <s v="Kolkata"/>
    <s v="5+ Years"/>
    <n v="4370000"/>
    <n v="43.7"/>
    <s v="Full Time"/>
    <s v="On-Site"/>
    <d v="2026-05-22T00:00:00"/>
    <x v="1"/>
  </r>
  <r>
    <s v="Job0195"/>
    <s v="Data Scientist"/>
    <s v="Oracle India"/>
    <s v="Kolkata"/>
    <s v="5+ Years"/>
    <n v="4370000"/>
    <n v="43.7"/>
    <s v="Full Time"/>
    <s v="On-Site"/>
    <d v="2026-05-22T00:00:00"/>
    <x v="3"/>
  </r>
  <r>
    <s v="Job0195"/>
    <s v="Data Scientist"/>
    <s v="Oracle India"/>
    <s v="Kolkata"/>
    <s v="5+ Years"/>
    <n v="4370000"/>
    <n v="43.7"/>
    <s v="Full Time"/>
    <s v="On-Site"/>
    <d v="2026-05-22T00:00:00"/>
    <x v="8"/>
  </r>
  <r>
    <s v="Job0120"/>
    <s v="Machine Learning Scientist"/>
    <s v="Thoughtworks"/>
    <s v="Bangalore"/>
    <s v="3-5 Years"/>
    <n v="1110000"/>
    <n v="11.1"/>
    <s v="Contract"/>
    <s v="On-Site"/>
    <d v="2026-01-14T00:00:00"/>
    <x v="5"/>
  </r>
  <r>
    <s v="Job0120"/>
    <s v="Machine Learning Scientist"/>
    <s v="Thoughtworks"/>
    <s v="Bangalore"/>
    <s v="3-5 Years"/>
    <n v="1110000"/>
    <n v="11.1"/>
    <s v="Contract"/>
    <s v="On-Site"/>
    <d v="2026-01-14T00:00:00"/>
    <x v="2"/>
  </r>
  <r>
    <s v="Job0120"/>
    <s v="Machine Learning Scientist"/>
    <s v="Thoughtworks"/>
    <s v="Bangalore"/>
    <s v="3-5 Years"/>
    <n v="1110000"/>
    <n v="11.1"/>
    <s v="Contract"/>
    <s v="On-Site"/>
    <d v="2026-01-14T00:00:00"/>
    <x v="6"/>
  </r>
  <r>
    <s v="Job0453"/>
    <s v="Machine Learning Scientist"/>
    <s v="Kpmg India"/>
    <s v="Gurugram"/>
    <s v="2-5 Years"/>
    <n v="1485000"/>
    <n v="14.85"/>
    <s v="Full Time"/>
    <s v="Hybrid"/>
    <d v="2026-02-16T00:00:00"/>
    <x v="11"/>
  </r>
  <r>
    <s v="Job0453"/>
    <s v="Machine Learning Scientist"/>
    <s v="Kpmg India"/>
    <s v="Gurugram"/>
    <s v="2-5 Years"/>
    <n v="1485000"/>
    <n v="14.85"/>
    <s v="Full Time"/>
    <s v="Hybrid"/>
    <d v="2026-02-16T00:00:00"/>
    <x v="1"/>
  </r>
  <r>
    <s v="Job0453"/>
    <s v="Machine Learning Scientist"/>
    <s v="Kpmg India"/>
    <s v="Gurugram"/>
    <s v="2-5 Years"/>
    <n v="1485000"/>
    <n v="14.85"/>
    <s v="Full Time"/>
    <s v="Hybrid"/>
    <d v="2026-02-16T00:00:00"/>
    <x v="8"/>
  </r>
  <r>
    <s v="Job0383"/>
    <s v="Data Analyst"/>
    <s v="Larsen &amp; Toubro"/>
    <s v="Chennai"/>
    <s v="5+ Years"/>
    <n v="2270000"/>
    <n v="22.7"/>
    <s v="Full Time"/>
    <s v="Hybrid"/>
    <d v="2026-07-08T00:00:00"/>
    <x v="10"/>
  </r>
  <r>
    <s v="Job0383"/>
    <s v="Data Analyst"/>
    <s v="Larsen &amp; Toubro"/>
    <s v="Chennai"/>
    <s v="5+ Years"/>
    <n v="2270000"/>
    <n v="22.7"/>
    <s v="Full Time"/>
    <s v="Hybrid"/>
    <d v="2026-07-08T00:00:00"/>
    <x v="12"/>
  </r>
  <r>
    <s v="Job0383"/>
    <s v="Data Analyst"/>
    <s v="Larsen &amp; Toubro"/>
    <s v="Chennai"/>
    <s v="5+ Years"/>
    <n v="2270000"/>
    <n v="22.7"/>
    <s v="Full Time"/>
    <s v="Hybrid"/>
    <d v="2026-07-08T00:00:00"/>
    <x v="8"/>
  </r>
  <r>
    <s v="Job0139"/>
    <s v="Business Analyst"/>
    <s v="Lenskart"/>
    <s v="Kolkata"/>
    <s v="1-3 Years"/>
    <n v="960000"/>
    <n v="9.6"/>
    <s v="Full Time"/>
    <s v="Hybrid"/>
    <d v="2026-02-09T00:00:00"/>
    <x v="11"/>
  </r>
  <r>
    <s v="Job0139"/>
    <s v="Business Analyst"/>
    <s v="Lenskart"/>
    <s v="Kolkata"/>
    <s v="1-3 Years"/>
    <n v="960000"/>
    <n v="9.6"/>
    <s v="Full Time"/>
    <s v="Hybrid"/>
    <d v="2026-02-09T00:00:00"/>
    <x v="0"/>
  </r>
  <r>
    <s v="Job0139"/>
    <s v="Business Analyst"/>
    <s v="Lenskart"/>
    <s v="Kolkata"/>
    <s v="1-3 Years"/>
    <n v="960000"/>
    <n v="9.6"/>
    <s v="Full Time"/>
    <s v="Hybrid"/>
    <d v="2026-02-09T00:00:00"/>
    <x v="14"/>
  </r>
  <r>
    <s v="Job0023"/>
    <s v="Ai Engineer"/>
    <s v="Deloitte India"/>
    <s v="Pune"/>
    <s v="3-5 Years"/>
    <n v="1745000"/>
    <n v="17.45"/>
    <s v="Full Time"/>
    <s v="Remote"/>
    <d v="2026-04-05T00:00:00"/>
    <x v="6"/>
  </r>
  <r>
    <s v="Job0023"/>
    <s v="Ai Engineer"/>
    <s v="Deloitte India"/>
    <s v="Pune"/>
    <s v="3-5 Years"/>
    <n v="1745000"/>
    <n v="17.45"/>
    <s v="Full Time"/>
    <s v="Remote"/>
    <d v="2026-04-05T00:00:00"/>
    <x v="9"/>
  </r>
  <r>
    <s v="Job0023"/>
    <s v="Ai Engineer"/>
    <s v="Deloitte India"/>
    <s v="Pune"/>
    <s v="3-5 Years"/>
    <n v="1745000"/>
    <n v="17.45"/>
    <s v="Full Time"/>
    <s v="Remote"/>
    <d v="2026-04-05T00:00:00"/>
    <x v="14"/>
  </r>
  <r>
    <s v="Job0316"/>
    <s v="Product Data Analyst"/>
    <s v="Sonata Software"/>
    <s v="Bangalore"/>
    <s v="0-2 Years"/>
    <n v="525000"/>
    <n v="5.25"/>
    <s v="Full Time"/>
    <s v="On-Site"/>
    <d v="2026-03-29T00:00:00"/>
    <x v="12"/>
  </r>
  <r>
    <s v="Job0316"/>
    <s v="Product Data Analyst"/>
    <s v="Sonata Software"/>
    <s v="Bangalore"/>
    <s v="0-2 Years"/>
    <n v="525000"/>
    <n v="5.25"/>
    <s v="Full Time"/>
    <s v="On-Site"/>
    <d v="2026-03-29T00:00:00"/>
    <x v="8"/>
  </r>
  <r>
    <s v="Job0316"/>
    <s v="Product Data Analyst"/>
    <s v="Sonata Software"/>
    <s v="Bangalore"/>
    <s v="0-2 Years"/>
    <n v="525000"/>
    <n v="5.25"/>
    <s v="Full Time"/>
    <s v="On-Site"/>
    <d v="2026-03-29T00:00:00"/>
    <x v="13"/>
  </r>
  <r>
    <s v="Job0262"/>
    <s v="Ml Engineer"/>
    <s v="Latentview Analytics"/>
    <s v="Bangalore"/>
    <s v="0-2 Years"/>
    <n v="315000"/>
    <n v="3.15"/>
    <s v="Internship"/>
    <s v="On-Site"/>
    <d v="2026-03-23T00:00:00"/>
    <x v="2"/>
  </r>
  <r>
    <s v="Job0262"/>
    <s v="Ml Engineer"/>
    <s v="Latentview Analytics"/>
    <s v="Bangalore"/>
    <s v="0-2 Years"/>
    <n v="315000"/>
    <n v="3.15"/>
    <s v="Internship"/>
    <s v="On-Site"/>
    <d v="2026-03-23T00:00:00"/>
    <x v="9"/>
  </r>
  <r>
    <s v="Job0262"/>
    <s v="Ml Engineer"/>
    <s v="Latentview Analytics"/>
    <s v="Bangalore"/>
    <s v="0-2 Years"/>
    <n v="315000"/>
    <n v="3.15"/>
    <s v="Internship"/>
    <s v="On-Site"/>
    <d v="2026-03-23T00:00:00"/>
    <x v="13"/>
  </r>
  <r>
    <s v="Job0150"/>
    <s v="Ai Engineer"/>
    <s v="Dunzo"/>
    <s v="Delhi"/>
    <s v="1-3 Years"/>
    <n v="620000"/>
    <n v="6.2"/>
    <s v="Full Time"/>
    <s v="Hybrid"/>
    <d v="2026-02-08T00:00:00"/>
    <x v="3"/>
  </r>
  <r>
    <s v="Job0150"/>
    <s v="Ai Engineer"/>
    <s v="Dunzo"/>
    <s v="Delhi"/>
    <s v="1-3 Years"/>
    <n v="620000"/>
    <n v="6.2"/>
    <s v="Full Time"/>
    <s v="Hybrid"/>
    <d v="2026-02-08T00:00:00"/>
    <x v="11"/>
  </r>
  <r>
    <s v="Job0150"/>
    <s v="Ai Engineer"/>
    <s v="Dunzo"/>
    <s v="Delhi"/>
    <s v="1-3 Years"/>
    <n v="620000"/>
    <n v="6.2"/>
    <s v="Full Time"/>
    <s v="Hybrid"/>
    <d v="2026-02-08T00:00:00"/>
    <x v="1"/>
  </r>
  <r>
    <s v="Job0175"/>
    <s v="Product Data Analyst"/>
    <s v="Wipro"/>
    <s v="Hyderabad"/>
    <s v="1-3 Years"/>
    <n v="540000"/>
    <n v="5.4"/>
    <s v="Full Time"/>
    <s v="Hybrid"/>
    <d v="2026-04-23T00:00:00"/>
    <x v="10"/>
  </r>
  <r>
    <s v="Job0175"/>
    <s v="Product Data Analyst"/>
    <s v="Wipro"/>
    <s v="Hyderabad"/>
    <s v="1-3 Years"/>
    <n v="540000"/>
    <n v="5.4"/>
    <s v="Full Time"/>
    <s v="Hybrid"/>
    <d v="2026-04-23T00:00:00"/>
    <x v="0"/>
  </r>
  <r>
    <s v="Job0175"/>
    <s v="Product Data Analyst"/>
    <s v="Wipro"/>
    <s v="Hyderabad"/>
    <s v="1-3 Years"/>
    <n v="540000"/>
    <n v="5.4"/>
    <s v="Full Time"/>
    <s v="Hybrid"/>
    <d v="2026-04-23T00:00:00"/>
    <x v="12"/>
  </r>
  <r>
    <s v="Job0400"/>
    <s v="Data Analyst"/>
    <s v="Unacademy"/>
    <s v="Ahmedabad"/>
    <s v="0-2 Years"/>
    <n v="680000"/>
    <n v="6.8"/>
    <s v="Contract"/>
    <s v="Remote"/>
    <d v="2026-02-18T00:00:00"/>
    <x v="10"/>
  </r>
  <r>
    <s v="Job0400"/>
    <s v="Data Analyst"/>
    <s v="Unacademy"/>
    <s v="Ahmedabad"/>
    <s v="0-2 Years"/>
    <n v="680000"/>
    <n v="6.8"/>
    <s v="Contract"/>
    <s v="Remote"/>
    <d v="2026-02-18T00:00:00"/>
    <x v="5"/>
  </r>
  <r>
    <s v="Job0400"/>
    <s v="Data Analyst"/>
    <s v="Unacademy"/>
    <s v="Ahmedabad"/>
    <s v="0-2 Years"/>
    <n v="680000"/>
    <n v="6.8"/>
    <s v="Contract"/>
    <s v="Remote"/>
    <d v="2026-02-18T00:00:00"/>
    <x v="11"/>
  </r>
  <r>
    <s v="Job0148"/>
    <s v="Ai/Ml Analyst"/>
    <s v="Tcs"/>
    <s v="Mumbai"/>
    <s v="3-5 Years"/>
    <n v="1160000"/>
    <n v="11.6"/>
    <s v="Full Time"/>
    <s v="Hybrid"/>
    <d v="2026-05-22T00:00:00"/>
    <x v="5"/>
  </r>
  <r>
    <s v="Job0148"/>
    <s v="Ai/Ml Analyst"/>
    <s v="Tcs"/>
    <s v="Mumbai"/>
    <s v="3-5 Years"/>
    <n v="1160000"/>
    <n v="11.6"/>
    <s v="Full Time"/>
    <s v="Hybrid"/>
    <d v="2026-05-22T00:00:00"/>
    <x v="0"/>
  </r>
  <r>
    <s v="Job0148"/>
    <s v="Ai/Ml Analyst"/>
    <s v="Tcs"/>
    <s v="Mumbai"/>
    <s v="3-5 Years"/>
    <n v="1160000"/>
    <n v="11.6"/>
    <s v="Full Time"/>
    <s v="Hybrid"/>
    <d v="2026-05-22T00:00:00"/>
    <x v="14"/>
  </r>
  <r>
    <s v="Job0387"/>
    <s v="Data Engineer"/>
    <s v="Oracle India"/>
    <s v="Noida"/>
    <s v="2-5 Years"/>
    <n v="1585000"/>
    <n v="15.85"/>
    <s v="Full Time"/>
    <s v="Hybrid"/>
    <d v="2026-07-18T00:00:00"/>
    <x v="13"/>
  </r>
  <r>
    <s v="Job0387"/>
    <s v="Data Engineer"/>
    <s v="Oracle India"/>
    <s v="Noida"/>
    <s v="2-5 Years"/>
    <n v="1585000"/>
    <n v="15.85"/>
    <s v="Full Time"/>
    <s v="Hybrid"/>
    <d v="2026-07-18T00:00:00"/>
    <x v="0"/>
  </r>
  <r>
    <s v="Job0387"/>
    <s v="Data Engineer"/>
    <s v="Oracle India"/>
    <s v="Noida"/>
    <s v="2-5 Years"/>
    <n v="1585000"/>
    <n v="15.85"/>
    <s v="Full Time"/>
    <s v="Hybrid"/>
    <d v="2026-07-18T00:00:00"/>
    <x v="3"/>
  </r>
  <r>
    <s v="Job0236"/>
    <s v="Data Scientist"/>
    <s v="Microsoft India"/>
    <s v="Noida"/>
    <s v="1-3 Years"/>
    <n v="535000"/>
    <n v="5.35"/>
    <s v="Full Time"/>
    <s v="Hybrid"/>
    <d v="2026-07-01T00:00:00"/>
    <x v="8"/>
  </r>
  <r>
    <s v="Job0236"/>
    <s v="Data Scientist"/>
    <s v="Microsoft India"/>
    <s v="Noida"/>
    <s v="1-3 Years"/>
    <n v="535000"/>
    <n v="5.35"/>
    <s v="Full Time"/>
    <s v="Hybrid"/>
    <d v="2026-07-01T00:00:00"/>
    <x v="3"/>
  </r>
  <r>
    <s v="Job0236"/>
    <s v="Data Scientist"/>
    <s v="Microsoft India"/>
    <s v="Noida"/>
    <s v="1-3 Years"/>
    <n v="535000"/>
    <n v="5.35"/>
    <s v="Full Time"/>
    <s v="Hybrid"/>
    <d v="2026-07-01T00:00:00"/>
    <x v="9"/>
  </r>
  <r>
    <s v="Job0025"/>
    <s v="Business Analyst"/>
    <s v="Byju'S"/>
    <s v="Mumbai"/>
    <s v="0-2 Years"/>
    <n v="685000"/>
    <n v="6.85"/>
    <s v="Full Time"/>
    <s v="Hybrid"/>
    <d v="2026-03-06T00:00:00"/>
    <x v="5"/>
  </r>
  <r>
    <s v="Job0025"/>
    <s v="Business Analyst"/>
    <s v="Byju'S"/>
    <s v="Mumbai"/>
    <s v="0-2 Years"/>
    <n v="685000"/>
    <n v="6.85"/>
    <s v="Full Time"/>
    <s v="Hybrid"/>
    <d v="2026-03-06T00:00:00"/>
    <x v="7"/>
  </r>
  <r>
    <s v="Job0025"/>
    <s v="Business Analyst"/>
    <s v="Byju'S"/>
    <s v="Mumbai"/>
    <s v="0-2 Years"/>
    <n v="685000"/>
    <n v="6.85"/>
    <s v="Full Time"/>
    <s v="Hybrid"/>
    <d v="2026-03-06T00:00:00"/>
    <x v="8"/>
  </r>
  <r>
    <s v="Job0463"/>
    <s v="Data Analyst"/>
    <s v="Mindtree"/>
    <s v="Gurugram"/>
    <s v="3-5 Years"/>
    <n v="2170000"/>
    <n v="21.7"/>
    <s v="Full Time"/>
    <s v="Remote"/>
    <d v="2026-06-28T00:00:00"/>
    <x v="11"/>
  </r>
  <r>
    <s v="Job0463"/>
    <s v="Data Analyst"/>
    <s v="Mindtree"/>
    <s v="Gurugram"/>
    <s v="3-5 Years"/>
    <n v="2170000"/>
    <n v="21.7"/>
    <s v="Full Time"/>
    <s v="Remote"/>
    <d v="2026-06-28T00:00:00"/>
    <x v="1"/>
  </r>
  <r>
    <s v="Job0463"/>
    <s v="Data Analyst"/>
    <s v="Mindtree"/>
    <s v="Gurugram"/>
    <s v="3-5 Years"/>
    <n v="2170000"/>
    <n v="21.7"/>
    <s v="Full Time"/>
    <s v="Remote"/>
    <d v="2026-06-28T00:00:00"/>
    <x v="4"/>
  </r>
  <r>
    <s v="Job0179"/>
    <s v="Ai/Ml Analyst"/>
    <s v="Genpact"/>
    <s v="Hyderabad"/>
    <s v="1-3 Years"/>
    <n v="680000"/>
    <n v="6.8"/>
    <s v="Full Time"/>
    <s v="On-Site"/>
    <d v="2026-05-23T00:00:00"/>
    <x v="14"/>
  </r>
  <r>
    <s v="Job0179"/>
    <s v="Ai/Ml Analyst"/>
    <s v="Genpact"/>
    <s v="Hyderabad"/>
    <s v="1-3 Years"/>
    <n v="680000"/>
    <n v="6.8"/>
    <s v="Full Time"/>
    <s v="On-Site"/>
    <d v="2026-05-23T00:00:00"/>
    <x v="6"/>
  </r>
  <r>
    <s v="Job0179"/>
    <s v="Ai/Ml Analyst"/>
    <s v="Genpact"/>
    <s v="Hyderabad"/>
    <s v="1-3 Years"/>
    <n v="680000"/>
    <n v="6.8"/>
    <s v="Full Time"/>
    <s v="On-Site"/>
    <d v="2026-05-23T00:00:00"/>
    <x v="11"/>
  </r>
  <r>
    <s v="Job0299"/>
    <s v="Bi Analyst"/>
    <s v="Kpmg India"/>
    <s v="Ahmedabad"/>
    <s v="2-5 Years"/>
    <n v="1425000"/>
    <n v="14.25"/>
    <s v="Full Time"/>
    <s v="Hybrid"/>
    <d v="2026-01-31T00:00:00"/>
    <x v="14"/>
  </r>
  <r>
    <s v="Job0299"/>
    <s v="Bi Analyst"/>
    <s v="Kpmg India"/>
    <s v="Ahmedabad"/>
    <s v="2-5 Years"/>
    <n v="1425000"/>
    <n v="14.25"/>
    <s v="Full Time"/>
    <s v="Hybrid"/>
    <d v="2026-01-31T00:00:00"/>
    <x v="8"/>
  </r>
  <r>
    <s v="Job0299"/>
    <s v="Bi Analyst"/>
    <s v="Kpmg India"/>
    <s v="Ahmedabad"/>
    <s v="2-5 Years"/>
    <n v="1425000"/>
    <n v="14.25"/>
    <s v="Full Time"/>
    <s v="Hybrid"/>
    <d v="2026-01-31T00:00:00"/>
    <x v="13"/>
  </r>
  <r>
    <s v="Job0240"/>
    <s v="Data Analyst"/>
    <s v="Genpact"/>
    <s v="Delhi"/>
    <s v="3-5 Years"/>
    <n v="2105000"/>
    <n v="21.05"/>
    <s v="Full Time"/>
    <s v="On-Site"/>
    <d v="2026-03-05T00:00:00"/>
    <x v="4"/>
  </r>
  <r>
    <s v="Job0240"/>
    <s v="Data Analyst"/>
    <s v="Genpact"/>
    <s v="Delhi"/>
    <s v="3-5 Years"/>
    <n v="2105000"/>
    <n v="21.05"/>
    <s v="Full Time"/>
    <s v="On-Site"/>
    <d v="2026-03-05T00:00:00"/>
    <x v="0"/>
  </r>
  <r>
    <s v="Job0240"/>
    <s v="Data Analyst"/>
    <s v="Genpact"/>
    <s v="Delhi"/>
    <s v="3-5 Years"/>
    <n v="2105000"/>
    <n v="21.05"/>
    <s v="Full Time"/>
    <s v="On-Site"/>
    <d v="2026-03-05T00:00:00"/>
    <x v="12"/>
  </r>
  <r>
    <s v="Job0105"/>
    <s v="Data Analyst"/>
    <s v="Larsen &amp; Toubro"/>
    <s v="Pune"/>
    <s v="3-5 Years"/>
    <n v="2105000"/>
    <n v="21.05"/>
    <s v="Contract"/>
    <s v="Hybrid"/>
    <d v="2026-01-06T00:00:00"/>
    <x v="5"/>
  </r>
  <r>
    <s v="Job0105"/>
    <s v="Data Analyst"/>
    <s v="Larsen &amp; Toubro"/>
    <s v="Pune"/>
    <s v="3-5 Years"/>
    <n v="2105000"/>
    <n v="21.05"/>
    <s v="Contract"/>
    <s v="Hybrid"/>
    <d v="2026-01-06T00:00:00"/>
    <x v="2"/>
  </r>
  <r>
    <s v="Job0105"/>
    <s v="Data Analyst"/>
    <s v="Larsen &amp; Toubro"/>
    <s v="Pune"/>
    <s v="3-5 Years"/>
    <n v="2105000"/>
    <n v="21.05"/>
    <s v="Contract"/>
    <s v="Hybrid"/>
    <d v="2026-01-06T00:00:00"/>
    <x v="10"/>
  </r>
  <r>
    <s v="Job0185"/>
    <s v="Ai Engineer"/>
    <s v="Razorpay"/>
    <s v="Noida"/>
    <s v="5+ Years"/>
    <n v="4015000"/>
    <n v="40.15"/>
    <s v="Full Time"/>
    <s v="Hybrid"/>
    <d v="2026-07-07T00:00:00"/>
    <x v="4"/>
  </r>
  <r>
    <s v="Job0185"/>
    <s v="Ai Engineer"/>
    <s v="Razorpay"/>
    <s v="Noida"/>
    <s v="5+ Years"/>
    <n v="4015000"/>
    <n v="40.15"/>
    <s v="Full Time"/>
    <s v="Hybrid"/>
    <d v="2026-07-07T00:00:00"/>
    <x v="1"/>
  </r>
  <r>
    <s v="Job0185"/>
    <s v="Ai Engineer"/>
    <s v="Razorpay"/>
    <s v="Noida"/>
    <s v="5+ Years"/>
    <n v="4015000"/>
    <n v="40.15"/>
    <s v="Full Time"/>
    <s v="Hybrid"/>
    <d v="2026-07-07T00:00:00"/>
    <x v="14"/>
  </r>
  <r>
    <s v="Job0326"/>
    <s v="Data Engineer"/>
    <s v="Sap Labs India"/>
    <s v="Delhi"/>
    <s v="0-2 Years"/>
    <n v="385000"/>
    <n v="3.85"/>
    <s v="Internship"/>
    <s v="Hybrid"/>
    <d v="2026-04-25T00:00:00"/>
    <x v="9"/>
  </r>
  <r>
    <s v="Job0326"/>
    <s v="Data Engineer"/>
    <s v="Sap Labs India"/>
    <s v="Delhi"/>
    <s v="0-2 Years"/>
    <n v="385000"/>
    <n v="3.85"/>
    <s v="Internship"/>
    <s v="Hybrid"/>
    <d v="2026-04-25T00:00:00"/>
    <x v="8"/>
  </r>
  <r>
    <s v="Job0326"/>
    <s v="Data Engineer"/>
    <s v="Sap Labs India"/>
    <s v="Delhi"/>
    <s v="0-2 Years"/>
    <n v="385000"/>
    <n v="3.85"/>
    <s v="Internship"/>
    <s v="Hybrid"/>
    <d v="2026-04-25T00:00:00"/>
    <x v="13"/>
  </r>
  <r>
    <s v="Job0472"/>
    <s v="Data Engineer"/>
    <s v="Bajaj Finserv"/>
    <s v="Bangalore"/>
    <s v="1-3 Years"/>
    <n v="845000"/>
    <n v="8.4499999999999993"/>
    <s v="Contract"/>
    <s v="Remote"/>
    <d v="2026-05-02T00:00:00"/>
    <x v="13"/>
  </r>
  <r>
    <s v="Job0472"/>
    <s v="Data Engineer"/>
    <s v="Bajaj Finserv"/>
    <s v="Bangalore"/>
    <s v="1-3 Years"/>
    <n v="845000"/>
    <n v="8.4499999999999993"/>
    <s v="Contract"/>
    <s v="Remote"/>
    <d v="2026-05-02T00:00:00"/>
    <x v="7"/>
  </r>
  <r>
    <s v="Job0472"/>
    <s v="Data Engineer"/>
    <s v="Bajaj Finserv"/>
    <s v="Bangalore"/>
    <s v="1-3 Years"/>
    <n v="845000"/>
    <n v="8.4499999999999993"/>
    <s v="Contract"/>
    <s v="Remote"/>
    <d v="2026-05-02T00:00:00"/>
    <x v="11"/>
  </r>
  <r>
    <s v="Job0257"/>
    <s v="Data Engineer"/>
    <s v="American Express India"/>
    <s v="Delhi"/>
    <s v="1-3 Years"/>
    <n v="605000"/>
    <n v="6.05"/>
    <s v="Full Time"/>
    <s v="On-Site"/>
    <d v="2026-08-31T00:00:00"/>
    <x v="8"/>
  </r>
  <r>
    <s v="Job0257"/>
    <s v="Data Engineer"/>
    <s v="American Express India"/>
    <s v="Delhi"/>
    <s v="1-3 Years"/>
    <n v="605000"/>
    <n v="6.05"/>
    <s v="Full Time"/>
    <s v="On-Site"/>
    <d v="2026-08-31T00:00:00"/>
    <x v="2"/>
  </r>
  <r>
    <s v="Job0257"/>
    <s v="Data Engineer"/>
    <s v="American Express India"/>
    <s v="Delhi"/>
    <s v="1-3 Years"/>
    <n v="605000"/>
    <n v="6.05"/>
    <s v="Full Time"/>
    <s v="On-Site"/>
    <d v="2026-08-31T00:00:00"/>
    <x v="13"/>
  </r>
  <r>
    <s v="Job0469"/>
    <s v="Data Analyst"/>
    <s v="Nykaa"/>
    <s v="Kolkata"/>
    <s v="0-2 Years"/>
    <n v="480000"/>
    <n v="4.8"/>
    <s v="Full Time"/>
    <s v="Hybrid"/>
    <d v="2026-06-07T00:00:00"/>
    <x v="10"/>
  </r>
  <r>
    <s v="Job0469"/>
    <s v="Data Analyst"/>
    <s v="Nykaa"/>
    <s v="Kolkata"/>
    <s v="0-2 Years"/>
    <n v="480000"/>
    <n v="4.8"/>
    <s v="Full Time"/>
    <s v="Hybrid"/>
    <d v="2026-06-07T00:00:00"/>
    <x v="5"/>
  </r>
  <r>
    <s v="Job0469"/>
    <s v="Data Analyst"/>
    <s v="Nykaa"/>
    <s v="Kolkata"/>
    <s v="0-2 Years"/>
    <n v="480000"/>
    <n v="4.8"/>
    <s v="Full Time"/>
    <s v="Hybrid"/>
    <d v="2026-06-07T00:00:00"/>
    <x v="9"/>
  </r>
  <r>
    <s v="Job0413"/>
    <s v="Data Engineer"/>
    <s v="Swiggy"/>
    <s v="Delhi"/>
    <s v="1-3 Years"/>
    <n v="955000"/>
    <n v="9.5500000000000007"/>
    <s v="Contract"/>
    <s v="Remote"/>
    <d v="2026-03-20T00:00:00"/>
    <x v="0"/>
  </r>
  <r>
    <s v="Job0413"/>
    <s v="Data Engineer"/>
    <s v="Swiggy"/>
    <s v="Delhi"/>
    <s v="1-3 Years"/>
    <n v="955000"/>
    <n v="9.5500000000000007"/>
    <s v="Contract"/>
    <s v="Remote"/>
    <d v="2026-03-20T00:00:00"/>
    <x v="13"/>
  </r>
  <r>
    <s v="Job0413"/>
    <s v="Data Engineer"/>
    <s v="Swiggy"/>
    <s v="Delhi"/>
    <s v="1-3 Years"/>
    <n v="955000"/>
    <n v="9.5500000000000007"/>
    <s v="Contract"/>
    <s v="Remote"/>
    <d v="2026-03-20T00:00:00"/>
    <x v="10"/>
  </r>
  <r>
    <s v="Job0349"/>
    <s v="Product Data Analyst"/>
    <s v="Genpact"/>
    <s v="Gurugram"/>
    <s v="1-3 Years"/>
    <n v="630000"/>
    <n v="6.3"/>
    <s v="Full Time"/>
    <s v="Remote"/>
    <d v="2026-06-25T00:00:00"/>
    <x v="8"/>
  </r>
  <r>
    <s v="Job0349"/>
    <s v="Product Data Analyst"/>
    <s v="Genpact"/>
    <s v="Gurugram"/>
    <s v="1-3 Years"/>
    <n v="630000"/>
    <n v="6.3"/>
    <s v="Full Time"/>
    <s v="Remote"/>
    <d v="2026-06-25T00:00:00"/>
    <x v="2"/>
  </r>
  <r>
    <s v="Job0349"/>
    <s v="Product Data Analyst"/>
    <s v="Genpact"/>
    <s v="Gurugram"/>
    <s v="1-3 Years"/>
    <n v="630000"/>
    <n v="6.3"/>
    <s v="Full Time"/>
    <s v="Remote"/>
    <d v="2026-06-25T00:00:00"/>
    <x v="10"/>
  </r>
  <r>
    <s v="Job0125"/>
    <s v="Data Scientist"/>
    <s v="Meesho"/>
    <s v="Delhi"/>
    <s v="0-2 Years"/>
    <n v="780000"/>
    <n v="7.8"/>
    <s v="Full Time"/>
    <s v="On-Site"/>
    <d v="2026-04-06T00:00:00"/>
    <x v="9"/>
  </r>
  <r>
    <s v="Job0125"/>
    <s v="Data Scientist"/>
    <s v="Meesho"/>
    <s v="Delhi"/>
    <s v="0-2 Years"/>
    <n v="780000"/>
    <n v="7.8"/>
    <s v="Full Time"/>
    <s v="On-Site"/>
    <d v="2026-04-06T00:00:00"/>
    <x v="4"/>
  </r>
  <r>
    <s v="Job0125"/>
    <s v="Data Scientist"/>
    <s v="Meesho"/>
    <s v="Delhi"/>
    <s v="0-2 Years"/>
    <n v="780000"/>
    <n v="7.8"/>
    <s v="Full Time"/>
    <s v="On-Site"/>
    <d v="2026-04-06T00:00:00"/>
    <x v="1"/>
  </r>
  <r>
    <s v="Job0324"/>
    <s v="Ml Engineer"/>
    <s v="Infosys"/>
    <s v="Delhi"/>
    <s v="3-5 Years"/>
    <n v="1850000"/>
    <n v="18.5"/>
    <s v="Full Time"/>
    <s v="Remote"/>
    <d v="2026-05-21T00:00:00"/>
    <x v="13"/>
  </r>
  <r>
    <s v="Job0324"/>
    <s v="Ml Engineer"/>
    <s v="Infosys"/>
    <s v="Delhi"/>
    <s v="3-5 Years"/>
    <n v="1850000"/>
    <n v="18.5"/>
    <s v="Full Time"/>
    <s v="Remote"/>
    <d v="2026-05-21T00:00:00"/>
    <x v="1"/>
  </r>
  <r>
    <s v="Job0324"/>
    <s v="Ml Engineer"/>
    <s v="Infosys"/>
    <s v="Delhi"/>
    <s v="3-5 Years"/>
    <n v="1850000"/>
    <n v="18.5"/>
    <s v="Full Time"/>
    <s v="Remote"/>
    <d v="2026-05-21T00:00:00"/>
    <x v="4"/>
  </r>
  <r>
    <s v="Job0022"/>
    <s v="Data Analyst"/>
    <s v="Ey India"/>
    <s v="Noida"/>
    <s v="5+ Years"/>
    <n v="3240000"/>
    <n v="32.4"/>
    <s v="Full Time"/>
    <s v="Hybrid"/>
    <d v="2026-04-28T00:00:00"/>
    <x v="10"/>
  </r>
  <r>
    <s v="Job0022"/>
    <s v="Data Analyst"/>
    <s v="Ey India"/>
    <s v="Noida"/>
    <s v="5+ Years"/>
    <n v="3240000"/>
    <n v="32.4"/>
    <s v="Full Time"/>
    <s v="Hybrid"/>
    <d v="2026-04-28T00:00:00"/>
    <x v="0"/>
  </r>
  <r>
    <s v="Job0022"/>
    <s v="Data Analyst"/>
    <s v="Ey India"/>
    <s v="Noida"/>
    <s v="5+ Years"/>
    <n v="3240000"/>
    <n v="32.4"/>
    <s v="Full Time"/>
    <s v="Hybrid"/>
    <d v="2026-04-28T00:00:00"/>
    <x v="12"/>
  </r>
  <r>
    <s v="Job0312"/>
    <s v="Ai Engineer"/>
    <s v="Samsung R&amp;D Institute India"/>
    <s v="Pune"/>
    <s v="1-3 Years"/>
    <n v="1005000"/>
    <n v="10.050000000000001"/>
    <s v="Full Time"/>
    <s v="On-Site"/>
    <d v="2026-07-14T00:00:00"/>
    <x v="3"/>
  </r>
  <r>
    <s v="Job0312"/>
    <s v="Ai Engineer"/>
    <s v="Samsung R&amp;D Institute India"/>
    <s v="Pune"/>
    <s v="1-3 Years"/>
    <n v="1005000"/>
    <n v="10.050000000000001"/>
    <s v="Full Time"/>
    <s v="On-Site"/>
    <d v="2026-07-14T00:00:00"/>
    <x v="9"/>
  </r>
  <r>
    <s v="Job0312"/>
    <s v="Ai Engineer"/>
    <s v="Samsung R&amp;D Institute India"/>
    <s v="Pune"/>
    <s v="1-3 Years"/>
    <n v="1005000"/>
    <n v="10.050000000000001"/>
    <s v="Full Time"/>
    <s v="On-Site"/>
    <d v="2026-07-14T00:00:00"/>
    <x v="8"/>
  </r>
  <r>
    <s v="Job0234"/>
    <s v="Product Data Analyst"/>
    <s v="Ibm India"/>
    <s v="Pune"/>
    <s v="2-5 Years"/>
    <n v="1015000"/>
    <n v="10.15"/>
    <s v="Contract"/>
    <s v="On-Site"/>
    <d v="2026-06-29T00:00:00"/>
    <x v="8"/>
  </r>
  <r>
    <s v="Job0234"/>
    <s v="Product Data Analyst"/>
    <s v="Ibm India"/>
    <s v="Pune"/>
    <s v="2-5 Years"/>
    <n v="1015000"/>
    <n v="10.15"/>
    <s v="Contract"/>
    <s v="On-Site"/>
    <d v="2026-06-29T00:00:00"/>
    <x v="12"/>
  </r>
  <r>
    <s v="Job0234"/>
    <s v="Product Data Analyst"/>
    <s v="Ibm India"/>
    <s v="Pune"/>
    <s v="2-5 Years"/>
    <n v="1015000"/>
    <n v="10.15"/>
    <s v="Contract"/>
    <s v="On-Site"/>
    <d v="2026-06-29T00:00:00"/>
    <x v="10"/>
  </r>
  <r>
    <s v="Job0122"/>
    <s v="Data Analyst"/>
    <s v="Makemytrip"/>
    <s v="Gurugram"/>
    <s v="1-3 Years"/>
    <n v="955000"/>
    <n v="9.5500000000000007"/>
    <s v="Full Time"/>
    <s v="Hybrid"/>
    <d v="2026-08-02T00:00:00"/>
    <x v="2"/>
  </r>
  <r>
    <s v="Job0122"/>
    <s v="Data Analyst"/>
    <s v="Makemytrip"/>
    <s v="Gurugram"/>
    <s v="1-3 Years"/>
    <n v="955000"/>
    <n v="9.5500000000000007"/>
    <s v="Full Time"/>
    <s v="Hybrid"/>
    <d v="2026-08-02T00:00:00"/>
    <x v="10"/>
  </r>
  <r>
    <s v="Job0122"/>
    <s v="Data Analyst"/>
    <s v="Makemytrip"/>
    <s v="Gurugram"/>
    <s v="1-3 Years"/>
    <n v="955000"/>
    <n v="9.5500000000000007"/>
    <s v="Full Time"/>
    <s v="Hybrid"/>
    <d v="2026-08-02T00:00:00"/>
    <x v="12"/>
  </r>
  <r>
    <s v="Job0433"/>
    <s v="Ml Engineer"/>
    <s v="Tcs"/>
    <s v="Gurugram"/>
    <s v="3-5 Years"/>
    <n v="2025000"/>
    <n v="20.25"/>
    <s v="Full Time"/>
    <s v="Remote"/>
    <d v="2026-06-18T00:00:00"/>
    <x v="12"/>
  </r>
  <r>
    <s v="Job0433"/>
    <s v="Ml Engineer"/>
    <s v="Tcs"/>
    <s v="Gurugram"/>
    <s v="3-5 Years"/>
    <n v="2025000"/>
    <n v="20.25"/>
    <s v="Full Time"/>
    <s v="Remote"/>
    <d v="2026-06-18T00:00:00"/>
    <x v="5"/>
  </r>
  <r>
    <s v="Job0433"/>
    <s v="Ml Engineer"/>
    <s v="Tcs"/>
    <s v="Gurugram"/>
    <s v="3-5 Years"/>
    <n v="2025000"/>
    <n v="20.25"/>
    <s v="Full Time"/>
    <s v="Remote"/>
    <d v="2026-06-18T00:00:00"/>
    <x v="13"/>
  </r>
  <r>
    <s v="Job0381"/>
    <s v="Machine Learning Scientist"/>
    <s v="Larsen &amp; Toubro"/>
    <s v="Ahmedabad"/>
    <s v="5+ Years"/>
    <n v="2500000"/>
    <n v="25"/>
    <s v="Full Time"/>
    <s v="Hybrid"/>
    <d v="2026-04-16T00:00:00"/>
    <x v="1"/>
  </r>
  <r>
    <s v="Job0381"/>
    <s v="Machine Learning Scientist"/>
    <s v="Larsen &amp; Toubro"/>
    <s v="Ahmedabad"/>
    <s v="5+ Years"/>
    <n v="2500000"/>
    <n v="25"/>
    <s v="Full Time"/>
    <s v="Hybrid"/>
    <d v="2026-04-16T00:00:00"/>
    <x v="10"/>
  </r>
  <r>
    <s v="Job0381"/>
    <s v="Machine Learning Scientist"/>
    <s v="Larsen &amp; Toubro"/>
    <s v="Ahmedabad"/>
    <s v="5+ Years"/>
    <n v="2500000"/>
    <n v="25"/>
    <s v="Full Time"/>
    <s v="Hybrid"/>
    <d v="2026-04-16T00:00:00"/>
    <x v="3"/>
  </r>
  <r>
    <s v="Job0052"/>
    <s v="Ai Engineer"/>
    <s v="Freshworks"/>
    <s v="Mumbai"/>
    <s v="2-5 Years"/>
    <n v="1680000"/>
    <n v="16.8"/>
    <s v="Full Time"/>
    <s v="Hybrid"/>
    <d v="2026-02-16T00:00:00"/>
    <x v="2"/>
  </r>
  <r>
    <s v="Job0052"/>
    <s v="Ai Engineer"/>
    <s v="Freshworks"/>
    <s v="Mumbai"/>
    <s v="2-5 Years"/>
    <n v="1680000"/>
    <n v="16.8"/>
    <s v="Full Time"/>
    <s v="Hybrid"/>
    <d v="2026-02-16T00:00:00"/>
    <x v="3"/>
  </r>
  <r>
    <s v="Job0052"/>
    <s v="Ai Engineer"/>
    <s v="Freshworks"/>
    <s v="Mumbai"/>
    <s v="2-5 Years"/>
    <n v="1680000"/>
    <n v="16.8"/>
    <s v="Full Time"/>
    <s v="Hybrid"/>
    <d v="2026-02-16T00:00:00"/>
    <x v="6"/>
  </r>
  <r>
    <s v="Job0416"/>
    <s v="Bi Analyst"/>
    <s v="Unacademy"/>
    <s v="Delhi"/>
    <s v="0-2 Years"/>
    <n v="360000"/>
    <n v="3.6"/>
    <s v="Contract"/>
    <s v="Hybrid"/>
    <d v="2026-08-10T00:00:00"/>
    <x v="10"/>
  </r>
  <r>
    <s v="Job0416"/>
    <s v="Bi Analyst"/>
    <s v="Unacademy"/>
    <s v="Delhi"/>
    <s v="0-2 Years"/>
    <n v="360000"/>
    <n v="3.6"/>
    <s v="Contract"/>
    <s v="Hybrid"/>
    <d v="2026-08-10T00:00:00"/>
    <x v="0"/>
  </r>
  <r>
    <s v="Job0416"/>
    <s v="Bi Analyst"/>
    <s v="Unacademy"/>
    <s v="Delhi"/>
    <s v="0-2 Years"/>
    <n v="360000"/>
    <n v="3.6"/>
    <s v="Contract"/>
    <s v="Hybrid"/>
    <d v="2026-08-10T00:00:00"/>
    <x v="2"/>
  </r>
  <r>
    <s v="Job0180"/>
    <s v="Ai/Ml Analyst"/>
    <s v="Quantiphi"/>
    <s v="Noida"/>
    <s v="1-3 Years"/>
    <n v="655000"/>
    <n v="6.55"/>
    <s v="Full Time"/>
    <s v="Remote"/>
    <d v="2026-03-10T00:00:00"/>
    <x v="12"/>
  </r>
  <r>
    <s v="Job0180"/>
    <s v="Ai/Ml Analyst"/>
    <s v="Quantiphi"/>
    <s v="Noida"/>
    <s v="1-3 Years"/>
    <n v="655000"/>
    <n v="6.55"/>
    <s v="Full Time"/>
    <s v="Remote"/>
    <d v="2026-03-10T00:00:00"/>
    <x v="3"/>
  </r>
  <r>
    <s v="Job0180"/>
    <s v="Ai/Ml Analyst"/>
    <s v="Quantiphi"/>
    <s v="Noida"/>
    <s v="1-3 Years"/>
    <n v="655000"/>
    <n v="6.55"/>
    <s v="Full Time"/>
    <s v="Remote"/>
    <d v="2026-03-10T00:00:00"/>
    <x v="9"/>
  </r>
  <r>
    <s v="Job0362"/>
    <s v="Data Analyst"/>
    <s v="Byju'S"/>
    <s v="Bangalore"/>
    <s v="3-5 Years"/>
    <n v="1605000"/>
    <n v="16.05"/>
    <s v="Full Time"/>
    <s v="Hybrid"/>
    <d v="2026-03-06T00:00:00"/>
    <x v="5"/>
  </r>
  <r>
    <s v="Job0362"/>
    <s v="Data Analyst"/>
    <s v="Byju'S"/>
    <s v="Bangalore"/>
    <s v="3-5 Years"/>
    <n v="1605000"/>
    <n v="16.05"/>
    <s v="Full Time"/>
    <s v="Hybrid"/>
    <d v="2026-03-06T00:00:00"/>
    <x v="14"/>
  </r>
  <r>
    <s v="Job0362"/>
    <s v="Data Analyst"/>
    <s v="Byju'S"/>
    <s v="Bangalore"/>
    <s v="3-5 Years"/>
    <n v="1605000"/>
    <n v="16.05"/>
    <s v="Full Time"/>
    <s v="Hybrid"/>
    <d v="2026-03-06T00:00:00"/>
    <x v="4"/>
  </r>
  <r>
    <s v="Job0107"/>
    <s v="Ai/Ml Analyst"/>
    <s v="Ey India"/>
    <s v="Noida"/>
    <s v="2-5 Years"/>
    <n v="1545000"/>
    <n v="15.45"/>
    <s v="Full Time"/>
    <s v="On-Site"/>
    <d v="2026-03-31T00:00:00"/>
    <x v="8"/>
  </r>
  <r>
    <s v="Job0107"/>
    <s v="Ai/Ml Analyst"/>
    <s v="Ey India"/>
    <s v="Noida"/>
    <s v="2-5 Years"/>
    <n v="1545000"/>
    <n v="15.45"/>
    <s v="Full Time"/>
    <s v="On-Site"/>
    <d v="2026-03-31T00:00:00"/>
    <x v="3"/>
  </r>
  <r>
    <s v="Job0107"/>
    <s v="Ai/Ml Analyst"/>
    <s v="Ey India"/>
    <s v="Noida"/>
    <s v="2-5 Years"/>
    <n v="1545000"/>
    <n v="15.45"/>
    <s v="Full Time"/>
    <s v="On-Site"/>
    <d v="2026-03-31T00:00:00"/>
    <x v="14"/>
  </r>
  <r>
    <s v="Job0388"/>
    <s v="Bi Analyst"/>
    <s v="Deloitte India"/>
    <s v="Ahmedabad"/>
    <s v="3-5 Years"/>
    <n v="1220000"/>
    <n v="12.2"/>
    <s v="Contract"/>
    <s v="Hybrid"/>
    <d v="2026-07-17T00:00:00"/>
    <x v="8"/>
  </r>
  <r>
    <s v="Job0388"/>
    <s v="Bi Analyst"/>
    <s v="Deloitte India"/>
    <s v="Ahmedabad"/>
    <s v="3-5 Years"/>
    <n v="1220000"/>
    <n v="12.2"/>
    <s v="Contract"/>
    <s v="Hybrid"/>
    <d v="2026-07-17T00:00:00"/>
    <x v="10"/>
  </r>
  <r>
    <s v="Job0388"/>
    <s v="Bi Analyst"/>
    <s v="Deloitte India"/>
    <s v="Ahmedabad"/>
    <s v="3-5 Years"/>
    <n v="1220000"/>
    <n v="12.2"/>
    <s v="Contract"/>
    <s v="Hybrid"/>
    <d v="2026-07-17T00:00:00"/>
    <x v="2"/>
  </r>
  <r>
    <s v="Job0042"/>
    <s v="Bi Analyst"/>
    <s v="L&amp;T Infotech"/>
    <s v="Hyderabad"/>
    <s v="0-2 Years"/>
    <n v="535000"/>
    <n v="5.35"/>
    <s v="Full Time"/>
    <s v="Hybrid"/>
    <d v="2026-04-08T00:00:00"/>
    <x v="12"/>
  </r>
  <r>
    <s v="Job0042"/>
    <s v="Bi Analyst"/>
    <s v="L&amp;T Infotech"/>
    <s v="Hyderabad"/>
    <s v="0-2 Years"/>
    <n v="535000"/>
    <n v="5.35"/>
    <s v="Full Time"/>
    <s v="Hybrid"/>
    <d v="2026-04-08T00:00:00"/>
    <x v="11"/>
  </r>
  <r>
    <s v="Job0042"/>
    <s v="Bi Analyst"/>
    <s v="L&amp;T Infotech"/>
    <s v="Hyderabad"/>
    <s v="0-2 Years"/>
    <n v="535000"/>
    <n v="5.35"/>
    <s v="Full Time"/>
    <s v="Hybrid"/>
    <d v="2026-04-08T00:00:00"/>
    <x v="5"/>
  </r>
  <r>
    <s v="Job0207"/>
    <s v="Data Analyst"/>
    <s v="Kpmg India"/>
    <s v="Chennai"/>
    <s v="1-3 Years"/>
    <n v="805000"/>
    <n v="8.0500000000000007"/>
    <s v="Full Time"/>
    <s v="Hybrid"/>
    <d v="2026-01-07T00:00:00"/>
    <x v="3"/>
  </r>
  <r>
    <s v="Job0207"/>
    <s v="Data Analyst"/>
    <s v="Kpmg India"/>
    <s v="Chennai"/>
    <s v="1-3 Years"/>
    <n v="805000"/>
    <n v="8.0500000000000007"/>
    <s v="Full Time"/>
    <s v="Hybrid"/>
    <d v="2026-01-07T00:00:00"/>
    <x v="12"/>
  </r>
  <r>
    <s v="Job0207"/>
    <s v="Data Analyst"/>
    <s v="Kpmg India"/>
    <s v="Chennai"/>
    <s v="1-3 Years"/>
    <n v="805000"/>
    <n v="8.0500000000000007"/>
    <s v="Full Time"/>
    <s v="Hybrid"/>
    <d v="2026-01-07T00:00:00"/>
    <x v="6"/>
  </r>
  <r>
    <s v="Job0313"/>
    <s v="Data Engineer"/>
    <s v="Infosys"/>
    <s v="Delhi"/>
    <s v="0-2 Years"/>
    <n v="290000"/>
    <n v="2.9"/>
    <s v="Internship"/>
    <s v="Hybrid"/>
    <d v="2026-07-10T00:00:00"/>
    <x v="13"/>
  </r>
  <r>
    <s v="Job0313"/>
    <s v="Data Engineer"/>
    <s v="Infosys"/>
    <s v="Delhi"/>
    <s v="0-2 Years"/>
    <n v="290000"/>
    <n v="2.9"/>
    <s v="Internship"/>
    <s v="Hybrid"/>
    <d v="2026-07-10T00:00:00"/>
    <x v="2"/>
  </r>
  <r>
    <s v="Job0313"/>
    <s v="Data Engineer"/>
    <s v="Infosys"/>
    <s v="Delhi"/>
    <s v="0-2 Years"/>
    <n v="290000"/>
    <n v="2.9"/>
    <s v="Internship"/>
    <s v="Hybrid"/>
    <d v="2026-07-10T00:00:00"/>
    <x v="8"/>
  </r>
  <r>
    <s v="Job0386"/>
    <s v="Business Analyst"/>
    <s v="Capgemini"/>
    <s v="Ahmedabad"/>
    <s v="0-2 Years"/>
    <n v="435000"/>
    <n v="4.3499999999999996"/>
    <s v="Full Time"/>
    <s v="Hybrid"/>
    <d v="2026-05-07T00:00:00"/>
    <x v="2"/>
  </r>
  <r>
    <s v="Job0386"/>
    <s v="Business Analyst"/>
    <s v="Capgemini"/>
    <s v="Ahmedabad"/>
    <s v="0-2 Years"/>
    <n v="435000"/>
    <n v="4.3499999999999996"/>
    <s v="Full Time"/>
    <s v="Hybrid"/>
    <d v="2026-05-07T00:00:00"/>
    <x v="0"/>
  </r>
  <r>
    <s v="Job0386"/>
    <s v="Business Analyst"/>
    <s v="Capgemini"/>
    <s v="Ahmedabad"/>
    <s v="0-2 Years"/>
    <n v="435000"/>
    <n v="4.3499999999999996"/>
    <s v="Full Time"/>
    <s v="Hybrid"/>
    <d v="2026-05-07T00:00:00"/>
    <x v="10"/>
  </r>
  <r>
    <s v="Job0354"/>
    <s v="Data Analyst"/>
    <s v="Cred"/>
    <s v="Mumbai"/>
    <s v="5+ Years"/>
    <n v="1620000"/>
    <n v="16.2"/>
    <s v="Full Time"/>
    <s v="Hybrid"/>
    <d v="2026-03-06T00:00:00"/>
    <x v="3"/>
  </r>
  <r>
    <s v="Job0354"/>
    <s v="Data Analyst"/>
    <s v="Cred"/>
    <s v="Mumbai"/>
    <s v="5+ Years"/>
    <n v="1620000"/>
    <n v="16.2"/>
    <s v="Full Time"/>
    <s v="Hybrid"/>
    <d v="2026-03-06T00:00:00"/>
    <x v="8"/>
  </r>
  <r>
    <s v="Job0354"/>
    <s v="Data Analyst"/>
    <s v="Cred"/>
    <s v="Mumbai"/>
    <s v="5+ Years"/>
    <n v="1620000"/>
    <n v="16.2"/>
    <s v="Full Time"/>
    <s v="Hybrid"/>
    <d v="2026-03-06T00:00:00"/>
    <x v="5"/>
  </r>
  <r>
    <s v="Job0199"/>
    <s v="Data Scientist"/>
    <s v="Dunzo"/>
    <s v="Hyderabad"/>
    <s v="5+ Years"/>
    <n v="3110000"/>
    <n v="31.1"/>
    <s v="Full Time"/>
    <s v="Remote"/>
    <d v="2026-03-12T00:00:00"/>
    <x v="9"/>
  </r>
  <r>
    <s v="Job0199"/>
    <s v="Data Scientist"/>
    <s v="Dunzo"/>
    <s v="Hyderabad"/>
    <s v="5+ Years"/>
    <n v="3110000"/>
    <n v="31.1"/>
    <s v="Full Time"/>
    <s v="Remote"/>
    <d v="2026-03-12T00:00:00"/>
    <x v="3"/>
  </r>
  <r>
    <s v="Job0199"/>
    <s v="Data Scientist"/>
    <s v="Dunzo"/>
    <s v="Hyderabad"/>
    <s v="5+ Years"/>
    <n v="3110000"/>
    <n v="31.1"/>
    <s v="Full Time"/>
    <s v="Remote"/>
    <d v="2026-03-12T00:00:00"/>
    <x v="1"/>
  </r>
  <r>
    <s v="Job0072"/>
    <s v="Business Analyst"/>
    <s v="Hdfc Bank"/>
    <s v="Ahmedabad"/>
    <s v="3-5 Years"/>
    <n v="1415000"/>
    <n v="14.15"/>
    <s v="Full Time"/>
    <s v="Hybrid"/>
    <d v="2026-03-01T00:00:00"/>
    <x v="8"/>
  </r>
  <r>
    <s v="Job0072"/>
    <s v="Business Analyst"/>
    <s v="Hdfc Bank"/>
    <s v="Ahmedabad"/>
    <s v="3-5 Years"/>
    <n v="1415000"/>
    <n v="14.15"/>
    <s v="Full Time"/>
    <s v="Hybrid"/>
    <d v="2026-03-01T00:00:00"/>
    <x v="5"/>
  </r>
  <r>
    <s v="Job0072"/>
    <s v="Business Analyst"/>
    <s v="Hdfc Bank"/>
    <s v="Ahmedabad"/>
    <s v="3-5 Years"/>
    <n v="1415000"/>
    <n v="14.15"/>
    <s v="Full Time"/>
    <s v="Hybrid"/>
    <d v="2026-03-01T00:00:00"/>
    <x v="11"/>
  </r>
  <r>
    <s v="Job0277"/>
    <s v="Machine Learning Scientist"/>
    <s v="Unacademy"/>
    <s v="Delhi"/>
    <s v="0-2 Years"/>
    <n v="500000"/>
    <n v="5"/>
    <s v="Contract"/>
    <s v="Hybrid"/>
    <d v="2026-01-26T00:00:00"/>
    <x v="11"/>
  </r>
  <r>
    <s v="Job0277"/>
    <s v="Machine Learning Scientist"/>
    <s v="Unacademy"/>
    <s v="Delhi"/>
    <s v="0-2 Years"/>
    <n v="500000"/>
    <n v="5"/>
    <s v="Contract"/>
    <s v="Hybrid"/>
    <d v="2026-01-26T00:00:00"/>
    <x v="8"/>
  </r>
  <r>
    <s v="Job0277"/>
    <s v="Machine Learning Scientist"/>
    <s v="Unacademy"/>
    <s v="Delhi"/>
    <s v="0-2 Years"/>
    <n v="500000"/>
    <n v="5"/>
    <s v="Contract"/>
    <s v="Hybrid"/>
    <d v="2026-01-26T00:00:00"/>
    <x v="7"/>
  </r>
  <r>
    <s v="Job0041"/>
    <s v="Data Engineer"/>
    <s v="Policybazaar"/>
    <s v="Gurugram"/>
    <s v="0-2 Years"/>
    <n v="670000"/>
    <n v="6.7"/>
    <s v="Full Time"/>
    <s v="Hybrid"/>
    <d v="2026-03-01T00:00:00"/>
    <x v="0"/>
  </r>
  <r>
    <s v="Job0041"/>
    <s v="Data Engineer"/>
    <s v="Policybazaar"/>
    <s v="Gurugram"/>
    <s v="0-2 Years"/>
    <n v="670000"/>
    <n v="6.7"/>
    <s v="Full Time"/>
    <s v="Hybrid"/>
    <d v="2026-03-01T00:00:00"/>
    <x v="9"/>
  </r>
  <r>
    <s v="Job0041"/>
    <s v="Data Engineer"/>
    <s v="Policybazaar"/>
    <s v="Gurugram"/>
    <s v="0-2 Years"/>
    <n v="670000"/>
    <n v="6.7"/>
    <s v="Full Time"/>
    <s v="Hybrid"/>
    <d v="2026-03-01T00:00:00"/>
    <x v="11"/>
  </r>
  <r>
    <s v="Job0385"/>
    <s v="Ai/Ml Analyst"/>
    <s v="Unacademy"/>
    <s v="Noida"/>
    <s v="1-3 Years"/>
    <n v="1010000"/>
    <n v="10.1"/>
    <s v="Full Time"/>
    <s v="Hybrid"/>
    <d v="2026-01-05T00:00:00"/>
    <x v="1"/>
  </r>
  <r>
    <s v="Job0385"/>
    <s v="Ai/Ml Analyst"/>
    <s v="Unacademy"/>
    <s v="Noida"/>
    <s v="1-3 Years"/>
    <n v="1010000"/>
    <n v="10.1"/>
    <s v="Full Time"/>
    <s v="Hybrid"/>
    <d v="2026-01-05T00:00:00"/>
    <x v="0"/>
  </r>
  <r>
    <s v="Job0385"/>
    <s v="Ai/Ml Analyst"/>
    <s v="Unacademy"/>
    <s v="Noida"/>
    <s v="1-3 Years"/>
    <n v="1010000"/>
    <n v="10.1"/>
    <s v="Full Time"/>
    <s v="Hybrid"/>
    <d v="2026-01-05T00:00:00"/>
    <x v="14"/>
  </r>
  <r>
    <s v="Job0066"/>
    <s v="Machine Learning Scientist"/>
    <s v="Dell Technologies India"/>
    <s v="Noida"/>
    <s v="2-5 Years"/>
    <n v="1120000"/>
    <n v="11.2"/>
    <s v="Full Time"/>
    <s v="Remote"/>
    <d v="2026-01-10T00:00:00"/>
    <x v="10"/>
  </r>
  <r>
    <s v="Job0066"/>
    <s v="Machine Learning Scientist"/>
    <s v="Dell Technologies India"/>
    <s v="Noida"/>
    <s v="2-5 Years"/>
    <n v="1120000"/>
    <n v="11.2"/>
    <s v="Full Time"/>
    <s v="Remote"/>
    <d v="2026-01-10T00:00:00"/>
    <x v="7"/>
  </r>
  <r>
    <s v="Job0066"/>
    <s v="Machine Learning Scientist"/>
    <s v="Dell Technologies India"/>
    <s v="Noida"/>
    <s v="2-5 Years"/>
    <n v="1120000"/>
    <n v="11.2"/>
    <s v="Full Time"/>
    <s v="Remote"/>
    <d v="2026-01-10T00:00:00"/>
    <x v="11"/>
  </r>
  <r>
    <s v="Job0476"/>
    <s v="Ai Engineer"/>
    <s v="Lenskart"/>
    <s v="Pune"/>
    <s v="0-2 Years"/>
    <n v="725000"/>
    <n v="7.25"/>
    <s v="Full Time"/>
    <s v="Remote"/>
    <d v="2026-01-09T00:00:00"/>
    <x v="11"/>
  </r>
  <r>
    <s v="Job0476"/>
    <s v="Ai Engineer"/>
    <s v="Lenskart"/>
    <s v="Pune"/>
    <s v="0-2 Years"/>
    <n v="725000"/>
    <n v="7.25"/>
    <s v="Full Time"/>
    <s v="Remote"/>
    <d v="2026-01-09T00:00:00"/>
    <x v="6"/>
  </r>
  <r>
    <s v="Job0476"/>
    <s v="Ai Engineer"/>
    <s v="Lenskart"/>
    <s v="Pune"/>
    <s v="0-2 Years"/>
    <n v="725000"/>
    <n v="7.25"/>
    <s v="Full Time"/>
    <s v="Remote"/>
    <d v="2026-01-09T00:00:00"/>
    <x v="14"/>
  </r>
  <r>
    <s v="Job0492"/>
    <s v="Machine Learning Scientist"/>
    <s v="Ey India"/>
    <s v="Pune"/>
    <s v="0-2 Years"/>
    <n v="430000"/>
    <n v="4.3"/>
    <s v="Full Time"/>
    <s v="Hybrid"/>
    <d v="2026-07-22T00:00:00"/>
    <x v="6"/>
  </r>
  <r>
    <s v="Job0492"/>
    <s v="Machine Learning Scientist"/>
    <s v="Ey India"/>
    <s v="Pune"/>
    <s v="0-2 Years"/>
    <n v="430000"/>
    <n v="4.3"/>
    <s v="Full Time"/>
    <s v="Hybrid"/>
    <d v="2026-07-22T00:00:00"/>
    <x v="8"/>
  </r>
  <r>
    <s v="Job0492"/>
    <s v="Machine Learning Scientist"/>
    <s v="Ey India"/>
    <s v="Pune"/>
    <s v="0-2 Years"/>
    <n v="430000"/>
    <n v="4.3"/>
    <s v="Full Time"/>
    <s v="Hybrid"/>
    <d v="2026-07-22T00:00:00"/>
    <x v="4"/>
  </r>
  <r>
    <s v="Job0268"/>
    <s v="Data Engineer"/>
    <s v="Bank Of America India"/>
    <s v="Ahmedabad"/>
    <s v="5+ Years"/>
    <n v="2370000"/>
    <n v="23.7"/>
    <s v="Full Time"/>
    <s v="Hybrid"/>
    <d v="2026-01-01T00:00:00"/>
    <x v="13"/>
  </r>
  <r>
    <s v="Job0268"/>
    <s v="Data Engineer"/>
    <s v="Bank Of America India"/>
    <s v="Ahmedabad"/>
    <s v="5+ Years"/>
    <n v="2370000"/>
    <n v="23.7"/>
    <s v="Full Time"/>
    <s v="Hybrid"/>
    <d v="2026-01-01T00:00:00"/>
    <x v="0"/>
  </r>
  <r>
    <s v="Job0268"/>
    <s v="Data Engineer"/>
    <s v="Bank Of America India"/>
    <s v="Ahmedabad"/>
    <s v="5+ Years"/>
    <n v="2370000"/>
    <n v="23.7"/>
    <s v="Full Time"/>
    <s v="Hybrid"/>
    <d v="2026-01-01T00:00:00"/>
    <x v="1"/>
  </r>
  <r>
    <s v="Job0263"/>
    <s v="Product Data Analyst"/>
    <s v="Phonepe"/>
    <s v="Kolkata"/>
    <s v="0-2 Years"/>
    <n v="770000"/>
    <n v="7.7"/>
    <s v="Full Time"/>
    <s v="On-Site"/>
    <d v="2026-06-21T00:00:00"/>
    <x v="2"/>
  </r>
  <r>
    <s v="Job0263"/>
    <s v="Product Data Analyst"/>
    <s v="Phonepe"/>
    <s v="Kolkata"/>
    <s v="0-2 Years"/>
    <n v="770000"/>
    <n v="7.7"/>
    <s v="Full Time"/>
    <s v="On-Site"/>
    <d v="2026-06-21T00:00:00"/>
    <x v="3"/>
  </r>
  <r>
    <s v="Job0263"/>
    <s v="Product Data Analyst"/>
    <s v="Phonepe"/>
    <s v="Kolkata"/>
    <s v="0-2 Years"/>
    <n v="770000"/>
    <n v="7.7"/>
    <s v="Full Time"/>
    <s v="On-Site"/>
    <d v="2026-06-21T00:00:00"/>
    <x v="10"/>
  </r>
  <r>
    <s v="Job0342"/>
    <s v="Data Engineer"/>
    <s v="Persistent Systems"/>
    <s v="Ahmedabad"/>
    <s v="1-3 Years"/>
    <n v="770000"/>
    <n v="7.7"/>
    <s v="Full Time"/>
    <s v="On-Site"/>
    <d v="2026-02-26T00:00:00"/>
    <x v="7"/>
  </r>
  <r>
    <s v="Job0342"/>
    <s v="Data Engineer"/>
    <s v="Persistent Systems"/>
    <s v="Ahmedabad"/>
    <s v="1-3 Years"/>
    <n v="770000"/>
    <n v="7.7"/>
    <s v="Full Time"/>
    <s v="On-Site"/>
    <d v="2026-02-26T00:00:00"/>
    <x v="13"/>
  </r>
  <r>
    <s v="Job0342"/>
    <s v="Data Engineer"/>
    <s v="Persistent Systems"/>
    <s v="Ahmedabad"/>
    <s v="1-3 Years"/>
    <n v="770000"/>
    <n v="7.7"/>
    <s v="Full Time"/>
    <s v="On-Site"/>
    <d v="2026-02-26T00:00:00"/>
    <x v="0"/>
  </r>
  <r>
    <s v="Job0404"/>
    <s v="Data Analyst"/>
    <s v="Makemytrip"/>
    <s v="Kolkata"/>
    <s v="0-2 Years"/>
    <n v="290000"/>
    <n v="2.9"/>
    <s v="Internship"/>
    <s v="Hybrid"/>
    <d v="2026-05-23T00:00:00"/>
    <x v="5"/>
  </r>
  <r>
    <s v="Job0404"/>
    <s v="Data Analyst"/>
    <s v="Makemytrip"/>
    <s v="Kolkata"/>
    <s v="0-2 Years"/>
    <n v="290000"/>
    <n v="2.9"/>
    <s v="Internship"/>
    <s v="Hybrid"/>
    <d v="2026-05-23T00:00:00"/>
    <x v="3"/>
  </r>
  <r>
    <s v="Job0404"/>
    <s v="Data Analyst"/>
    <s v="Makemytrip"/>
    <s v="Kolkata"/>
    <s v="0-2 Years"/>
    <n v="290000"/>
    <n v="2.9"/>
    <s v="Internship"/>
    <s v="Hybrid"/>
    <d v="2026-05-23T00:00:00"/>
    <x v="11"/>
  </r>
  <r>
    <s v="Job0321"/>
    <s v="Bi Analyst"/>
    <s v="Ola"/>
    <s v="Ahmedabad"/>
    <s v="2-5 Years"/>
    <n v="1495000"/>
    <n v="14.95"/>
    <s v="Full Time"/>
    <s v="Hybrid"/>
    <d v="2026-07-10T00:00:00"/>
    <x v="3"/>
  </r>
  <r>
    <s v="Job0321"/>
    <s v="Bi Analyst"/>
    <s v="Ola"/>
    <s v="Ahmedabad"/>
    <s v="2-5 Years"/>
    <n v="1495000"/>
    <n v="14.95"/>
    <s v="Full Time"/>
    <s v="Hybrid"/>
    <d v="2026-07-10T00:00:00"/>
    <x v="12"/>
  </r>
  <r>
    <s v="Job0321"/>
    <s v="Bi Analyst"/>
    <s v="Ola"/>
    <s v="Ahmedabad"/>
    <s v="2-5 Years"/>
    <n v="1495000"/>
    <n v="14.95"/>
    <s v="Full Time"/>
    <s v="Hybrid"/>
    <d v="2026-07-10T00:00:00"/>
    <x v="7"/>
  </r>
  <r>
    <s v="Job0168"/>
    <s v="Data Engineer"/>
    <s v="Freshworks"/>
    <s v="Kolkata"/>
    <s v="0-2 Years"/>
    <n v="585000"/>
    <n v="5.85"/>
    <s v="Full Time"/>
    <s v="Hybrid"/>
    <d v="2026-08-20T00:00:00"/>
    <x v="0"/>
  </r>
  <r>
    <s v="Job0168"/>
    <s v="Data Engineer"/>
    <s v="Freshworks"/>
    <s v="Kolkata"/>
    <s v="0-2 Years"/>
    <n v="585000"/>
    <n v="5.85"/>
    <s v="Full Time"/>
    <s v="Hybrid"/>
    <d v="2026-08-20T00:00:00"/>
    <x v="2"/>
  </r>
  <r>
    <s v="Job0168"/>
    <s v="Data Engineer"/>
    <s v="Freshworks"/>
    <s v="Kolkata"/>
    <s v="0-2 Years"/>
    <n v="585000"/>
    <n v="5.85"/>
    <s v="Full Time"/>
    <s v="Hybrid"/>
    <d v="2026-08-20T00:00:00"/>
    <x v="14"/>
  </r>
  <r>
    <s v="Job0467"/>
    <s v="Ai/Ml Analyst"/>
    <s v="Microsoft India"/>
    <s v="Kolkata"/>
    <s v="0-2 Years"/>
    <n v="755000"/>
    <n v="7.55"/>
    <s v="Full Time"/>
    <s v="Remote"/>
    <d v="2026-07-24T00:00:00"/>
    <x v="12"/>
  </r>
  <r>
    <s v="Job0467"/>
    <s v="Ai/Ml Analyst"/>
    <s v="Microsoft India"/>
    <s v="Kolkata"/>
    <s v="0-2 Years"/>
    <n v="755000"/>
    <n v="7.55"/>
    <s v="Full Time"/>
    <s v="Remote"/>
    <d v="2026-07-24T00:00:00"/>
    <x v="5"/>
  </r>
  <r>
    <s v="Job0467"/>
    <s v="Ai/Ml Analyst"/>
    <s v="Microsoft India"/>
    <s v="Kolkata"/>
    <s v="0-2 Years"/>
    <n v="755000"/>
    <n v="7.55"/>
    <s v="Full Time"/>
    <s v="Remote"/>
    <d v="2026-07-24T00:00:00"/>
    <x v="14"/>
  </r>
  <r>
    <s v="Job0255"/>
    <s v="Ai Engineer"/>
    <s v="Wns Global Services"/>
    <s v="Ahmedabad"/>
    <s v="3-5 Years"/>
    <n v="1415000"/>
    <n v="14.15"/>
    <s v="Full Time"/>
    <s v="Hybrid"/>
    <d v="2026-07-19T00:00:00"/>
    <x v="1"/>
  </r>
  <r>
    <s v="Job0255"/>
    <s v="Ai Engineer"/>
    <s v="Wns Global Services"/>
    <s v="Ahmedabad"/>
    <s v="3-5 Years"/>
    <n v="1415000"/>
    <n v="14.15"/>
    <s v="Full Time"/>
    <s v="Hybrid"/>
    <d v="2026-07-19T00:00:00"/>
    <x v="9"/>
  </r>
  <r>
    <s v="Job0255"/>
    <s v="Ai Engineer"/>
    <s v="Wns Global Services"/>
    <s v="Ahmedabad"/>
    <s v="3-5 Years"/>
    <n v="1415000"/>
    <n v="14.15"/>
    <s v="Full Time"/>
    <s v="Hybrid"/>
    <d v="2026-07-19T00:00:00"/>
    <x v="2"/>
  </r>
  <r>
    <s v="Job0274"/>
    <s v="Data Scientist"/>
    <s v="Pwc India"/>
    <s v="Noida"/>
    <s v="5+ Years"/>
    <n v="2750000"/>
    <n v="27.5"/>
    <s v="Full Time"/>
    <s v="Hybrid"/>
    <d v="2026-02-08T00:00:00"/>
    <x v="11"/>
  </r>
  <r>
    <s v="Job0274"/>
    <s v="Data Scientist"/>
    <s v="Pwc India"/>
    <s v="Noida"/>
    <s v="5+ Years"/>
    <n v="2750000"/>
    <n v="27.5"/>
    <s v="Full Time"/>
    <s v="Hybrid"/>
    <d v="2026-02-08T00:00:00"/>
    <x v="9"/>
  </r>
  <r>
    <s v="Job0274"/>
    <s v="Data Scientist"/>
    <s v="Pwc India"/>
    <s v="Noida"/>
    <s v="5+ Years"/>
    <n v="2750000"/>
    <n v="27.5"/>
    <s v="Full Time"/>
    <s v="Hybrid"/>
    <d v="2026-02-08T00:00:00"/>
    <x v="1"/>
  </r>
  <r>
    <s v="Job0229"/>
    <s v="Ml Engineer"/>
    <s v="Quantiphi"/>
    <s v="Noida"/>
    <s v="1-3 Years"/>
    <n v="885000"/>
    <n v="8.85"/>
    <s v="Full Time"/>
    <s v="Remote"/>
    <d v="2026-06-10T00:00:00"/>
    <x v="1"/>
  </r>
  <r>
    <s v="Job0229"/>
    <s v="Ml Engineer"/>
    <s v="Quantiphi"/>
    <s v="Noida"/>
    <s v="1-3 Years"/>
    <n v="885000"/>
    <n v="8.85"/>
    <s v="Full Time"/>
    <s v="Remote"/>
    <d v="2026-06-10T00:00:00"/>
    <x v="6"/>
  </r>
  <r>
    <s v="Job0229"/>
    <s v="Ml Engineer"/>
    <s v="Quantiphi"/>
    <s v="Noida"/>
    <s v="1-3 Years"/>
    <n v="885000"/>
    <n v="8.85"/>
    <s v="Full Time"/>
    <s v="Remote"/>
    <d v="2026-06-10T00:00:00"/>
    <x v="3"/>
  </r>
  <r>
    <s v="Job0110"/>
    <s v="Ai/Ml Analyst"/>
    <s v="Deloitte India"/>
    <s v="Chennai"/>
    <s v="3-5 Years"/>
    <n v="1540000"/>
    <n v="15.4"/>
    <s v="Full Time"/>
    <s v="On-Site"/>
    <d v="2026-05-22T00:00:00"/>
    <x v="11"/>
  </r>
  <r>
    <s v="Job0110"/>
    <s v="Ai/Ml Analyst"/>
    <s v="Deloitte India"/>
    <s v="Chennai"/>
    <s v="3-5 Years"/>
    <n v="1540000"/>
    <n v="15.4"/>
    <s v="Full Time"/>
    <s v="On-Site"/>
    <d v="2026-05-22T00:00:00"/>
    <x v="0"/>
  </r>
  <r>
    <s v="Job0110"/>
    <s v="Ai/Ml Analyst"/>
    <s v="Deloitte India"/>
    <s v="Chennai"/>
    <s v="3-5 Years"/>
    <n v="1540000"/>
    <n v="15.4"/>
    <s v="Full Time"/>
    <s v="On-Site"/>
    <d v="2026-05-22T00:00:00"/>
    <x v="8"/>
  </r>
  <r>
    <s v="Job0202"/>
    <s v="Data Engineer"/>
    <s v="Wns Global Services"/>
    <s v="Delhi"/>
    <s v="0-2 Years"/>
    <n v="285000"/>
    <n v="2.85"/>
    <s v="Internship"/>
    <s v="Hybrid"/>
    <d v="2026-07-29T00:00:00"/>
    <x v="8"/>
  </r>
  <r>
    <s v="Job0202"/>
    <s v="Data Engineer"/>
    <s v="Wns Global Services"/>
    <s v="Delhi"/>
    <s v="0-2 Years"/>
    <n v="285000"/>
    <n v="2.85"/>
    <s v="Internship"/>
    <s v="Hybrid"/>
    <d v="2026-07-29T00:00:00"/>
    <x v="7"/>
  </r>
  <r>
    <s v="Job0202"/>
    <s v="Data Engineer"/>
    <s v="Wns Global Services"/>
    <s v="Delhi"/>
    <s v="0-2 Years"/>
    <n v="285000"/>
    <n v="2.85"/>
    <s v="Internship"/>
    <s v="Hybrid"/>
    <d v="2026-07-29T00:00:00"/>
    <x v="13"/>
  </r>
  <r>
    <s v="Job0061"/>
    <s v="Business Analyst"/>
    <s v="Ola"/>
    <s v="Bangalore"/>
    <s v="5+ Years"/>
    <n v="1820000"/>
    <n v="18.2"/>
    <s v="Full Time"/>
    <s v="Hybrid"/>
    <d v="2026-01-19T00:00:00"/>
    <x v="12"/>
  </r>
  <r>
    <s v="Job0061"/>
    <s v="Business Analyst"/>
    <s v="Ola"/>
    <s v="Bangalore"/>
    <s v="5+ Years"/>
    <n v="1820000"/>
    <n v="18.2"/>
    <s v="Full Time"/>
    <s v="Hybrid"/>
    <d v="2026-01-19T00:00:00"/>
    <x v="10"/>
  </r>
  <r>
    <s v="Job0061"/>
    <s v="Business Analyst"/>
    <s v="Ola"/>
    <s v="Bangalore"/>
    <s v="5+ Years"/>
    <n v="1820000"/>
    <n v="18.2"/>
    <s v="Full Time"/>
    <s v="Hybrid"/>
    <d v="2026-01-19T00:00:00"/>
    <x v="8"/>
  </r>
  <r>
    <s v="Job0290"/>
    <s v="Machine Learning Scientist"/>
    <s v="Tredence"/>
    <s v="Gurugram"/>
    <s v="0-2 Years"/>
    <n v="740000"/>
    <n v="7.4"/>
    <s v="Full Time"/>
    <s v="On-Site"/>
    <d v="2026-03-18T00:00:00"/>
    <x v="3"/>
  </r>
  <r>
    <s v="Job0290"/>
    <s v="Machine Learning Scientist"/>
    <s v="Tredence"/>
    <s v="Gurugram"/>
    <s v="0-2 Years"/>
    <n v="740000"/>
    <n v="7.4"/>
    <s v="Full Time"/>
    <s v="On-Site"/>
    <d v="2026-03-18T00:00:00"/>
    <x v="5"/>
  </r>
  <r>
    <s v="Job0290"/>
    <s v="Machine Learning Scientist"/>
    <s v="Tredence"/>
    <s v="Gurugram"/>
    <s v="0-2 Years"/>
    <n v="740000"/>
    <n v="7.4"/>
    <s v="Full Time"/>
    <s v="On-Site"/>
    <d v="2026-03-18T00:00:00"/>
    <x v="11"/>
  </r>
  <r>
    <s v="Job0242"/>
    <s v="Machine Learning Scientist"/>
    <s v="Makemytrip"/>
    <s v="Chennai"/>
    <s v="2-5 Years"/>
    <n v="885000"/>
    <n v="8.85"/>
    <s v="Full Time"/>
    <s v="Hybrid"/>
    <d v="2026-06-01T00:00:00"/>
    <x v="8"/>
  </r>
  <r>
    <s v="Job0242"/>
    <s v="Machine Learning Scientist"/>
    <s v="Makemytrip"/>
    <s v="Chennai"/>
    <s v="2-5 Years"/>
    <n v="885000"/>
    <n v="8.85"/>
    <s v="Full Time"/>
    <s v="Hybrid"/>
    <d v="2026-06-01T00:00:00"/>
    <x v="10"/>
  </r>
  <r>
    <s v="Job0242"/>
    <s v="Machine Learning Scientist"/>
    <s v="Makemytrip"/>
    <s v="Chennai"/>
    <s v="2-5 Years"/>
    <n v="885000"/>
    <n v="8.85"/>
    <s v="Full Time"/>
    <s v="Hybrid"/>
    <d v="2026-06-01T00:00:00"/>
    <x v="1"/>
  </r>
  <r>
    <s v="Job0335"/>
    <s v="Ai Engineer"/>
    <s v="Paytm"/>
    <s v="Noida"/>
    <s v="5+ Years"/>
    <n v="2015000"/>
    <n v="20.149999999999999"/>
    <s v="Full Time"/>
    <s v="Hybrid"/>
    <d v="2026-08-06T00:00:00"/>
    <x v="0"/>
  </r>
  <r>
    <s v="Job0335"/>
    <s v="Ai Engineer"/>
    <s v="Paytm"/>
    <s v="Noida"/>
    <s v="5+ Years"/>
    <n v="2015000"/>
    <n v="20.149999999999999"/>
    <s v="Full Time"/>
    <s v="Hybrid"/>
    <d v="2026-08-06T00:00:00"/>
    <x v="11"/>
  </r>
  <r>
    <s v="Job0335"/>
    <s v="Ai Engineer"/>
    <s v="Paytm"/>
    <s v="Noida"/>
    <s v="5+ Years"/>
    <n v="2015000"/>
    <n v="20.149999999999999"/>
    <s v="Full Time"/>
    <s v="Hybrid"/>
    <d v="2026-08-06T00:00:00"/>
    <x v="9"/>
  </r>
  <r>
    <s v="Job0103"/>
    <s v="Ml Engineer"/>
    <s v="Zs Associates"/>
    <s v="Ahmedabad"/>
    <s v="2-5 Years"/>
    <n v="845000"/>
    <n v="8.4499999999999993"/>
    <s v="Full Time"/>
    <s v="Hybrid"/>
    <d v="2026-03-25T00:00:00"/>
    <x v="6"/>
  </r>
  <r>
    <s v="Job0103"/>
    <s v="Ml Engineer"/>
    <s v="Zs Associates"/>
    <s v="Ahmedabad"/>
    <s v="2-5 Years"/>
    <n v="845000"/>
    <n v="8.4499999999999993"/>
    <s v="Full Time"/>
    <s v="Hybrid"/>
    <d v="2026-03-25T00:00:00"/>
    <x v="13"/>
  </r>
  <r>
    <s v="Job0103"/>
    <s v="Ml Engineer"/>
    <s v="Zs Associates"/>
    <s v="Ahmedabad"/>
    <s v="2-5 Years"/>
    <n v="845000"/>
    <n v="8.4499999999999993"/>
    <s v="Full Time"/>
    <s v="Hybrid"/>
    <d v="2026-03-25T00:00:00"/>
    <x v="4"/>
  </r>
  <r>
    <s v="Job0200"/>
    <s v="Bi Analyst"/>
    <s v="Amazon India"/>
    <s v="Gurugram"/>
    <s v="0-2 Years"/>
    <n v="415000"/>
    <n v="4.1500000000000004"/>
    <s v="Internship"/>
    <s v="Hybrid"/>
    <d v="2026-03-27T00:00:00"/>
    <x v="5"/>
  </r>
  <r>
    <s v="Job0200"/>
    <s v="Bi Analyst"/>
    <s v="Amazon India"/>
    <s v="Gurugram"/>
    <s v="0-2 Years"/>
    <n v="415000"/>
    <n v="4.1500000000000004"/>
    <s v="Internship"/>
    <s v="Hybrid"/>
    <d v="2026-03-27T00:00:00"/>
    <x v="12"/>
  </r>
  <r>
    <s v="Job0200"/>
    <s v="Bi Analyst"/>
    <s v="Amazon India"/>
    <s v="Gurugram"/>
    <s v="0-2 Years"/>
    <n v="415000"/>
    <n v="4.1500000000000004"/>
    <s v="Internship"/>
    <s v="Hybrid"/>
    <d v="2026-03-27T00:00:00"/>
    <x v="2"/>
  </r>
  <r>
    <s v="Job0037"/>
    <s v="Data Engineer"/>
    <s v="Mindtree"/>
    <s v="Pune"/>
    <s v="0-2 Years"/>
    <n v="460000"/>
    <n v="4.5999999999999996"/>
    <s v="Full Time"/>
    <s v="On-Site"/>
    <d v="2026-05-07T00:00:00"/>
    <x v="9"/>
  </r>
  <r>
    <s v="Job0037"/>
    <s v="Data Engineer"/>
    <s v="Mindtree"/>
    <s v="Pune"/>
    <s v="0-2 Years"/>
    <n v="460000"/>
    <n v="4.5999999999999996"/>
    <s v="Full Time"/>
    <s v="On-Site"/>
    <d v="2026-05-07T00:00:00"/>
    <x v="8"/>
  </r>
  <r>
    <s v="Job0037"/>
    <s v="Data Engineer"/>
    <s v="Mindtree"/>
    <s v="Pune"/>
    <s v="0-2 Years"/>
    <n v="460000"/>
    <n v="4.5999999999999996"/>
    <s v="Full Time"/>
    <s v="On-Site"/>
    <d v="2026-05-07T00:00:00"/>
    <x v="7"/>
  </r>
  <r>
    <s v="Job0424"/>
    <s v="Machine Learning Scientist"/>
    <s v="Quantiphi"/>
    <s v="Ahmedabad"/>
    <s v="5+ Years"/>
    <n v="2960000"/>
    <n v="29.6"/>
    <s v="Full Time"/>
    <s v="Remote"/>
    <d v="2026-04-15T00:00:00"/>
    <x v="3"/>
  </r>
  <r>
    <s v="Job0424"/>
    <s v="Machine Learning Scientist"/>
    <s v="Quantiphi"/>
    <s v="Ahmedabad"/>
    <s v="5+ Years"/>
    <n v="2960000"/>
    <n v="29.6"/>
    <s v="Full Time"/>
    <s v="Remote"/>
    <d v="2026-04-15T00:00:00"/>
    <x v="6"/>
  </r>
  <r>
    <s v="Job0424"/>
    <s v="Machine Learning Scientist"/>
    <s v="Quantiphi"/>
    <s v="Ahmedabad"/>
    <s v="5+ Years"/>
    <n v="2960000"/>
    <n v="29.6"/>
    <s v="Full Time"/>
    <s v="Remote"/>
    <d v="2026-04-15T00:00:00"/>
    <x v="9"/>
  </r>
  <r>
    <s v="Job0344"/>
    <s v="Machine Learning Scientist"/>
    <s v="Accenture India"/>
    <s v="Pune"/>
    <s v="0-2 Years"/>
    <n v="390000"/>
    <n v="3.9"/>
    <s v="Internship"/>
    <s v="Hybrid"/>
    <d v="2026-04-07T00:00:00"/>
    <x v="1"/>
  </r>
  <r>
    <s v="Job0344"/>
    <s v="Machine Learning Scientist"/>
    <s v="Accenture India"/>
    <s v="Pune"/>
    <s v="0-2 Years"/>
    <n v="390000"/>
    <n v="3.9"/>
    <s v="Internship"/>
    <s v="Hybrid"/>
    <d v="2026-04-07T00:00:00"/>
    <x v="13"/>
  </r>
  <r>
    <s v="Job0344"/>
    <s v="Machine Learning Scientist"/>
    <s v="Accenture India"/>
    <s v="Pune"/>
    <s v="0-2 Years"/>
    <n v="390000"/>
    <n v="3.9"/>
    <s v="Internship"/>
    <s v="Hybrid"/>
    <d v="2026-04-07T00:00:00"/>
    <x v="6"/>
  </r>
  <r>
    <s v="Job0436"/>
    <s v="Ml Engineer"/>
    <s v="Dunzo"/>
    <s v="Bangalore"/>
    <s v="3-5 Years"/>
    <n v="1900000"/>
    <n v="19"/>
    <s v="Full Time"/>
    <s v="Remote"/>
    <d v="2026-08-04T00:00:00"/>
    <x v="5"/>
  </r>
  <r>
    <s v="Job0436"/>
    <s v="Ml Engineer"/>
    <s v="Dunzo"/>
    <s v="Bangalore"/>
    <s v="3-5 Years"/>
    <n v="1900000"/>
    <n v="19"/>
    <s v="Full Time"/>
    <s v="Remote"/>
    <d v="2026-08-04T00:00:00"/>
    <x v="9"/>
  </r>
  <r>
    <s v="Job0436"/>
    <s v="Ml Engineer"/>
    <s v="Dunzo"/>
    <s v="Bangalore"/>
    <s v="3-5 Years"/>
    <n v="1900000"/>
    <n v="19"/>
    <s v="Full Time"/>
    <s v="Remote"/>
    <d v="2026-08-04T00:00:00"/>
    <x v="1"/>
  </r>
  <r>
    <s v="Job0082"/>
    <s v="Data Analyst"/>
    <s v="Microsoft India"/>
    <s v="Gurugram"/>
    <s v="0-2 Years"/>
    <n v="610000"/>
    <n v="6.1"/>
    <s v="Full Time"/>
    <s v="Remote"/>
    <d v="2026-08-13T00:00:00"/>
    <x v="10"/>
  </r>
  <r>
    <s v="Job0082"/>
    <s v="Data Analyst"/>
    <s v="Microsoft India"/>
    <s v="Gurugram"/>
    <s v="0-2 Years"/>
    <n v="610000"/>
    <n v="6.1"/>
    <s v="Full Time"/>
    <s v="Remote"/>
    <d v="2026-08-13T00:00:00"/>
    <x v="0"/>
  </r>
  <r>
    <s v="Job0082"/>
    <s v="Data Analyst"/>
    <s v="Microsoft India"/>
    <s v="Gurugram"/>
    <s v="0-2 Years"/>
    <n v="610000"/>
    <n v="6.1"/>
    <s v="Full Time"/>
    <s v="Remote"/>
    <d v="2026-08-13T00:00:00"/>
    <x v="5"/>
  </r>
  <r>
    <s v="Job0220"/>
    <s v="Bi Analyst"/>
    <s v="Persistent Systems"/>
    <s v="Kolkata"/>
    <s v="1-3 Years"/>
    <n v="970000"/>
    <n v="9.6999999999999993"/>
    <s v="Contract"/>
    <s v="On-Site"/>
    <d v="2026-03-16T00:00:00"/>
    <x v="0"/>
  </r>
  <r>
    <s v="Job0220"/>
    <s v="Bi Analyst"/>
    <s v="Persistent Systems"/>
    <s v="Kolkata"/>
    <s v="1-3 Years"/>
    <n v="970000"/>
    <n v="9.6999999999999993"/>
    <s v="Contract"/>
    <s v="On-Site"/>
    <d v="2026-03-16T00:00:00"/>
    <x v="13"/>
  </r>
  <r>
    <s v="Job0220"/>
    <s v="Bi Analyst"/>
    <s v="Persistent Systems"/>
    <s v="Kolkata"/>
    <s v="1-3 Years"/>
    <n v="970000"/>
    <n v="9.6999999999999993"/>
    <s v="Contract"/>
    <s v="On-Site"/>
    <d v="2026-03-16T00:00:00"/>
    <x v="8"/>
  </r>
  <r>
    <s v="Job0009"/>
    <s v="Machine Learning Scientist"/>
    <s v="Pwc India"/>
    <s v="Pune"/>
    <s v="0-2 Years"/>
    <n v="420000"/>
    <n v="4.2"/>
    <s v="Full Time"/>
    <s v="Hybrid"/>
    <d v="2026-05-22T00:00:00"/>
    <x v="13"/>
  </r>
  <r>
    <s v="Job0009"/>
    <s v="Machine Learning Scientist"/>
    <s v="Pwc India"/>
    <s v="Pune"/>
    <s v="0-2 Years"/>
    <n v="420000"/>
    <n v="4.2"/>
    <s v="Full Time"/>
    <s v="Hybrid"/>
    <d v="2026-05-22T00:00:00"/>
    <x v="11"/>
  </r>
  <r>
    <s v="Job0009"/>
    <s v="Machine Learning Scientist"/>
    <s v="Pwc India"/>
    <s v="Pune"/>
    <s v="0-2 Years"/>
    <n v="420000"/>
    <n v="4.2"/>
    <s v="Full Time"/>
    <s v="Hybrid"/>
    <d v="2026-05-22T00:00:00"/>
    <x v="1"/>
  </r>
  <r>
    <s v="Job0224"/>
    <s v="Data Scientist"/>
    <s v="Urban Company"/>
    <s v="Noida"/>
    <s v="1-3 Years"/>
    <n v="1080000"/>
    <n v="10.8"/>
    <s v="Contract"/>
    <s v="Hybrid"/>
    <d v="2026-07-21T00:00:00"/>
    <x v="8"/>
  </r>
  <r>
    <s v="Job0224"/>
    <s v="Data Scientist"/>
    <s v="Urban Company"/>
    <s v="Noida"/>
    <s v="1-3 Years"/>
    <n v="1080000"/>
    <n v="10.8"/>
    <s v="Contract"/>
    <s v="Hybrid"/>
    <d v="2026-07-21T00:00:00"/>
    <x v="0"/>
  </r>
  <r>
    <s v="Job0224"/>
    <s v="Data Scientist"/>
    <s v="Urban Company"/>
    <s v="Noida"/>
    <s v="1-3 Years"/>
    <n v="1080000"/>
    <n v="10.8"/>
    <s v="Contract"/>
    <s v="Hybrid"/>
    <d v="2026-07-21T00:00:00"/>
    <x v="1"/>
  </r>
  <r>
    <s v="Job0228"/>
    <s v="Ai Engineer"/>
    <s v="Tredence"/>
    <s v="Noida"/>
    <s v="1-3 Years"/>
    <n v="785000"/>
    <n v="7.85"/>
    <s v="Full Time"/>
    <s v="Remote"/>
    <d v="2026-08-14T00:00:00"/>
    <x v="0"/>
  </r>
  <r>
    <s v="Job0228"/>
    <s v="Ai Engineer"/>
    <s v="Tredence"/>
    <s v="Noida"/>
    <s v="1-3 Years"/>
    <n v="785000"/>
    <n v="7.85"/>
    <s v="Full Time"/>
    <s v="Remote"/>
    <d v="2026-08-14T00:00:00"/>
    <x v="3"/>
  </r>
  <r>
    <s v="Job0228"/>
    <s v="Ai Engineer"/>
    <s v="Tredence"/>
    <s v="Noida"/>
    <s v="1-3 Years"/>
    <n v="785000"/>
    <n v="7.85"/>
    <s v="Full Time"/>
    <s v="Remote"/>
    <d v="2026-08-14T00:00:00"/>
    <x v="11"/>
  </r>
  <r>
    <s v="Job0458"/>
    <s v="Product Data Analyst"/>
    <s v="Mu Sigma"/>
    <s v="Kolkata"/>
    <s v="3-5 Years"/>
    <n v="1395000"/>
    <n v="13.95"/>
    <s v="Full Time"/>
    <s v="Remote"/>
    <d v="2026-06-19T00:00:00"/>
    <x v="0"/>
  </r>
  <r>
    <s v="Job0458"/>
    <s v="Product Data Analyst"/>
    <s v="Mu Sigma"/>
    <s v="Kolkata"/>
    <s v="3-5 Years"/>
    <n v="1395000"/>
    <n v="13.95"/>
    <s v="Full Time"/>
    <s v="Remote"/>
    <d v="2026-06-19T00:00:00"/>
    <x v="13"/>
  </r>
  <r>
    <s v="Job0458"/>
    <s v="Product Data Analyst"/>
    <s v="Mu Sigma"/>
    <s v="Kolkata"/>
    <s v="3-5 Years"/>
    <n v="1395000"/>
    <n v="13.95"/>
    <s v="Full Time"/>
    <s v="Remote"/>
    <d v="2026-06-19T00:00:00"/>
    <x v="2"/>
  </r>
  <r>
    <s v="Job0172"/>
    <s v="Bi Analyst"/>
    <s v="Flipkart"/>
    <s v="Bangalore"/>
    <s v="3-5 Years"/>
    <n v="1450000"/>
    <n v="14.5"/>
    <s v="Contract"/>
    <s v="Hybrid"/>
    <d v="2026-06-24T00:00:00"/>
    <x v="6"/>
  </r>
  <r>
    <s v="Job0172"/>
    <s v="Bi Analyst"/>
    <s v="Flipkart"/>
    <s v="Bangalore"/>
    <s v="3-5 Years"/>
    <n v="1450000"/>
    <n v="14.5"/>
    <s v="Contract"/>
    <s v="Hybrid"/>
    <d v="2026-06-24T00:00:00"/>
    <x v="5"/>
  </r>
  <r>
    <s v="Job0172"/>
    <s v="Bi Analyst"/>
    <s v="Flipkart"/>
    <s v="Bangalore"/>
    <s v="3-5 Years"/>
    <n v="1450000"/>
    <n v="14.5"/>
    <s v="Contract"/>
    <s v="Hybrid"/>
    <d v="2026-06-24T00:00:00"/>
    <x v="0"/>
  </r>
  <r>
    <s v="Job0364"/>
    <s v="Bi Analyst"/>
    <s v="Phonepe"/>
    <s v="Hyderabad"/>
    <s v="2-5 Years"/>
    <n v="1210000"/>
    <n v="12.1"/>
    <s v="Full Time"/>
    <s v="Hybrid"/>
    <d v="2026-01-20T00:00:00"/>
    <x v="12"/>
  </r>
  <r>
    <s v="Job0364"/>
    <s v="Bi Analyst"/>
    <s v="Phonepe"/>
    <s v="Hyderabad"/>
    <s v="2-5 Years"/>
    <n v="1210000"/>
    <n v="12.1"/>
    <s v="Full Time"/>
    <s v="Hybrid"/>
    <d v="2026-01-20T00:00:00"/>
    <x v="2"/>
  </r>
  <r>
    <s v="Job0364"/>
    <s v="Bi Analyst"/>
    <s v="Phonepe"/>
    <s v="Hyderabad"/>
    <s v="2-5 Years"/>
    <n v="1210000"/>
    <n v="12.1"/>
    <s v="Full Time"/>
    <s v="Hybrid"/>
    <d v="2026-01-20T00:00:00"/>
    <x v="0"/>
  </r>
  <r>
    <s v="Job0213"/>
    <s v="Bi Analyst"/>
    <s v="Fractal Analytics"/>
    <s v="Delhi"/>
    <s v="2-5 Years"/>
    <n v="1645000"/>
    <n v="16.45"/>
    <s v="Full Time"/>
    <s v="On-Site"/>
    <d v="2026-03-22T00:00:00"/>
    <x v="10"/>
  </r>
  <r>
    <s v="Job0213"/>
    <s v="Bi Analyst"/>
    <s v="Fractal Analytics"/>
    <s v="Delhi"/>
    <s v="2-5 Years"/>
    <n v="1645000"/>
    <n v="16.45"/>
    <s v="Full Time"/>
    <s v="On-Site"/>
    <d v="2026-03-22T00:00:00"/>
    <x v="8"/>
  </r>
  <r>
    <s v="Job0213"/>
    <s v="Bi Analyst"/>
    <s v="Fractal Analytics"/>
    <s v="Delhi"/>
    <s v="2-5 Years"/>
    <n v="1645000"/>
    <n v="16.45"/>
    <s v="Full Time"/>
    <s v="On-Site"/>
    <d v="2026-03-22T00:00:00"/>
    <x v="11"/>
  </r>
  <r>
    <s v="Job0351"/>
    <s v="Data Scientist"/>
    <s v="Sonata Software"/>
    <s v="Gurugram"/>
    <s v="5+ Years"/>
    <n v="3340000"/>
    <n v="33.4"/>
    <s v="Contract"/>
    <s v="Hybrid"/>
    <d v="2026-07-31T00:00:00"/>
    <x v="3"/>
  </r>
  <r>
    <s v="Job0351"/>
    <s v="Data Scientist"/>
    <s v="Sonata Software"/>
    <s v="Gurugram"/>
    <s v="5+ Years"/>
    <n v="3340000"/>
    <n v="33.4"/>
    <s v="Contract"/>
    <s v="Hybrid"/>
    <d v="2026-07-31T00:00:00"/>
    <x v="0"/>
  </r>
  <r>
    <s v="Job0351"/>
    <s v="Data Scientist"/>
    <s v="Sonata Software"/>
    <s v="Gurugram"/>
    <s v="5+ Years"/>
    <n v="3340000"/>
    <n v="33.4"/>
    <s v="Contract"/>
    <s v="Hybrid"/>
    <d v="2026-07-31T00:00:00"/>
    <x v="4"/>
  </r>
  <r>
    <s v="Job0334"/>
    <s v="Ai Engineer"/>
    <s v="Tcs"/>
    <s v="Ahmedabad"/>
    <s v="5+ Years"/>
    <n v="2010000"/>
    <n v="20.100000000000001"/>
    <s v="Full Time"/>
    <s v="Hybrid"/>
    <d v="2026-08-20T00:00:00"/>
    <x v="1"/>
  </r>
  <r>
    <s v="Job0334"/>
    <s v="Ai Engineer"/>
    <s v="Tcs"/>
    <s v="Ahmedabad"/>
    <s v="5+ Years"/>
    <n v="2010000"/>
    <n v="20.100000000000001"/>
    <s v="Full Time"/>
    <s v="Hybrid"/>
    <d v="2026-08-20T00:00:00"/>
    <x v="7"/>
  </r>
  <r>
    <s v="Job0334"/>
    <s v="Ai Engineer"/>
    <s v="Tcs"/>
    <s v="Ahmedabad"/>
    <s v="5+ Years"/>
    <n v="2010000"/>
    <n v="20.100000000000001"/>
    <s v="Full Time"/>
    <s v="Hybrid"/>
    <d v="2026-08-20T00:00:00"/>
    <x v="0"/>
  </r>
  <r>
    <s v="Job0003"/>
    <s v="Data Analyst"/>
    <s v="Zensar Technologies"/>
    <s v="Noida"/>
    <s v="2-5 Years"/>
    <n v="1080000"/>
    <n v="10.8"/>
    <s v="Full Time"/>
    <s v="On-Site"/>
    <d v="2026-07-26T00:00:00"/>
    <x v="8"/>
  </r>
  <r>
    <s v="Job0003"/>
    <s v="Data Analyst"/>
    <s v="Zensar Technologies"/>
    <s v="Noida"/>
    <s v="2-5 Years"/>
    <n v="1080000"/>
    <n v="10.8"/>
    <s v="Full Time"/>
    <s v="On-Site"/>
    <d v="2026-07-26T00:00:00"/>
    <x v="5"/>
  </r>
  <r>
    <s v="Job0003"/>
    <s v="Data Analyst"/>
    <s v="Zensar Technologies"/>
    <s v="Noida"/>
    <s v="2-5 Years"/>
    <n v="1080000"/>
    <n v="10.8"/>
    <s v="Full Time"/>
    <s v="On-Site"/>
    <d v="2026-07-26T00:00:00"/>
    <x v="12"/>
  </r>
  <r>
    <s v="Job0178"/>
    <s v="Bi Analyst"/>
    <s v="Dunzo"/>
    <s v="Gurugram"/>
    <s v="0-2 Years"/>
    <n v="400000"/>
    <n v="4"/>
    <s v="Internship"/>
    <s v="On-Site"/>
    <d v="2026-07-13T00:00:00"/>
    <x v="5"/>
  </r>
  <r>
    <s v="Job0178"/>
    <s v="Bi Analyst"/>
    <s v="Dunzo"/>
    <s v="Gurugram"/>
    <s v="0-2 Years"/>
    <n v="400000"/>
    <n v="4"/>
    <s v="Internship"/>
    <s v="On-Site"/>
    <d v="2026-07-13T00:00:00"/>
    <x v="2"/>
  </r>
  <r>
    <s v="Job0178"/>
    <s v="Bi Analyst"/>
    <s v="Dunzo"/>
    <s v="Gurugram"/>
    <s v="0-2 Years"/>
    <n v="400000"/>
    <n v="4"/>
    <s v="Internship"/>
    <s v="On-Site"/>
    <d v="2026-07-13T00:00:00"/>
    <x v="10"/>
  </r>
  <r>
    <s v="Job0235"/>
    <s v="Bi Analyst"/>
    <s v="Ey India"/>
    <s v="Ahmedabad"/>
    <s v="5+ Years"/>
    <n v="3385000"/>
    <n v="33.85"/>
    <s v="Full Time"/>
    <s v="Hybrid"/>
    <d v="2026-06-12T00:00:00"/>
    <x v="8"/>
  </r>
  <r>
    <s v="Job0235"/>
    <s v="Bi Analyst"/>
    <s v="Ey India"/>
    <s v="Ahmedabad"/>
    <s v="5+ Years"/>
    <n v="3385000"/>
    <n v="33.85"/>
    <s v="Full Time"/>
    <s v="Hybrid"/>
    <d v="2026-06-12T00:00:00"/>
    <x v="2"/>
  </r>
  <r>
    <s v="Job0235"/>
    <s v="Bi Analyst"/>
    <s v="Ey India"/>
    <s v="Ahmedabad"/>
    <s v="5+ Years"/>
    <n v="3385000"/>
    <n v="33.85"/>
    <s v="Full Time"/>
    <s v="Hybrid"/>
    <d v="2026-06-12T00:00:00"/>
    <x v="5"/>
  </r>
  <r>
    <s v="Job0394"/>
    <s v="Bi Analyst"/>
    <s v="Cisco India"/>
    <s v="Bangalore"/>
    <s v="2-5 Years"/>
    <n v="1700000"/>
    <n v="17"/>
    <s v="Full Time"/>
    <s v="Hybrid"/>
    <d v="2026-03-31T00:00:00"/>
    <x v="5"/>
  </r>
  <r>
    <s v="Job0394"/>
    <s v="Bi Analyst"/>
    <s v="Cisco India"/>
    <s v="Bangalore"/>
    <s v="2-5 Years"/>
    <n v="1700000"/>
    <n v="17"/>
    <s v="Full Time"/>
    <s v="Hybrid"/>
    <d v="2026-03-31T00:00:00"/>
    <x v="10"/>
  </r>
  <r>
    <s v="Job0394"/>
    <s v="Bi Analyst"/>
    <s v="Cisco India"/>
    <s v="Bangalore"/>
    <s v="2-5 Years"/>
    <n v="1700000"/>
    <n v="17"/>
    <s v="Full Time"/>
    <s v="Hybrid"/>
    <d v="2026-03-31T00:00:00"/>
    <x v="1"/>
  </r>
  <r>
    <s v="Job0047"/>
    <s v="Data Engineer"/>
    <s v="Wipro"/>
    <s v="Kolkata"/>
    <s v="1-3 Years"/>
    <n v="645000"/>
    <n v="6.45"/>
    <s v="Full Time"/>
    <s v="Remote"/>
    <d v="2026-07-16T00:00:00"/>
    <x v="1"/>
  </r>
  <r>
    <s v="Job0047"/>
    <s v="Data Engineer"/>
    <s v="Wipro"/>
    <s v="Kolkata"/>
    <s v="1-3 Years"/>
    <n v="645000"/>
    <n v="6.45"/>
    <s v="Full Time"/>
    <s v="Remote"/>
    <d v="2026-07-16T00:00:00"/>
    <x v="8"/>
  </r>
  <r>
    <s v="Job0047"/>
    <s v="Data Engineer"/>
    <s v="Wipro"/>
    <s v="Kolkata"/>
    <s v="1-3 Years"/>
    <n v="645000"/>
    <n v="6.45"/>
    <s v="Full Time"/>
    <s v="Remote"/>
    <d v="2026-07-16T00:00:00"/>
    <x v="10"/>
  </r>
  <r>
    <s v="Job0155"/>
    <s v="Data Engineer"/>
    <s v="Dunzo"/>
    <s v="Delhi"/>
    <s v="3-5 Years"/>
    <n v="1630000"/>
    <n v="16.3"/>
    <s v="Full Time"/>
    <s v="Remote"/>
    <d v="2026-06-23T00:00:00"/>
    <x v="3"/>
  </r>
  <r>
    <s v="Job0155"/>
    <s v="Data Engineer"/>
    <s v="Dunzo"/>
    <s v="Delhi"/>
    <s v="3-5 Years"/>
    <n v="1630000"/>
    <n v="16.3"/>
    <s v="Full Time"/>
    <s v="Remote"/>
    <d v="2026-06-23T00:00:00"/>
    <x v="14"/>
  </r>
  <r>
    <s v="Job0155"/>
    <s v="Data Engineer"/>
    <s v="Dunzo"/>
    <s v="Delhi"/>
    <s v="3-5 Years"/>
    <n v="1630000"/>
    <n v="16.3"/>
    <s v="Full Time"/>
    <s v="Remote"/>
    <d v="2026-06-23T00:00:00"/>
    <x v="5"/>
  </r>
  <r>
    <s v="Job0488"/>
    <s v="Business Analyst"/>
    <s v="Zs Associates"/>
    <s v="Pune"/>
    <s v="3-5 Years"/>
    <n v="2090000"/>
    <n v="20.9"/>
    <s v="Full Time"/>
    <s v="Hybrid"/>
    <d v="2026-04-27T00:00:00"/>
    <x v="2"/>
  </r>
  <r>
    <s v="Job0488"/>
    <s v="Business Analyst"/>
    <s v="Zs Associates"/>
    <s v="Pune"/>
    <s v="3-5 Years"/>
    <n v="2090000"/>
    <n v="20.9"/>
    <s v="Full Time"/>
    <s v="Hybrid"/>
    <d v="2026-04-27T00:00:00"/>
    <x v="12"/>
  </r>
  <r>
    <s v="Job0488"/>
    <s v="Business Analyst"/>
    <s v="Zs Associates"/>
    <s v="Pune"/>
    <s v="3-5 Years"/>
    <n v="2090000"/>
    <n v="20.9"/>
    <s v="Full Time"/>
    <s v="Hybrid"/>
    <d v="2026-04-27T00:00:00"/>
    <x v="7"/>
  </r>
  <r>
    <s v="Job0288"/>
    <s v="Business Analyst"/>
    <s v="Dunzo"/>
    <s v="Bangalore"/>
    <s v="2-5 Years"/>
    <n v="900000"/>
    <n v="9"/>
    <s v="Full Time"/>
    <s v="Hybrid"/>
    <d v="2026-08-19T00:00:00"/>
    <x v="4"/>
  </r>
  <r>
    <s v="Job0288"/>
    <s v="Business Analyst"/>
    <s v="Dunzo"/>
    <s v="Bangalore"/>
    <s v="2-5 Years"/>
    <n v="900000"/>
    <n v="9"/>
    <s v="Full Time"/>
    <s v="Hybrid"/>
    <d v="2026-08-19T00:00:00"/>
    <x v="9"/>
  </r>
  <r>
    <s v="Job0288"/>
    <s v="Business Analyst"/>
    <s v="Dunzo"/>
    <s v="Bangalore"/>
    <s v="2-5 Years"/>
    <n v="900000"/>
    <n v="9"/>
    <s v="Full Time"/>
    <s v="Hybrid"/>
    <d v="2026-08-19T00:00:00"/>
    <x v="7"/>
  </r>
  <r>
    <s v="Job0311"/>
    <s v="Bi Analyst"/>
    <s v="Tech Mahindra"/>
    <s v="Ahmedabad"/>
    <s v="5+ Years"/>
    <n v="1600000"/>
    <n v="16"/>
    <s v="Full Time"/>
    <s v="Hybrid"/>
    <d v="2026-04-27T00:00:00"/>
    <x v="2"/>
  </r>
  <r>
    <s v="Job0311"/>
    <s v="Bi Analyst"/>
    <s v="Tech Mahindra"/>
    <s v="Ahmedabad"/>
    <s v="5+ Years"/>
    <n v="1600000"/>
    <n v="16"/>
    <s v="Full Time"/>
    <s v="Hybrid"/>
    <d v="2026-04-27T00:00:00"/>
    <x v="8"/>
  </r>
  <r>
    <s v="Job0311"/>
    <s v="Bi Analyst"/>
    <s v="Tech Mahindra"/>
    <s v="Ahmedabad"/>
    <s v="5+ Years"/>
    <n v="1600000"/>
    <n v="16"/>
    <s v="Full Time"/>
    <s v="Hybrid"/>
    <d v="2026-04-27T00:00:00"/>
    <x v="14"/>
  </r>
  <r>
    <s v="Job0118"/>
    <s v="Data Engineer"/>
    <s v="Microsoft India"/>
    <s v="Gurugram"/>
    <s v="0-2 Years"/>
    <n v="495000"/>
    <n v="4.95"/>
    <s v="Internship"/>
    <s v="Hybrid"/>
    <d v="2026-02-21T00:00:00"/>
    <x v="6"/>
  </r>
  <r>
    <s v="Job0118"/>
    <s v="Data Engineer"/>
    <s v="Microsoft India"/>
    <s v="Gurugram"/>
    <s v="0-2 Years"/>
    <n v="495000"/>
    <n v="4.95"/>
    <s v="Internship"/>
    <s v="Hybrid"/>
    <d v="2026-02-21T00:00:00"/>
    <x v="13"/>
  </r>
  <r>
    <s v="Job0118"/>
    <s v="Data Engineer"/>
    <s v="Microsoft India"/>
    <s v="Gurugram"/>
    <s v="0-2 Years"/>
    <n v="495000"/>
    <n v="4.95"/>
    <s v="Internship"/>
    <s v="Hybrid"/>
    <d v="2026-02-21T00:00:00"/>
    <x v="11"/>
  </r>
  <r>
    <s v="Job0163"/>
    <s v="Ml Engineer"/>
    <s v="Myntra"/>
    <s v="Mumbai"/>
    <s v="2-5 Years"/>
    <n v="960000"/>
    <n v="9.6"/>
    <s v="Full Time"/>
    <s v="Hybrid"/>
    <d v="2026-07-13T00:00:00"/>
    <x v="13"/>
  </r>
  <r>
    <s v="Job0163"/>
    <s v="Ml Engineer"/>
    <s v="Myntra"/>
    <s v="Mumbai"/>
    <s v="2-5 Years"/>
    <n v="960000"/>
    <n v="9.6"/>
    <s v="Full Time"/>
    <s v="Hybrid"/>
    <d v="2026-07-13T00:00:00"/>
    <x v="4"/>
  </r>
  <r>
    <s v="Job0163"/>
    <s v="Ml Engineer"/>
    <s v="Myntra"/>
    <s v="Mumbai"/>
    <s v="2-5 Years"/>
    <n v="960000"/>
    <n v="9.6"/>
    <s v="Full Time"/>
    <s v="Hybrid"/>
    <d v="2026-07-13T00:00:00"/>
    <x v="7"/>
  </r>
  <r>
    <s v="Job0206"/>
    <s v="Data Scientist"/>
    <s v="Mu Sigma"/>
    <s v="Hyderabad"/>
    <s v="2-5 Years"/>
    <n v="965000"/>
    <n v="9.65"/>
    <s v="Full Time"/>
    <s v="Hybrid"/>
    <d v="2026-01-28T00:00:00"/>
    <x v="4"/>
  </r>
  <r>
    <s v="Job0206"/>
    <s v="Data Scientist"/>
    <s v="Mu Sigma"/>
    <s v="Hyderabad"/>
    <s v="2-5 Years"/>
    <n v="965000"/>
    <n v="9.65"/>
    <s v="Full Time"/>
    <s v="Hybrid"/>
    <d v="2026-01-28T00:00:00"/>
    <x v="7"/>
  </r>
  <r>
    <s v="Job0206"/>
    <s v="Data Scientist"/>
    <s v="Mu Sigma"/>
    <s v="Hyderabad"/>
    <s v="2-5 Years"/>
    <n v="965000"/>
    <n v="9.65"/>
    <s v="Full Time"/>
    <s v="Hybrid"/>
    <d v="2026-01-28T00:00:00"/>
    <x v="1"/>
  </r>
  <r>
    <s v="Job0218"/>
    <s v="Ai/Ml Analyst"/>
    <s v="Samsung R&amp;D Institute India"/>
    <s v="Ahmedabad"/>
    <s v="0-2 Years"/>
    <n v="690000"/>
    <n v="6.9"/>
    <s v="Full Time"/>
    <s v="Hybrid"/>
    <d v="2026-04-26T00:00:00"/>
    <x v="0"/>
  </r>
  <r>
    <s v="Job0218"/>
    <s v="Ai/Ml Analyst"/>
    <s v="Samsung R&amp;D Institute India"/>
    <s v="Ahmedabad"/>
    <s v="0-2 Years"/>
    <n v="690000"/>
    <n v="6.9"/>
    <s v="Full Time"/>
    <s v="Hybrid"/>
    <d v="2026-04-26T00:00:00"/>
    <x v="14"/>
  </r>
  <r>
    <s v="Job0218"/>
    <s v="Ai/Ml Analyst"/>
    <s v="Samsung R&amp;D Institute India"/>
    <s v="Ahmedabad"/>
    <s v="0-2 Years"/>
    <n v="690000"/>
    <n v="6.9"/>
    <s v="Full Time"/>
    <s v="Hybrid"/>
    <d v="2026-04-26T00:00:00"/>
    <x v="9"/>
  </r>
  <r>
    <s v="Job0446"/>
    <s v="Data Scientist"/>
    <s v="Jpmorgan Chase India"/>
    <s v="Pune"/>
    <s v="1-3 Years"/>
    <n v="1050000"/>
    <n v="10.5"/>
    <s v="Full Time"/>
    <s v="Remote"/>
    <d v="2026-08-12T00:00:00"/>
    <x v="4"/>
  </r>
  <r>
    <s v="Job0446"/>
    <s v="Data Scientist"/>
    <s v="Jpmorgan Chase India"/>
    <s v="Pune"/>
    <s v="1-3 Years"/>
    <n v="1050000"/>
    <n v="10.5"/>
    <s v="Full Time"/>
    <s v="Remote"/>
    <d v="2026-08-12T00:00:00"/>
    <x v="1"/>
  </r>
  <r>
    <s v="Job0446"/>
    <s v="Data Scientist"/>
    <s v="Jpmorgan Chase India"/>
    <s v="Pune"/>
    <s v="1-3 Years"/>
    <n v="1050000"/>
    <n v="10.5"/>
    <s v="Full Time"/>
    <s v="Remote"/>
    <d v="2026-08-12T00:00:00"/>
    <x v="12"/>
  </r>
  <r>
    <s v="Job0057"/>
    <s v="Data Engineer"/>
    <s v="Samsung R&amp;D Institute India"/>
    <s v="Bangalore"/>
    <s v="2-5 Years"/>
    <n v="815000"/>
    <n v="8.15"/>
    <s v="Full Time"/>
    <s v="Hybrid"/>
    <d v="2026-08-30T00:00:00"/>
    <x v="14"/>
  </r>
  <r>
    <s v="Job0057"/>
    <s v="Data Engineer"/>
    <s v="Samsung R&amp;D Institute India"/>
    <s v="Bangalore"/>
    <s v="2-5 Years"/>
    <n v="815000"/>
    <n v="8.15"/>
    <s v="Full Time"/>
    <s v="Hybrid"/>
    <d v="2026-08-30T00:00:00"/>
    <x v="10"/>
  </r>
  <r>
    <s v="Job0057"/>
    <s v="Data Engineer"/>
    <s v="Samsung R&amp;D Institute India"/>
    <s v="Bangalore"/>
    <s v="2-5 Years"/>
    <n v="815000"/>
    <n v="8.15"/>
    <s v="Full Time"/>
    <s v="Hybrid"/>
    <d v="2026-08-30T00:00:00"/>
    <x v="8"/>
  </r>
  <r>
    <s v="Job0130"/>
    <s v="Ai/Ml Analyst"/>
    <s v="Unacademy"/>
    <s v="Mumbai"/>
    <s v="3-5 Years"/>
    <n v="1095000"/>
    <n v="10.95"/>
    <s v="Full Time"/>
    <s v="On-Site"/>
    <d v="2026-03-20T00:00:00"/>
    <x v="14"/>
  </r>
  <r>
    <s v="Job0130"/>
    <s v="Ai/Ml Analyst"/>
    <s v="Unacademy"/>
    <s v="Mumbai"/>
    <s v="3-5 Years"/>
    <n v="1095000"/>
    <n v="10.95"/>
    <s v="Full Time"/>
    <s v="On-Site"/>
    <d v="2026-03-20T00:00:00"/>
    <x v="12"/>
  </r>
  <r>
    <s v="Job0130"/>
    <s v="Ai/Ml Analyst"/>
    <s v="Unacademy"/>
    <s v="Mumbai"/>
    <s v="3-5 Years"/>
    <n v="1095000"/>
    <n v="10.95"/>
    <s v="Full Time"/>
    <s v="On-Site"/>
    <d v="2026-03-20T00:00:00"/>
    <x v="11"/>
  </r>
  <r>
    <s v="Job0010"/>
    <s v="Data Analyst"/>
    <s v="Fractal Analytics"/>
    <s v="Ahmedabad"/>
    <s v="2-5 Years"/>
    <n v="1570000"/>
    <n v="15.7"/>
    <s v="Full Time"/>
    <s v="Hybrid"/>
    <d v="2026-05-10T00:00:00"/>
    <x v="12"/>
  </r>
  <r>
    <s v="Job0010"/>
    <s v="Data Analyst"/>
    <s v="Fractal Analytics"/>
    <s v="Ahmedabad"/>
    <s v="2-5 Years"/>
    <n v="1570000"/>
    <n v="15.7"/>
    <s v="Full Time"/>
    <s v="Hybrid"/>
    <d v="2026-05-10T00:00:00"/>
    <x v="5"/>
  </r>
  <r>
    <s v="Job0010"/>
    <s v="Data Analyst"/>
    <s v="Fractal Analytics"/>
    <s v="Ahmedabad"/>
    <s v="2-5 Years"/>
    <n v="1570000"/>
    <n v="15.7"/>
    <s v="Full Time"/>
    <s v="Hybrid"/>
    <d v="2026-05-10T00:00:00"/>
    <x v="0"/>
  </r>
  <r>
    <s v="Job0389"/>
    <s v="Machine Learning Scientist"/>
    <s v="Freshworks"/>
    <s v="Pune"/>
    <s v="1-3 Years"/>
    <n v="775000"/>
    <n v="7.75"/>
    <s v="Full Time"/>
    <s v="Hybrid"/>
    <d v="2026-03-21T00:00:00"/>
    <x v="1"/>
  </r>
  <r>
    <s v="Job0389"/>
    <s v="Machine Learning Scientist"/>
    <s v="Freshworks"/>
    <s v="Pune"/>
    <s v="1-3 Years"/>
    <n v="775000"/>
    <n v="7.75"/>
    <s v="Full Time"/>
    <s v="Hybrid"/>
    <d v="2026-03-21T00:00:00"/>
    <x v="6"/>
  </r>
  <r>
    <s v="Job0389"/>
    <s v="Machine Learning Scientist"/>
    <s v="Freshworks"/>
    <s v="Pune"/>
    <s v="1-3 Years"/>
    <n v="775000"/>
    <n v="7.75"/>
    <s v="Full Time"/>
    <s v="Hybrid"/>
    <d v="2026-03-21T00:00:00"/>
    <x v="7"/>
  </r>
  <r>
    <s v="Job0140"/>
    <s v="Ml Engineer"/>
    <s v="Persistent Systems"/>
    <s v="Bangalore"/>
    <s v="2-5 Years"/>
    <n v="1735000"/>
    <n v="17.350000000000001"/>
    <s v="Full Time"/>
    <s v="On-Site"/>
    <d v="2026-05-22T00:00:00"/>
    <x v="13"/>
  </r>
  <r>
    <s v="Job0140"/>
    <s v="Ml Engineer"/>
    <s v="Persistent Systems"/>
    <s v="Bangalore"/>
    <s v="2-5 Years"/>
    <n v="1735000"/>
    <n v="17.350000000000001"/>
    <s v="Full Time"/>
    <s v="On-Site"/>
    <d v="2026-05-22T00:00:00"/>
    <x v="1"/>
  </r>
  <r>
    <s v="Job0140"/>
    <s v="Ml Engineer"/>
    <s v="Persistent Systems"/>
    <s v="Bangalore"/>
    <s v="2-5 Years"/>
    <n v="1735000"/>
    <n v="17.350000000000001"/>
    <s v="Full Time"/>
    <s v="On-Site"/>
    <d v="2026-05-22T00:00:00"/>
    <x v="7"/>
  </r>
  <r>
    <s v="Job0060"/>
    <s v="Machine Learning Scientist"/>
    <s v="Amazon India"/>
    <s v="Kolkata"/>
    <s v="3-5 Years"/>
    <n v="1365000"/>
    <n v="13.65"/>
    <s v="Full Time"/>
    <s v="Hybrid"/>
    <d v="2026-01-21T00:00:00"/>
    <x v="8"/>
  </r>
  <r>
    <s v="Job0060"/>
    <s v="Machine Learning Scientist"/>
    <s v="Amazon India"/>
    <s v="Kolkata"/>
    <s v="3-5 Years"/>
    <n v="1365000"/>
    <n v="13.65"/>
    <s v="Full Time"/>
    <s v="Hybrid"/>
    <d v="2026-01-21T00:00:00"/>
    <x v="11"/>
  </r>
  <r>
    <s v="Job0060"/>
    <s v="Machine Learning Scientist"/>
    <s v="Amazon India"/>
    <s v="Kolkata"/>
    <s v="3-5 Years"/>
    <n v="1365000"/>
    <n v="13.65"/>
    <s v="Full Time"/>
    <s v="Hybrid"/>
    <d v="2026-01-21T00:00:00"/>
    <x v="6"/>
  </r>
  <r>
    <s v="Job0246"/>
    <s v="Data Analyst"/>
    <s v="Larsen &amp; Toubro"/>
    <s v="Bangalore"/>
    <s v="1-3 Years"/>
    <n v="675000"/>
    <n v="6.75"/>
    <s v="Contract"/>
    <s v="On-Site"/>
    <d v="2026-03-01T00:00:00"/>
    <x v="8"/>
  </r>
  <r>
    <s v="Job0246"/>
    <s v="Data Analyst"/>
    <s v="Larsen &amp; Toubro"/>
    <s v="Bangalore"/>
    <s v="1-3 Years"/>
    <n v="675000"/>
    <n v="6.75"/>
    <s v="Contract"/>
    <s v="On-Site"/>
    <d v="2026-03-01T00:00:00"/>
    <x v="10"/>
  </r>
  <r>
    <s v="Job0246"/>
    <s v="Data Analyst"/>
    <s v="Larsen &amp; Toubro"/>
    <s v="Bangalore"/>
    <s v="1-3 Years"/>
    <n v="675000"/>
    <n v="6.75"/>
    <s v="Contract"/>
    <s v="On-Site"/>
    <d v="2026-03-01T00:00:00"/>
    <x v="12"/>
  </r>
  <r>
    <s v="Job0141"/>
    <s v="Ml Engineer"/>
    <s v="Latentview Analytics"/>
    <s v="Chennai"/>
    <s v="5+ Years"/>
    <n v="3145000"/>
    <n v="31.45"/>
    <s v="Full Time"/>
    <s v="Remote"/>
    <d v="2026-06-09T00:00:00"/>
    <x v="9"/>
  </r>
  <r>
    <s v="Job0141"/>
    <s v="Ml Engineer"/>
    <s v="Latentview Analytics"/>
    <s v="Chennai"/>
    <s v="5+ Years"/>
    <n v="3145000"/>
    <n v="31.45"/>
    <s v="Full Time"/>
    <s v="Remote"/>
    <d v="2026-06-09T00:00:00"/>
    <x v="5"/>
  </r>
  <r>
    <s v="Job0141"/>
    <s v="Ml Engineer"/>
    <s v="Latentview Analytics"/>
    <s v="Chennai"/>
    <s v="5+ Years"/>
    <n v="3145000"/>
    <n v="31.45"/>
    <s v="Full Time"/>
    <s v="Remote"/>
    <d v="2026-06-09T00:00:00"/>
    <x v="7"/>
  </r>
  <r>
    <s v="Job0346"/>
    <s v="Ai/Ml Analyst"/>
    <s v="Quantiphi"/>
    <s v="Gurugram"/>
    <s v="1-3 Years"/>
    <n v="640000"/>
    <n v="6.4"/>
    <s v="Full Time"/>
    <s v="Hybrid"/>
    <d v="2026-04-17T00:00:00"/>
    <x v="12"/>
  </r>
  <r>
    <s v="Job0346"/>
    <s v="Ai/Ml Analyst"/>
    <s v="Quantiphi"/>
    <s v="Gurugram"/>
    <s v="1-3 Years"/>
    <n v="640000"/>
    <n v="6.4"/>
    <s v="Full Time"/>
    <s v="Hybrid"/>
    <d v="2026-04-17T00:00:00"/>
    <x v="9"/>
  </r>
  <r>
    <s v="Job0346"/>
    <s v="Ai/Ml Analyst"/>
    <s v="Quantiphi"/>
    <s v="Gurugram"/>
    <s v="1-3 Years"/>
    <n v="640000"/>
    <n v="6.4"/>
    <s v="Full Time"/>
    <s v="Hybrid"/>
    <d v="2026-04-17T00:00:00"/>
    <x v="3"/>
  </r>
  <r>
    <s v="Job0332"/>
    <s v="Ai/Ml Analyst"/>
    <s v="Mu Sigma"/>
    <s v="Chennai"/>
    <s v="2-5 Years"/>
    <n v="1405000"/>
    <n v="14.05"/>
    <s v="Full Time"/>
    <s v="On-Site"/>
    <d v="2026-02-26T00:00:00"/>
    <x v="7"/>
  </r>
  <r>
    <s v="Job0332"/>
    <s v="Ai/Ml Analyst"/>
    <s v="Mu Sigma"/>
    <s v="Chennai"/>
    <s v="2-5 Years"/>
    <n v="1405000"/>
    <n v="14.05"/>
    <s v="Full Time"/>
    <s v="On-Site"/>
    <d v="2026-02-26T00:00:00"/>
    <x v="14"/>
  </r>
  <r>
    <s v="Job0332"/>
    <s v="Ai/Ml Analyst"/>
    <s v="Mu Sigma"/>
    <s v="Chennai"/>
    <s v="2-5 Years"/>
    <n v="1405000"/>
    <n v="14.05"/>
    <s v="Full Time"/>
    <s v="On-Site"/>
    <d v="2026-02-26T00:00:00"/>
    <x v="8"/>
  </r>
  <r>
    <s v="Job0112"/>
    <s v="Data Analyst"/>
    <s v="Freshworks"/>
    <s v="Gurugram"/>
    <s v="3-5 Years"/>
    <n v="1630000"/>
    <n v="16.3"/>
    <s v="Full Time"/>
    <s v="Hybrid"/>
    <d v="2026-03-28T00:00:00"/>
    <x v="6"/>
  </r>
  <r>
    <s v="Job0112"/>
    <s v="Data Analyst"/>
    <s v="Freshworks"/>
    <s v="Gurugram"/>
    <s v="3-5 Years"/>
    <n v="1630000"/>
    <n v="16.3"/>
    <s v="Full Time"/>
    <s v="Hybrid"/>
    <d v="2026-03-28T00:00:00"/>
    <x v="5"/>
  </r>
  <r>
    <s v="Job0112"/>
    <s v="Data Analyst"/>
    <s v="Freshworks"/>
    <s v="Gurugram"/>
    <s v="3-5 Years"/>
    <n v="1630000"/>
    <n v="16.3"/>
    <s v="Full Time"/>
    <s v="Hybrid"/>
    <d v="2026-03-28T00:00:00"/>
    <x v="4"/>
  </r>
  <r>
    <s v="Job0028"/>
    <s v="Data Analyst"/>
    <s v="Microsoft India"/>
    <s v="Delhi"/>
    <s v="0-2 Years"/>
    <n v="755000"/>
    <n v="7.55"/>
    <s v="Full Time"/>
    <s v="Hybrid"/>
    <d v="2026-02-11T00:00:00"/>
    <x v="12"/>
  </r>
  <r>
    <s v="Job0028"/>
    <s v="Data Analyst"/>
    <s v="Microsoft India"/>
    <s v="Delhi"/>
    <s v="0-2 Years"/>
    <n v="755000"/>
    <n v="7.55"/>
    <s v="Full Time"/>
    <s v="Hybrid"/>
    <d v="2026-02-11T00:00:00"/>
    <x v="10"/>
  </r>
  <r>
    <s v="Job0028"/>
    <s v="Data Analyst"/>
    <s v="Microsoft India"/>
    <s v="Delhi"/>
    <s v="0-2 Years"/>
    <n v="755000"/>
    <n v="7.55"/>
    <s v="Full Time"/>
    <s v="Hybrid"/>
    <d v="2026-02-11T00:00:00"/>
    <x v="4"/>
  </r>
  <r>
    <s v="Job0429"/>
    <s v="Data Scientist"/>
    <s v="Publicis Sapient"/>
    <s v="Mumbai"/>
    <s v="0-2 Years"/>
    <n v="410000"/>
    <n v="4.0999999999999996"/>
    <s v="Internship"/>
    <s v="Remote"/>
    <d v="2026-08-14T00:00:00"/>
    <x v="1"/>
  </r>
  <r>
    <s v="Job0429"/>
    <s v="Data Scientist"/>
    <s v="Publicis Sapient"/>
    <s v="Mumbai"/>
    <s v="0-2 Years"/>
    <n v="410000"/>
    <n v="4.0999999999999996"/>
    <s v="Internship"/>
    <s v="Remote"/>
    <d v="2026-08-14T00:00:00"/>
    <x v="0"/>
  </r>
  <r>
    <s v="Job0429"/>
    <s v="Data Scientist"/>
    <s v="Publicis Sapient"/>
    <s v="Mumbai"/>
    <s v="0-2 Years"/>
    <n v="410000"/>
    <n v="4.0999999999999996"/>
    <s v="Internship"/>
    <s v="Remote"/>
    <d v="2026-08-14T00:00:00"/>
    <x v="3"/>
  </r>
  <r>
    <s v="Job0272"/>
    <s v="Ai/Ml Analyst"/>
    <s v="Genpact"/>
    <s v="Kolkata"/>
    <s v="1-3 Years"/>
    <n v="785000"/>
    <n v="7.85"/>
    <s v="Full Time"/>
    <s v="On-Site"/>
    <d v="2026-02-14T00:00:00"/>
    <x v="14"/>
  </r>
  <r>
    <s v="Job0272"/>
    <s v="Ai/Ml Analyst"/>
    <s v="Genpact"/>
    <s v="Kolkata"/>
    <s v="1-3 Years"/>
    <n v="785000"/>
    <n v="7.85"/>
    <s v="Full Time"/>
    <s v="On-Site"/>
    <d v="2026-02-14T00:00:00"/>
    <x v="9"/>
  </r>
  <r>
    <s v="Job0272"/>
    <s v="Ai/Ml Analyst"/>
    <s v="Genpact"/>
    <s v="Kolkata"/>
    <s v="1-3 Years"/>
    <n v="785000"/>
    <n v="7.85"/>
    <s v="Full Time"/>
    <s v="On-Site"/>
    <d v="2026-02-14T00:00:00"/>
    <x v="0"/>
  </r>
  <r>
    <s v="Job0233"/>
    <s v="Ai/Ml Analyst"/>
    <s v="Tcs"/>
    <s v="Delhi"/>
    <s v="2-5 Years"/>
    <n v="930000"/>
    <n v="9.3000000000000007"/>
    <s v="Contract"/>
    <s v="Hybrid"/>
    <d v="2026-01-05T00:00:00"/>
    <x v="4"/>
  </r>
  <r>
    <s v="Job0233"/>
    <s v="Ai/Ml Analyst"/>
    <s v="Tcs"/>
    <s v="Delhi"/>
    <s v="2-5 Years"/>
    <n v="930000"/>
    <n v="9.3000000000000007"/>
    <s v="Contract"/>
    <s v="Hybrid"/>
    <d v="2026-01-05T00:00:00"/>
    <x v="7"/>
  </r>
  <r>
    <s v="Job0233"/>
    <s v="Ai/Ml Analyst"/>
    <s v="Tcs"/>
    <s v="Delhi"/>
    <s v="2-5 Years"/>
    <n v="930000"/>
    <n v="9.3000000000000007"/>
    <s v="Contract"/>
    <s v="Hybrid"/>
    <d v="2026-01-05T00:00:00"/>
    <x v="9"/>
  </r>
  <r>
    <s v="Job0137"/>
    <s v="Ai/Ml Analyst"/>
    <s v="Phonepe"/>
    <s v="Mumbai"/>
    <s v="1-3 Years"/>
    <n v="975000"/>
    <n v="9.75"/>
    <s v="Full Time"/>
    <s v="Hybrid"/>
    <d v="2026-01-17T00:00:00"/>
    <x v="14"/>
  </r>
  <r>
    <s v="Job0137"/>
    <s v="Ai/Ml Analyst"/>
    <s v="Phonepe"/>
    <s v="Mumbai"/>
    <s v="1-3 Years"/>
    <n v="975000"/>
    <n v="9.75"/>
    <s v="Full Time"/>
    <s v="Hybrid"/>
    <d v="2026-01-17T00:00:00"/>
    <x v="8"/>
  </r>
  <r>
    <s v="Job0137"/>
    <s v="Ai/Ml Analyst"/>
    <s v="Phonepe"/>
    <s v="Mumbai"/>
    <s v="1-3 Years"/>
    <n v="975000"/>
    <n v="9.75"/>
    <s v="Full Time"/>
    <s v="Hybrid"/>
    <d v="2026-01-17T00:00:00"/>
    <x v="9"/>
  </r>
  <r>
    <s v="Job0371"/>
    <s v="Bi Analyst"/>
    <s v="Policybazaar"/>
    <s v="Gurugram"/>
    <s v="0-2 Years"/>
    <n v="405000"/>
    <n v="4.05"/>
    <s v="Internship"/>
    <s v="On-Site"/>
    <d v="2026-02-20T00:00:00"/>
    <x v="4"/>
  </r>
  <r>
    <s v="Job0371"/>
    <s v="Bi Analyst"/>
    <s v="Policybazaar"/>
    <s v="Gurugram"/>
    <s v="0-2 Years"/>
    <n v="405000"/>
    <n v="4.05"/>
    <s v="Internship"/>
    <s v="On-Site"/>
    <d v="2026-02-20T00:00:00"/>
    <x v="14"/>
  </r>
  <r>
    <s v="Job0371"/>
    <s v="Bi Analyst"/>
    <s v="Policybazaar"/>
    <s v="Gurugram"/>
    <s v="0-2 Years"/>
    <n v="405000"/>
    <n v="4.05"/>
    <s v="Internship"/>
    <s v="On-Site"/>
    <d v="2026-02-20T00:00:00"/>
    <x v="2"/>
  </r>
  <r>
    <s v="Job0474"/>
    <s v="Ai Engineer"/>
    <s v="Meesho"/>
    <s v="Pune"/>
    <s v="0-2 Years"/>
    <n v="765000"/>
    <n v="7.65"/>
    <s v="Full Time"/>
    <s v="On-Site"/>
    <d v="2026-07-25T00:00:00"/>
    <x v="7"/>
  </r>
  <r>
    <s v="Job0474"/>
    <s v="Ai Engineer"/>
    <s v="Meesho"/>
    <s v="Pune"/>
    <s v="0-2 Years"/>
    <n v="765000"/>
    <n v="7.65"/>
    <s v="Full Time"/>
    <s v="On-Site"/>
    <d v="2026-07-25T00:00:00"/>
    <x v="6"/>
  </r>
  <r>
    <s v="Job0474"/>
    <s v="Ai Engineer"/>
    <s v="Meesho"/>
    <s v="Pune"/>
    <s v="0-2 Years"/>
    <n v="765000"/>
    <n v="7.65"/>
    <s v="Full Time"/>
    <s v="On-Site"/>
    <d v="2026-07-25T00:00:00"/>
    <x v="5"/>
  </r>
  <r>
    <s v="Job0292"/>
    <s v="Business Analyst"/>
    <s v="Ey India"/>
    <s v="Gurugram"/>
    <s v="2-5 Years"/>
    <n v="1430000"/>
    <n v="14.3"/>
    <s v="Full Time"/>
    <s v="Hybrid"/>
    <d v="2026-07-15T00:00:00"/>
    <x v="4"/>
  </r>
  <r>
    <s v="Job0292"/>
    <s v="Business Analyst"/>
    <s v="Ey India"/>
    <s v="Gurugram"/>
    <s v="2-5 Years"/>
    <n v="1430000"/>
    <n v="14.3"/>
    <s v="Full Time"/>
    <s v="Hybrid"/>
    <d v="2026-07-15T00:00:00"/>
    <x v="0"/>
  </r>
  <r>
    <s v="Job0292"/>
    <s v="Business Analyst"/>
    <s v="Ey India"/>
    <s v="Gurugram"/>
    <s v="2-5 Years"/>
    <n v="1430000"/>
    <n v="14.3"/>
    <s v="Full Time"/>
    <s v="Hybrid"/>
    <d v="2026-07-15T00:00:00"/>
    <x v="5"/>
  </r>
  <r>
    <s v="Job0348"/>
    <s v="Data Analyst"/>
    <s v="Mindtree"/>
    <s v="Pune"/>
    <s v="1-3 Years"/>
    <n v="655000"/>
    <n v="6.55"/>
    <s v="Full Time"/>
    <s v="On-Site"/>
    <d v="2026-04-25T00:00:00"/>
    <x v="5"/>
  </r>
  <r>
    <s v="Job0348"/>
    <s v="Data Analyst"/>
    <s v="Mindtree"/>
    <s v="Pune"/>
    <s v="1-3 Years"/>
    <n v="655000"/>
    <n v="6.55"/>
    <s v="Full Time"/>
    <s v="On-Site"/>
    <d v="2026-04-25T00:00:00"/>
    <x v="2"/>
  </r>
  <r>
    <s v="Job0348"/>
    <s v="Data Analyst"/>
    <s v="Mindtree"/>
    <s v="Pune"/>
    <s v="1-3 Years"/>
    <n v="655000"/>
    <n v="6.55"/>
    <s v="Full Time"/>
    <s v="On-Site"/>
    <d v="2026-04-25T00:00:00"/>
    <x v="0"/>
  </r>
  <r>
    <s v="Job0358"/>
    <s v="Business Analyst"/>
    <s v="Genpact"/>
    <s v="Kolkata"/>
    <s v="3-5 Years"/>
    <n v="1105000"/>
    <n v="11.05"/>
    <s v="Full Time"/>
    <s v="Hybrid"/>
    <d v="2026-01-15T00:00:00"/>
    <x v="5"/>
  </r>
  <r>
    <s v="Job0358"/>
    <s v="Business Analyst"/>
    <s v="Genpact"/>
    <s v="Kolkata"/>
    <s v="3-5 Years"/>
    <n v="1105000"/>
    <n v="11.05"/>
    <s v="Full Time"/>
    <s v="Hybrid"/>
    <d v="2026-01-15T00:00:00"/>
    <x v="10"/>
  </r>
  <r>
    <s v="Job0358"/>
    <s v="Business Analyst"/>
    <s v="Genpact"/>
    <s v="Kolkata"/>
    <s v="3-5 Years"/>
    <n v="1105000"/>
    <n v="11.05"/>
    <s v="Full Time"/>
    <s v="Hybrid"/>
    <d v="2026-01-15T00:00:00"/>
    <x v="11"/>
  </r>
  <r>
    <s v="Job0361"/>
    <s v="Data Scientist"/>
    <s v="Pwc India"/>
    <s v="Ahmedabad"/>
    <s v="2-5 Years"/>
    <n v="1525000"/>
    <n v="15.25"/>
    <s v="Full Time"/>
    <s v="Hybrid"/>
    <d v="2026-05-28T00:00:00"/>
    <x v="1"/>
  </r>
  <r>
    <s v="Job0361"/>
    <s v="Data Scientist"/>
    <s v="Pwc India"/>
    <s v="Ahmedabad"/>
    <s v="2-5 Years"/>
    <n v="1525000"/>
    <n v="15.25"/>
    <s v="Full Time"/>
    <s v="Hybrid"/>
    <d v="2026-05-28T00:00:00"/>
    <x v="10"/>
  </r>
  <r>
    <s v="Job0361"/>
    <s v="Data Scientist"/>
    <s v="Pwc India"/>
    <s v="Ahmedabad"/>
    <s v="2-5 Years"/>
    <n v="1525000"/>
    <n v="15.25"/>
    <s v="Full Time"/>
    <s v="Hybrid"/>
    <d v="2026-05-28T00:00:00"/>
    <x v="12"/>
  </r>
  <r>
    <s v="Job0278"/>
    <s v="Data Engineer"/>
    <s v="Quantiphi"/>
    <s v="Chennai"/>
    <s v="3-5 Years"/>
    <n v="1930000"/>
    <n v="19.3"/>
    <s v="Full Time"/>
    <s v="On-Site"/>
    <d v="2026-07-09T00:00:00"/>
    <x v="7"/>
  </r>
  <r>
    <s v="Job0278"/>
    <s v="Data Engineer"/>
    <s v="Quantiphi"/>
    <s v="Chennai"/>
    <s v="3-5 Years"/>
    <n v="1930000"/>
    <n v="19.3"/>
    <s v="Full Time"/>
    <s v="On-Site"/>
    <d v="2026-07-09T00:00:00"/>
    <x v="12"/>
  </r>
  <r>
    <s v="Job0278"/>
    <s v="Data Engineer"/>
    <s v="Quantiphi"/>
    <s v="Chennai"/>
    <s v="3-5 Years"/>
    <n v="1930000"/>
    <n v="19.3"/>
    <s v="Full Time"/>
    <s v="On-Site"/>
    <d v="2026-07-09T00:00:00"/>
    <x v="1"/>
  </r>
  <r>
    <s v="Job0091"/>
    <s v="Ai Engineer"/>
    <s v="Wipro"/>
    <s v="Bangalore"/>
    <s v="2-5 Years"/>
    <n v="850000"/>
    <n v="8.5"/>
    <s v="Full Time"/>
    <s v="Hybrid"/>
    <d v="2026-01-28T00:00:00"/>
    <x v="7"/>
  </r>
  <r>
    <s v="Job0091"/>
    <s v="Ai Engineer"/>
    <s v="Wipro"/>
    <s v="Bangalore"/>
    <s v="2-5 Years"/>
    <n v="850000"/>
    <n v="8.5"/>
    <s v="Full Time"/>
    <s v="Hybrid"/>
    <d v="2026-01-28T00:00:00"/>
    <x v="11"/>
  </r>
  <r>
    <s v="Job0091"/>
    <s v="Ai Engineer"/>
    <s v="Wipro"/>
    <s v="Bangalore"/>
    <s v="2-5 Years"/>
    <n v="850000"/>
    <n v="8.5"/>
    <s v="Full Time"/>
    <s v="Hybrid"/>
    <d v="2026-01-28T00:00:00"/>
    <x v="5"/>
  </r>
  <r>
    <s v="Job0127"/>
    <s v="Ai Engineer"/>
    <s v="Sonata Software"/>
    <s v="Gurugram"/>
    <s v="3-5 Years"/>
    <n v="1760000"/>
    <n v="17.600000000000001"/>
    <s v="Contract"/>
    <s v="Remote"/>
    <d v="2026-08-15T00:00:00"/>
    <x v="1"/>
  </r>
  <r>
    <s v="Job0127"/>
    <s v="Ai Engineer"/>
    <s v="Sonata Software"/>
    <s v="Gurugram"/>
    <s v="3-5 Years"/>
    <n v="1760000"/>
    <n v="17.600000000000001"/>
    <s v="Contract"/>
    <s v="Remote"/>
    <d v="2026-08-15T00:00:00"/>
    <x v="9"/>
  </r>
  <r>
    <s v="Job0127"/>
    <s v="Ai Engineer"/>
    <s v="Sonata Software"/>
    <s v="Gurugram"/>
    <s v="3-5 Years"/>
    <n v="1760000"/>
    <n v="17.600000000000001"/>
    <s v="Contract"/>
    <s v="Remote"/>
    <d v="2026-08-15T00:00:00"/>
    <x v="14"/>
  </r>
  <r>
    <s v="Job0059"/>
    <s v="Data Scientist"/>
    <s v="Capgemini"/>
    <s v="Bangalore"/>
    <s v="0-2 Years"/>
    <n v="225000"/>
    <n v="2.25"/>
    <s v="Internship"/>
    <s v="Hybrid"/>
    <d v="2026-08-21T00:00:00"/>
    <x v="1"/>
  </r>
  <r>
    <s v="Job0059"/>
    <s v="Data Scientist"/>
    <s v="Capgemini"/>
    <s v="Bangalore"/>
    <s v="0-2 Years"/>
    <n v="225000"/>
    <n v="2.25"/>
    <s v="Internship"/>
    <s v="Hybrid"/>
    <d v="2026-08-21T00:00:00"/>
    <x v="6"/>
  </r>
  <r>
    <s v="Job0059"/>
    <s v="Data Scientist"/>
    <s v="Capgemini"/>
    <s v="Bangalore"/>
    <s v="0-2 Years"/>
    <n v="225000"/>
    <n v="2.25"/>
    <s v="Internship"/>
    <s v="Hybrid"/>
    <d v="2026-08-21T00:00:00"/>
    <x v="11"/>
  </r>
  <r>
    <s v="Job0432"/>
    <s v="Data Analyst"/>
    <s v="Reliance Jio"/>
    <s v="Chennai"/>
    <s v="0-2 Years"/>
    <n v="285000"/>
    <n v="2.85"/>
    <s v="Internship"/>
    <s v="Remote"/>
    <d v="2026-07-15T00:00:00"/>
    <x v="12"/>
  </r>
  <r>
    <s v="Job0432"/>
    <s v="Data Analyst"/>
    <s v="Reliance Jio"/>
    <s v="Chennai"/>
    <s v="0-2 Years"/>
    <n v="285000"/>
    <n v="2.85"/>
    <s v="Internship"/>
    <s v="Remote"/>
    <d v="2026-07-15T00:00:00"/>
    <x v="2"/>
  </r>
  <r>
    <s v="Job0432"/>
    <s v="Data Analyst"/>
    <s v="Reliance Jio"/>
    <s v="Chennai"/>
    <s v="0-2 Years"/>
    <n v="285000"/>
    <n v="2.85"/>
    <s v="Internship"/>
    <s v="Remote"/>
    <d v="2026-07-15T00:00:00"/>
    <x v="13"/>
  </r>
  <r>
    <s v="Job0244"/>
    <s v="Ml Engineer"/>
    <s v="Mu Sigma"/>
    <s v="Hyderabad"/>
    <s v="5+ Years"/>
    <n v="4450000"/>
    <n v="44.5"/>
    <s v="Full Time"/>
    <s v="On-Site"/>
    <d v="2026-01-24T00:00:00"/>
    <x v="9"/>
  </r>
  <r>
    <s v="Job0244"/>
    <s v="Ml Engineer"/>
    <s v="Mu Sigma"/>
    <s v="Hyderabad"/>
    <s v="5+ Years"/>
    <n v="4450000"/>
    <n v="44.5"/>
    <s v="Full Time"/>
    <s v="On-Site"/>
    <d v="2026-01-24T00:00:00"/>
    <x v="8"/>
  </r>
  <r>
    <s v="Job0244"/>
    <s v="Ml Engineer"/>
    <s v="Mu Sigma"/>
    <s v="Hyderabad"/>
    <s v="5+ Years"/>
    <n v="4450000"/>
    <n v="44.5"/>
    <s v="Full Time"/>
    <s v="On-Site"/>
    <d v="2026-01-24T00:00:00"/>
    <x v="10"/>
  </r>
  <r>
    <s v="Job0068"/>
    <s v="Bi Analyst"/>
    <s v="Capgemini"/>
    <s v="Hyderabad"/>
    <s v="5+ Years"/>
    <n v="2650000"/>
    <n v="26.5"/>
    <s v="Full Time"/>
    <s v="Hybrid"/>
    <d v="2026-08-14T00:00:00"/>
    <x v="10"/>
  </r>
  <r>
    <s v="Job0068"/>
    <s v="Bi Analyst"/>
    <s v="Capgemini"/>
    <s v="Hyderabad"/>
    <s v="5+ Years"/>
    <n v="2650000"/>
    <n v="26.5"/>
    <s v="Full Time"/>
    <s v="Hybrid"/>
    <d v="2026-08-14T00:00:00"/>
    <x v="0"/>
  </r>
  <r>
    <s v="Job0068"/>
    <s v="Bi Analyst"/>
    <s v="Capgemini"/>
    <s v="Hyderabad"/>
    <s v="5+ Years"/>
    <n v="2650000"/>
    <n v="26.5"/>
    <s v="Full Time"/>
    <s v="Hybrid"/>
    <d v="2026-08-14T00:00:00"/>
    <x v="2"/>
  </r>
  <r>
    <s v="Job0035"/>
    <s v="Business Analyst"/>
    <s v="Amazon India"/>
    <s v="Noida"/>
    <s v="5+ Years"/>
    <n v="4020000"/>
    <n v="40.200000000000003"/>
    <s v="Full Time"/>
    <s v="Hybrid"/>
    <d v="2026-06-22T00:00:00"/>
    <x v="7"/>
  </r>
  <r>
    <s v="Job0035"/>
    <s v="Business Analyst"/>
    <s v="Amazon India"/>
    <s v="Noida"/>
    <s v="5+ Years"/>
    <n v="4020000"/>
    <n v="40.200000000000003"/>
    <s v="Full Time"/>
    <s v="Hybrid"/>
    <d v="2026-06-22T00:00:00"/>
    <x v="3"/>
  </r>
  <r>
    <s v="Job0035"/>
    <s v="Business Analyst"/>
    <s v="Amazon India"/>
    <s v="Noida"/>
    <s v="5+ Years"/>
    <n v="4020000"/>
    <n v="40.200000000000003"/>
    <s v="Full Time"/>
    <s v="Hybrid"/>
    <d v="2026-06-22T00:00:00"/>
    <x v="8"/>
  </r>
  <r>
    <s v="Job0415"/>
    <s v="Data Analyst"/>
    <s v="Goldman Sachs India"/>
    <s v="Kolkata"/>
    <s v="5+ Years"/>
    <n v="1725000"/>
    <n v="17.25"/>
    <s v="Full Time"/>
    <s v="Hybrid"/>
    <d v="2026-01-18T00:00:00"/>
    <x v="10"/>
  </r>
  <r>
    <s v="Job0415"/>
    <s v="Data Analyst"/>
    <s v="Goldman Sachs India"/>
    <s v="Kolkata"/>
    <s v="5+ Years"/>
    <n v="1725000"/>
    <n v="17.25"/>
    <s v="Full Time"/>
    <s v="Hybrid"/>
    <d v="2026-01-18T00:00:00"/>
    <x v="8"/>
  </r>
  <r>
    <s v="Job0415"/>
    <s v="Data Analyst"/>
    <s v="Goldman Sachs India"/>
    <s v="Kolkata"/>
    <s v="5+ Years"/>
    <n v="1725000"/>
    <n v="17.25"/>
    <s v="Full Time"/>
    <s v="Hybrid"/>
    <d v="2026-01-18T00:00:00"/>
    <x v="2"/>
  </r>
  <r>
    <s v="Job0457"/>
    <s v="Data Engineer"/>
    <s v="Sonata Software"/>
    <s v="Mumbai"/>
    <s v="5+ Years"/>
    <n v="4025000"/>
    <n v="40.25"/>
    <s v="Full Time"/>
    <s v="Hybrid"/>
    <d v="2026-01-18T00:00:00"/>
    <x v="13"/>
  </r>
  <r>
    <s v="Job0457"/>
    <s v="Data Engineer"/>
    <s v="Sonata Software"/>
    <s v="Mumbai"/>
    <s v="5+ Years"/>
    <n v="4025000"/>
    <n v="40.25"/>
    <s v="Full Time"/>
    <s v="Hybrid"/>
    <d v="2026-01-18T00:00:00"/>
    <x v="1"/>
  </r>
  <r>
    <s v="Job0457"/>
    <s v="Data Engineer"/>
    <s v="Sonata Software"/>
    <s v="Mumbai"/>
    <s v="5+ Years"/>
    <n v="4025000"/>
    <n v="40.25"/>
    <s v="Full Time"/>
    <s v="Hybrid"/>
    <d v="2026-01-18T00:00:00"/>
    <x v="7"/>
  </r>
  <r>
    <s v="Job0027"/>
    <s v="Bi Analyst"/>
    <s v="Dunzo"/>
    <s v="Pune"/>
    <s v="0-2 Years"/>
    <n v="385000"/>
    <n v="3.85"/>
    <s v="Contract"/>
    <s v="On-Site"/>
    <d v="2026-02-02T00:00:00"/>
    <x v="13"/>
  </r>
  <r>
    <s v="Job0027"/>
    <s v="Bi Analyst"/>
    <s v="Dunzo"/>
    <s v="Pune"/>
    <s v="0-2 Years"/>
    <n v="385000"/>
    <n v="3.85"/>
    <s v="Contract"/>
    <s v="On-Site"/>
    <d v="2026-02-02T00:00:00"/>
    <x v="0"/>
  </r>
  <r>
    <s v="Job0027"/>
    <s v="Bi Analyst"/>
    <s v="Dunzo"/>
    <s v="Pune"/>
    <s v="0-2 Years"/>
    <n v="385000"/>
    <n v="3.85"/>
    <s v="Contract"/>
    <s v="On-Site"/>
    <d v="2026-02-02T00:00:00"/>
    <x v="2"/>
  </r>
  <r>
    <s v="Job0384"/>
    <s v="Bi Analyst"/>
    <s v="Goldman Sachs India"/>
    <s v="Hyderabad"/>
    <s v="2-5 Years"/>
    <n v="880000"/>
    <n v="8.8000000000000007"/>
    <s v="Full Time"/>
    <s v="Hybrid"/>
    <d v="2026-07-10T00:00:00"/>
    <x v="5"/>
  </r>
  <r>
    <s v="Job0384"/>
    <s v="Bi Analyst"/>
    <s v="Goldman Sachs India"/>
    <s v="Hyderabad"/>
    <s v="2-5 Years"/>
    <n v="880000"/>
    <n v="8.8000000000000007"/>
    <s v="Full Time"/>
    <s v="Hybrid"/>
    <d v="2026-07-10T00:00:00"/>
    <x v="0"/>
  </r>
  <r>
    <s v="Job0384"/>
    <s v="Bi Analyst"/>
    <s v="Goldman Sachs India"/>
    <s v="Hyderabad"/>
    <s v="2-5 Years"/>
    <n v="880000"/>
    <n v="8.8000000000000007"/>
    <s v="Full Time"/>
    <s v="Hybrid"/>
    <d v="2026-07-10T00:00:00"/>
    <x v="8"/>
  </r>
  <r>
    <s v="Job0350"/>
    <s v="Ai Engineer"/>
    <s v="Icici Bank"/>
    <s v="Kolkata"/>
    <s v="5+ Years"/>
    <n v="1800000"/>
    <n v="18"/>
    <s v="Full Time"/>
    <s v="Remote"/>
    <d v="2026-06-05T00:00:00"/>
    <x v="7"/>
  </r>
  <r>
    <s v="Job0350"/>
    <s v="Ai Engineer"/>
    <s v="Icici Bank"/>
    <s v="Kolkata"/>
    <s v="5+ Years"/>
    <n v="1800000"/>
    <n v="18"/>
    <s v="Full Time"/>
    <s v="Remote"/>
    <d v="2026-06-05T00:00:00"/>
    <x v="1"/>
  </r>
  <r>
    <s v="Job0350"/>
    <s v="Ai Engineer"/>
    <s v="Icici Bank"/>
    <s v="Kolkata"/>
    <s v="5+ Years"/>
    <n v="1800000"/>
    <n v="18"/>
    <s v="Full Time"/>
    <s v="Remote"/>
    <d v="2026-06-05T00:00:00"/>
    <x v="14"/>
  </r>
  <r>
    <s v="Job0498"/>
    <s v="Ai Engineer"/>
    <s v="Reliance Jio"/>
    <s v="Hyderabad"/>
    <s v="2-5 Years"/>
    <n v="1030000"/>
    <n v="10.3"/>
    <s v="Full Time"/>
    <s v="Hybrid"/>
    <d v="2026-05-01T00:00:00"/>
    <x v="1"/>
  </r>
  <r>
    <s v="Job0498"/>
    <s v="Ai Engineer"/>
    <s v="Reliance Jio"/>
    <s v="Hyderabad"/>
    <s v="2-5 Years"/>
    <n v="1030000"/>
    <n v="10.3"/>
    <s v="Full Time"/>
    <s v="Hybrid"/>
    <d v="2026-05-01T00:00:00"/>
    <x v="14"/>
  </r>
  <r>
    <s v="Job0498"/>
    <s v="Ai Engineer"/>
    <s v="Reliance Jio"/>
    <s v="Hyderabad"/>
    <s v="2-5 Years"/>
    <n v="1030000"/>
    <n v="10.3"/>
    <s v="Full Time"/>
    <s v="Hybrid"/>
    <d v="2026-05-01T00:00:00"/>
    <x v="9"/>
  </r>
  <r>
    <s v="Job0250"/>
    <s v="Machine Learning Scientist"/>
    <s v="Mu Sigma"/>
    <s v="Bangalore"/>
    <s v="0-2 Years"/>
    <n v="355000"/>
    <n v="3.55"/>
    <s v="Contract"/>
    <s v="On-Site"/>
    <d v="2026-08-23T00:00:00"/>
    <x v="6"/>
  </r>
  <r>
    <s v="Job0250"/>
    <s v="Machine Learning Scientist"/>
    <s v="Mu Sigma"/>
    <s v="Bangalore"/>
    <s v="0-2 Years"/>
    <n v="355000"/>
    <n v="3.55"/>
    <s v="Contract"/>
    <s v="On-Site"/>
    <d v="2026-08-23T00:00:00"/>
    <x v="9"/>
  </r>
  <r>
    <s v="Job0250"/>
    <s v="Machine Learning Scientist"/>
    <s v="Mu Sigma"/>
    <s v="Bangalore"/>
    <s v="0-2 Years"/>
    <n v="355000"/>
    <n v="3.55"/>
    <s v="Contract"/>
    <s v="On-Site"/>
    <d v="2026-08-23T00:00:00"/>
    <x v="1"/>
  </r>
  <r>
    <s v="Job0430"/>
    <s v="Machine Learning Scientist"/>
    <s v="Pwc India"/>
    <s v="Chennai"/>
    <s v="2-5 Years"/>
    <n v="1490000"/>
    <n v="14.9"/>
    <s v="Contract"/>
    <s v="On-Site"/>
    <d v="2026-01-22T00:00:00"/>
    <x v="5"/>
  </r>
  <r>
    <s v="Job0430"/>
    <s v="Machine Learning Scientist"/>
    <s v="Pwc India"/>
    <s v="Chennai"/>
    <s v="2-5 Years"/>
    <n v="1490000"/>
    <n v="14.9"/>
    <s v="Contract"/>
    <s v="On-Site"/>
    <d v="2026-01-22T00:00:00"/>
    <x v="6"/>
  </r>
  <r>
    <s v="Job0430"/>
    <s v="Machine Learning Scientist"/>
    <s v="Pwc India"/>
    <s v="Chennai"/>
    <s v="2-5 Years"/>
    <n v="1490000"/>
    <n v="14.9"/>
    <s v="Contract"/>
    <s v="On-Site"/>
    <d v="2026-01-22T00:00:00"/>
    <x v="1"/>
  </r>
  <r>
    <s v="Job0376"/>
    <s v="Business Analyst"/>
    <s v="Oracle India"/>
    <s v="Noida"/>
    <s v="5+ Years"/>
    <n v="3260000"/>
    <n v="32.6"/>
    <s v="Contract"/>
    <s v="Remote"/>
    <d v="2026-06-04T00:00:00"/>
    <x v="5"/>
  </r>
  <r>
    <s v="Job0376"/>
    <s v="Business Analyst"/>
    <s v="Oracle India"/>
    <s v="Noida"/>
    <s v="5+ Years"/>
    <n v="3260000"/>
    <n v="32.6"/>
    <s v="Contract"/>
    <s v="Remote"/>
    <d v="2026-06-04T00:00:00"/>
    <x v="10"/>
  </r>
  <r>
    <s v="Job0376"/>
    <s v="Business Analyst"/>
    <s v="Oracle India"/>
    <s v="Noida"/>
    <s v="5+ Years"/>
    <n v="3260000"/>
    <n v="32.6"/>
    <s v="Contract"/>
    <s v="Remote"/>
    <d v="2026-06-04T00:00:00"/>
    <x v="12"/>
  </r>
  <r>
    <s v="Job0379"/>
    <s v="Business Analyst"/>
    <s v="Ey India"/>
    <s v="Noida"/>
    <s v="2-5 Years"/>
    <n v="1030000"/>
    <n v="10.3"/>
    <s v="Full Time"/>
    <s v="Hybrid"/>
    <d v="2026-04-02T00:00:00"/>
    <x v="2"/>
  </r>
  <r>
    <s v="Job0379"/>
    <s v="Business Analyst"/>
    <s v="Ey India"/>
    <s v="Noida"/>
    <s v="2-5 Years"/>
    <n v="1030000"/>
    <n v="10.3"/>
    <s v="Full Time"/>
    <s v="Hybrid"/>
    <d v="2026-04-02T00:00:00"/>
    <x v="9"/>
  </r>
  <r>
    <s v="Job0379"/>
    <s v="Business Analyst"/>
    <s v="Ey India"/>
    <s v="Noida"/>
    <s v="2-5 Years"/>
    <n v="1030000"/>
    <n v="10.3"/>
    <s v="Full Time"/>
    <s v="Hybrid"/>
    <d v="2026-04-02T00:00:00"/>
    <x v="10"/>
  </r>
  <r>
    <s v="Job0087"/>
    <s v="Ai/Ml Analyst"/>
    <s v="Reliance Jio"/>
    <s v="Kolkata"/>
    <s v="1-3 Years"/>
    <n v="1030000"/>
    <n v="10.3"/>
    <s v="Full Time"/>
    <s v="On-Site"/>
    <d v="2026-04-24T00:00:00"/>
    <x v="12"/>
  </r>
  <r>
    <s v="Job0087"/>
    <s v="Ai/Ml Analyst"/>
    <s v="Reliance Jio"/>
    <s v="Kolkata"/>
    <s v="1-3 Years"/>
    <n v="1030000"/>
    <n v="10.3"/>
    <s v="Full Time"/>
    <s v="On-Site"/>
    <d v="2026-04-24T00:00:00"/>
    <x v="3"/>
  </r>
  <r>
    <s v="Job0087"/>
    <s v="Ai/Ml Analyst"/>
    <s v="Reliance Jio"/>
    <s v="Kolkata"/>
    <s v="1-3 Years"/>
    <n v="1030000"/>
    <n v="10.3"/>
    <s v="Full Time"/>
    <s v="On-Site"/>
    <d v="2026-04-24T00:00:00"/>
    <x v="0"/>
  </r>
  <r>
    <s v="Job0094"/>
    <s v="Ai/Ml Analyst"/>
    <s v="Nykaa"/>
    <s v="Gurugram"/>
    <s v="5+ Years"/>
    <n v="3355000"/>
    <n v="33.549999999999997"/>
    <s v="Full Time"/>
    <s v="On-Site"/>
    <d v="2026-07-04T00:00:00"/>
    <x v="7"/>
  </r>
  <r>
    <s v="Job0094"/>
    <s v="Ai/Ml Analyst"/>
    <s v="Nykaa"/>
    <s v="Gurugram"/>
    <s v="5+ Years"/>
    <n v="3355000"/>
    <n v="33.549999999999997"/>
    <s v="Full Time"/>
    <s v="On-Site"/>
    <d v="2026-07-04T00:00:00"/>
    <x v="4"/>
  </r>
  <r>
    <s v="Job0094"/>
    <s v="Ai/Ml Analyst"/>
    <s v="Nykaa"/>
    <s v="Gurugram"/>
    <s v="5+ Years"/>
    <n v="3355000"/>
    <n v="33.549999999999997"/>
    <s v="Full Time"/>
    <s v="On-Site"/>
    <d v="2026-07-04T00:00:00"/>
    <x v="14"/>
  </r>
  <r>
    <s v="Job0093"/>
    <s v="Data Scientist"/>
    <s v="Zs Associates"/>
    <s v="Gurugram"/>
    <s v="0-2 Years"/>
    <n v="755000"/>
    <n v="7.55"/>
    <s v="Full Time"/>
    <s v="Remote"/>
    <d v="2026-06-02T00:00:00"/>
    <x v="5"/>
  </r>
  <r>
    <s v="Job0093"/>
    <s v="Data Scientist"/>
    <s v="Zs Associates"/>
    <s v="Gurugram"/>
    <s v="0-2 Years"/>
    <n v="755000"/>
    <n v="7.55"/>
    <s v="Full Time"/>
    <s v="Remote"/>
    <d v="2026-06-02T00:00:00"/>
    <x v="4"/>
  </r>
  <r>
    <s v="Job0093"/>
    <s v="Data Scientist"/>
    <s v="Zs Associates"/>
    <s v="Gurugram"/>
    <s v="0-2 Years"/>
    <n v="755000"/>
    <n v="7.55"/>
    <s v="Full Time"/>
    <s v="Remote"/>
    <d v="2026-06-02T00:00:00"/>
    <x v="1"/>
  </r>
  <r>
    <s v="Job0300"/>
    <s v="Ml Engineer"/>
    <s v="Fractal Analytics"/>
    <s v="Mumbai"/>
    <s v="3-5 Years"/>
    <n v="1240000"/>
    <n v="12.4"/>
    <s v="Full Time"/>
    <s v="Hybrid"/>
    <d v="2026-01-11T00:00:00"/>
    <x v="12"/>
  </r>
  <r>
    <s v="Job0300"/>
    <s v="Ml Engineer"/>
    <s v="Fractal Analytics"/>
    <s v="Mumbai"/>
    <s v="3-5 Years"/>
    <n v="1240000"/>
    <n v="12.4"/>
    <s v="Full Time"/>
    <s v="Hybrid"/>
    <d v="2026-01-11T00:00:00"/>
    <x v="6"/>
  </r>
  <r>
    <s v="Job0300"/>
    <s v="Ml Engineer"/>
    <s v="Fractal Analytics"/>
    <s v="Mumbai"/>
    <s v="3-5 Years"/>
    <n v="1240000"/>
    <n v="12.4"/>
    <s v="Full Time"/>
    <s v="Hybrid"/>
    <d v="2026-01-11T00:00:00"/>
    <x v="3"/>
  </r>
  <r>
    <s v="Job0464"/>
    <s v="Product Data Analyst"/>
    <s v="Tata Consultancy Services"/>
    <s v="Kolkata"/>
    <s v="1-3 Years"/>
    <n v="775000"/>
    <n v="7.75"/>
    <s v="Full Time"/>
    <s v="On-Site"/>
    <d v="2026-05-08T00:00:00"/>
    <x v="8"/>
  </r>
  <r>
    <s v="Job0464"/>
    <s v="Product Data Analyst"/>
    <s v="Tata Consultancy Services"/>
    <s v="Kolkata"/>
    <s v="1-3 Years"/>
    <n v="775000"/>
    <n v="7.75"/>
    <s v="Full Time"/>
    <s v="On-Site"/>
    <d v="2026-05-08T00:00:00"/>
    <x v="0"/>
  </r>
  <r>
    <s v="Job0464"/>
    <s v="Product Data Analyst"/>
    <s v="Tata Consultancy Services"/>
    <s v="Kolkata"/>
    <s v="1-3 Years"/>
    <n v="775000"/>
    <n v="7.75"/>
    <s v="Full Time"/>
    <s v="On-Site"/>
    <d v="2026-05-08T00:00:00"/>
    <x v="6"/>
  </r>
  <r>
    <s v="Job0219"/>
    <s v="Ml Engineer"/>
    <s v="Dell Technologies India"/>
    <s v="Mumbai"/>
    <s v="3-5 Years"/>
    <n v="2040000"/>
    <n v="20.399999999999999"/>
    <s v="Full Time"/>
    <s v="On-Site"/>
    <d v="2026-06-06T00:00:00"/>
    <x v="7"/>
  </r>
  <r>
    <s v="Job0219"/>
    <s v="Ml Engineer"/>
    <s v="Dell Technologies India"/>
    <s v="Mumbai"/>
    <s v="3-5 Years"/>
    <n v="2040000"/>
    <n v="20.399999999999999"/>
    <s v="Full Time"/>
    <s v="On-Site"/>
    <d v="2026-06-06T00:00:00"/>
    <x v="8"/>
  </r>
  <r>
    <s v="Job0219"/>
    <s v="Ml Engineer"/>
    <s v="Dell Technologies India"/>
    <s v="Mumbai"/>
    <s v="3-5 Years"/>
    <n v="2040000"/>
    <n v="20.399999999999999"/>
    <s v="Full Time"/>
    <s v="On-Site"/>
    <d v="2026-06-06T00:00:00"/>
    <x v="5"/>
  </r>
  <r>
    <s v="Job0013"/>
    <s v="Data Scientist"/>
    <s v="Urban Company"/>
    <s v="Bangalore"/>
    <s v="0-2 Years"/>
    <n v="250000"/>
    <n v="2.5"/>
    <s v="Internship"/>
    <s v="Hybrid"/>
    <d v="2026-04-13T00:00:00"/>
    <x v="1"/>
  </r>
  <r>
    <s v="Job0013"/>
    <s v="Data Scientist"/>
    <s v="Urban Company"/>
    <s v="Bangalore"/>
    <s v="0-2 Years"/>
    <n v="250000"/>
    <n v="2.5"/>
    <s v="Internship"/>
    <s v="Hybrid"/>
    <d v="2026-04-13T00:00:00"/>
    <x v="4"/>
  </r>
  <r>
    <s v="Job0013"/>
    <s v="Data Scientist"/>
    <s v="Urban Company"/>
    <s v="Bangalore"/>
    <s v="0-2 Years"/>
    <n v="250000"/>
    <n v="2.5"/>
    <s v="Internship"/>
    <s v="Hybrid"/>
    <d v="2026-04-13T00:00:00"/>
    <x v="8"/>
  </r>
  <r>
    <s v="Job0490"/>
    <s v="Bi Analyst"/>
    <s v="Adobe India"/>
    <s v="Mumbai"/>
    <s v="5+ Years"/>
    <n v="3185000"/>
    <n v="31.85"/>
    <s v="Full Time"/>
    <s v="On-Site"/>
    <d v="2026-03-12T00:00:00"/>
    <x v="8"/>
  </r>
  <r>
    <s v="Job0490"/>
    <s v="Bi Analyst"/>
    <s v="Adobe India"/>
    <s v="Mumbai"/>
    <s v="5+ Years"/>
    <n v="3185000"/>
    <n v="31.85"/>
    <s v="Full Time"/>
    <s v="On-Site"/>
    <d v="2026-03-12T00:00:00"/>
    <x v="12"/>
  </r>
  <r>
    <s v="Job0490"/>
    <s v="Bi Analyst"/>
    <s v="Adobe India"/>
    <s v="Mumbai"/>
    <s v="5+ Years"/>
    <n v="3185000"/>
    <n v="31.85"/>
    <s v="Full Time"/>
    <s v="On-Site"/>
    <d v="2026-03-12T00:00:00"/>
    <x v="13"/>
  </r>
  <r>
    <s v="Job0409"/>
    <s v="Bi Analyst"/>
    <s v="Hdfc Bank"/>
    <s v="Kolkata"/>
    <s v="5+ Years"/>
    <n v="3065000"/>
    <n v="30.65"/>
    <s v="Full Time"/>
    <s v="Hybrid"/>
    <d v="2026-01-13T00:00:00"/>
    <x v="3"/>
  </r>
  <r>
    <s v="Job0409"/>
    <s v="Bi Analyst"/>
    <s v="Hdfc Bank"/>
    <s v="Kolkata"/>
    <s v="5+ Years"/>
    <n v="3065000"/>
    <n v="30.65"/>
    <s v="Full Time"/>
    <s v="Hybrid"/>
    <d v="2026-01-13T00:00:00"/>
    <x v="5"/>
  </r>
  <r>
    <s v="Job0409"/>
    <s v="Bi Analyst"/>
    <s v="Hdfc Bank"/>
    <s v="Kolkata"/>
    <s v="5+ Years"/>
    <n v="3065000"/>
    <n v="30.65"/>
    <s v="Full Time"/>
    <s v="Hybrid"/>
    <d v="2026-01-13T00:00:00"/>
    <x v="8"/>
  </r>
  <r>
    <s v="Job0129"/>
    <s v="Data Scientist"/>
    <s v="Jpmorgan Chase India"/>
    <s v="Noida"/>
    <s v="3-5 Years"/>
    <n v="1890000"/>
    <n v="18.899999999999999"/>
    <s v="Contract"/>
    <s v="Hybrid"/>
    <d v="2026-04-05T00:00:00"/>
    <x v="1"/>
  </r>
  <r>
    <s v="Job0129"/>
    <s v="Data Scientist"/>
    <s v="Jpmorgan Chase India"/>
    <s v="Noida"/>
    <s v="3-5 Years"/>
    <n v="1890000"/>
    <n v="18.899999999999999"/>
    <s v="Contract"/>
    <s v="Hybrid"/>
    <d v="2026-04-05T00:00:00"/>
    <x v="8"/>
  </r>
  <r>
    <s v="Job0129"/>
    <s v="Data Scientist"/>
    <s v="Jpmorgan Chase India"/>
    <s v="Noida"/>
    <s v="3-5 Years"/>
    <n v="1890000"/>
    <n v="18.899999999999999"/>
    <s v="Contract"/>
    <s v="Hybrid"/>
    <d v="2026-04-05T00:00:00"/>
    <x v="5"/>
  </r>
  <r>
    <s v="Job0053"/>
    <s v="Machine Learning Scientist"/>
    <s v="Paytm"/>
    <s v="Delhi"/>
    <s v="2-5 Years"/>
    <n v="1140000"/>
    <n v="11.4"/>
    <s v="Contract"/>
    <s v="On-Site"/>
    <d v="2026-04-15T00:00:00"/>
    <x v="3"/>
  </r>
  <r>
    <s v="Job0053"/>
    <s v="Machine Learning Scientist"/>
    <s v="Paytm"/>
    <s v="Delhi"/>
    <s v="2-5 Years"/>
    <n v="1140000"/>
    <n v="11.4"/>
    <s v="Contract"/>
    <s v="On-Site"/>
    <d v="2026-04-15T00:00:00"/>
    <x v="8"/>
  </r>
  <r>
    <s v="Job0053"/>
    <s v="Machine Learning Scientist"/>
    <s v="Paytm"/>
    <s v="Delhi"/>
    <s v="2-5 Years"/>
    <n v="1140000"/>
    <n v="11.4"/>
    <s v="Contract"/>
    <s v="On-Site"/>
    <d v="2026-04-15T00:00:00"/>
    <x v="6"/>
  </r>
  <r>
    <s v="Job0304"/>
    <s v="Business Analyst"/>
    <s v="Sap Labs India"/>
    <s v="Delhi"/>
    <s v="3-5 Years"/>
    <n v="2145000"/>
    <n v="21.45"/>
    <s v="Full Time"/>
    <s v="On-Site"/>
    <d v="2026-03-11T00:00:00"/>
    <x v="3"/>
  </r>
  <r>
    <s v="Job0304"/>
    <s v="Business Analyst"/>
    <s v="Sap Labs India"/>
    <s v="Delhi"/>
    <s v="3-5 Years"/>
    <n v="2145000"/>
    <n v="21.45"/>
    <s v="Full Time"/>
    <s v="On-Site"/>
    <d v="2026-03-11T00:00:00"/>
    <x v="8"/>
  </r>
  <r>
    <s v="Job0304"/>
    <s v="Business Analyst"/>
    <s v="Sap Labs India"/>
    <s v="Delhi"/>
    <s v="3-5 Years"/>
    <n v="2145000"/>
    <n v="21.45"/>
    <s v="Full Time"/>
    <s v="On-Site"/>
    <d v="2026-03-11T00:00:00"/>
    <x v="9"/>
  </r>
  <r>
    <s v="Job0493"/>
    <s v="Machine Learning Scientist"/>
    <s v="Latentview Analytics"/>
    <s v="Hyderabad"/>
    <s v="1-3 Years"/>
    <n v="885000"/>
    <n v="8.85"/>
    <s v="Full Time"/>
    <s v="Hybrid"/>
    <d v="2026-06-02T00:00:00"/>
    <x v="13"/>
  </r>
  <r>
    <s v="Job0493"/>
    <s v="Machine Learning Scientist"/>
    <s v="Latentview Analytics"/>
    <s v="Hyderabad"/>
    <s v="1-3 Years"/>
    <n v="885000"/>
    <n v="8.85"/>
    <s v="Full Time"/>
    <s v="Hybrid"/>
    <d v="2026-06-02T00:00:00"/>
    <x v="8"/>
  </r>
  <r>
    <s v="Job0493"/>
    <s v="Machine Learning Scientist"/>
    <s v="Latentview Analytics"/>
    <s v="Hyderabad"/>
    <s v="1-3 Years"/>
    <n v="885000"/>
    <n v="8.85"/>
    <s v="Full Time"/>
    <s v="Hybrid"/>
    <d v="2026-06-02T00:00:00"/>
    <x v="2"/>
  </r>
  <r>
    <s v="Job0239"/>
    <s v="Product Data Analyst"/>
    <s v="Persistent Systems"/>
    <s v="Delhi"/>
    <s v="1-3 Years"/>
    <n v="655000"/>
    <n v="6.55"/>
    <s v="Full Time"/>
    <s v="Hybrid"/>
    <d v="2026-03-04T00:00:00"/>
    <x v="0"/>
  </r>
  <r>
    <s v="Job0239"/>
    <s v="Product Data Analyst"/>
    <s v="Persistent Systems"/>
    <s v="Delhi"/>
    <s v="1-3 Years"/>
    <n v="655000"/>
    <n v="6.55"/>
    <s v="Full Time"/>
    <s v="Hybrid"/>
    <d v="2026-03-04T00:00:00"/>
    <x v="14"/>
  </r>
  <r>
    <s v="Job0239"/>
    <s v="Product Data Analyst"/>
    <s v="Persistent Systems"/>
    <s v="Delhi"/>
    <s v="1-3 Years"/>
    <n v="655000"/>
    <n v="6.55"/>
    <s v="Full Time"/>
    <s v="Hybrid"/>
    <d v="2026-03-04T00:00:00"/>
    <x v="10"/>
  </r>
  <r>
    <s v="Job0264"/>
    <s v="Ai Engineer"/>
    <s v="Hdfc Bank"/>
    <s v="Pune"/>
    <s v="2-5 Years"/>
    <n v="1010000"/>
    <n v="10.1"/>
    <s v="Full Time"/>
    <s v="Hybrid"/>
    <d v="2026-04-18T00:00:00"/>
    <x v="8"/>
  </r>
  <r>
    <s v="Job0264"/>
    <s v="Ai Engineer"/>
    <s v="Hdfc Bank"/>
    <s v="Pune"/>
    <s v="2-5 Years"/>
    <n v="1010000"/>
    <n v="10.1"/>
    <s v="Full Time"/>
    <s v="Hybrid"/>
    <d v="2026-04-18T00:00:00"/>
    <x v="1"/>
  </r>
  <r>
    <s v="Job0264"/>
    <s v="Ai Engineer"/>
    <s v="Hdfc Bank"/>
    <s v="Pune"/>
    <s v="2-5 Years"/>
    <n v="1010000"/>
    <n v="10.1"/>
    <s v="Full Time"/>
    <s v="Hybrid"/>
    <d v="2026-04-18T00:00:00"/>
    <x v="7"/>
  </r>
  <r>
    <s v="Job0287"/>
    <s v="Product Data Analyst"/>
    <s v="Myntra"/>
    <s v="Delhi"/>
    <s v="1-3 Years"/>
    <n v="910000"/>
    <n v="9.1"/>
    <s v="Full Time"/>
    <s v="Hybrid"/>
    <d v="2026-08-05T00:00:00"/>
    <x v="3"/>
  </r>
  <r>
    <s v="Job0287"/>
    <s v="Product Data Analyst"/>
    <s v="Myntra"/>
    <s v="Delhi"/>
    <s v="1-3 Years"/>
    <n v="910000"/>
    <n v="9.1"/>
    <s v="Full Time"/>
    <s v="Hybrid"/>
    <d v="2026-08-05T00:00:00"/>
    <x v="14"/>
  </r>
  <r>
    <s v="Job0287"/>
    <s v="Product Data Analyst"/>
    <s v="Myntra"/>
    <s v="Delhi"/>
    <s v="1-3 Years"/>
    <n v="910000"/>
    <n v="9.1"/>
    <s v="Full Time"/>
    <s v="Hybrid"/>
    <d v="2026-08-05T00:00:00"/>
    <x v="10"/>
  </r>
  <r>
    <s v="Job0230"/>
    <s v="Business Analyst"/>
    <s v="Bank Of America India"/>
    <s v="Kolkata"/>
    <s v="3-5 Years"/>
    <n v="2030000"/>
    <n v="20.3"/>
    <s v="Full Time"/>
    <s v="Remote"/>
    <d v="2026-07-22T00:00:00"/>
    <x v="10"/>
  </r>
  <r>
    <s v="Job0230"/>
    <s v="Business Analyst"/>
    <s v="Bank Of America India"/>
    <s v="Kolkata"/>
    <s v="3-5 Years"/>
    <n v="2030000"/>
    <n v="20.3"/>
    <s v="Full Time"/>
    <s v="Remote"/>
    <d v="2026-07-22T00:00:00"/>
    <x v="8"/>
  </r>
  <r>
    <s v="Job0230"/>
    <s v="Business Analyst"/>
    <s v="Bank Of America India"/>
    <s v="Kolkata"/>
    <s v="3-5 Years"/>
    <n v="2030000"/>
    <n v="20.3"/>
    <s v="Full Time"/>
    <s v="Remote"/>
    <d v="2026-07-22T00:00:00"/>
    <x v="12"/>
  </r>
  <r>
    <s v="Job0017"/>
    <s v="Data Scientist"/>
    <s v="Cognizant"/>
    <s v="Noida"/>
    <s v="2-5 Years"/>
    <n v="1600000"/>
    <n v="16"/>
    <s v="Full Time"/>
    <s v="Remote"/>
    <d v="2026-08-12T00:00:00"/>
    <x v="0"/>
  </r>
  <r>
    <s v="Job0017"/>
    <s v="Data Scientist"/>
    <s v="Cognizant"/>
    <s v="Noida"/>
    <s v="2-5 Years"/>
    <n v="1600000"/>
    <n v="16"/>
    <s v="Full Time"/>
    <s v="Remote"/>
    <d v="2026-08-12T00:00:00"/>
    <x v="1"/>
  </r>
  <r>
    <s v="Job0017"/>
    <s v="Data Scientist"/>
    <s v="Cognizant"/>
    <s v="Noida"/>
    <s v="2-5 Years"/>
    <n v="1600000"/>
    <n v="16"/>
    <s v="Full Time"/>
    <s v="Remote"/>
    <d v="2026-08-12T00:00:00"/>
    <x v="3"/>
  </r>
  <r>
    <s v="Job0067"/>
    <s v="Machine Learning Scientist"/>
    <s v="Pwc India"/>
    <s v="Delhi"/>
    <s v="0-2 Years"/>
    <n v="320000"/>
    <n v="3.2"/>
    <s v="Internship"/>
    <s v="Hybrid"/>
    <d v="2026-04-29T00:00:00"/>
    <x v="7"/>
  </r>
  <r>
    <s v="Job0067"/>
    <s v="Machine Learning Scientist"/>
    <s v="Pwc India"/>
    <s v="Delhi"/>
    <s v="0-2 Years"/>
    <n v="320000"/>
    <n v="3.2"/>
    <s v="Internship"/>
    <s v="Hybrid"/>
    <d v="2026-04-29T00:00:00"/>
    <x v="11"/>
  </r>
  <r>
    <s v="Job0067"/>
    <s v="Machine Learning Scientist"/>
    <s v="Pwc India"/>
    <s v="Delhi"/>
    <s v="0-2 Years"/>
    <n v="320000"/>
    <n v="3.2"/>
    <s v="Internship"/>
    <s v="Hybrid"/>
    <d v="2026-04-29T00:00:00"/>
    <x v="14"/>
  </r>
  <r>
    <s v="Job0143"/>
    <s v="Product Data Analyst"/>
    <s v="Hcltech"/>
    <s v="Gurugram"/>
    <s v="0-2 Years"/>
    <n v="345000"/>
    <n v="3.45"/>
    <s v="Internship"/>
    <s v="On-Site"/>
    <d v="2026-04-23T00:00:00"/>
    <x v="10"/>
  </r>
  <r>
    <s v="Job0143"/>
    <s v="Product Data Analyst"/>
    <s v="Hcltech"/>
    <s v="Gurugram"/>
    <s v="0-2 Years"/>
    <n v="345000"/>
    <n v="3.45"/>
    <s v="Internship"/>
    <s v="On-Site"/>
    <d v="2026-04-23T00:00:00"/>
    <x v="0"/>
  </r>
  <r>
    <s v="Job0143"/>
    <s v="Product Data Analyst"/>
    <s v="Hcltech"/>
    <s v="Gurugram"/>
    <s v="0-2 Years"/>
    <n v="345000"/>
    <n v="3.45"/>
    <s v="Internship"/>
    <s v="On-Site"/>
    <d v="2026-04-23T00:00:00"/>
    <x v="2"/>
  </r>
  <r>
    <s v="Job0102"/>
    <s v="Product Data Analyst"/>
    <s v="Capgemini"/>
    <s v="Mumbai"/>
    <s v="2-5 Years"/>
    <n v="1245000"/>
    <n v="12.45"/>
    <s v="Full Time"/>
    <s v="Hybrid"/>
    <d v="2026-01-29T00:00:00"/>
    <x v="2"/>
  </r>
  <r>
    <s v="Job0102"/>
    <s v="Product Data Analyst"/>
    <s v="Capgemini"/>
    <s v="Mumbai"/>
    <s v="2-5 Years"/>
    <n v="1245000"/>
    <n v="12.45"/>
    <s v="Full Time"/>
    <s v="Hybrid"/>
    <d v="2026-01-29T00:00:00"/>
    <x v="9"/>
  </r>
  <r>
    <s v="Job0102"/>
    <s v="Product Data Analyst"/>
    <s v="Capgemini"/>
    <s v="Mumbai"/>
    <s v="2-5 Years"/>
    <n v="1245000"/>
    <n v="12.45"/>
    <s v="Full Time"/>
    <s v="Hybrid"/>
    <d v="2026-01-29T00:00:00"/>
    <x v="12"/>
  </r>
  <r>
    <s v="Job0104"/>
    <s v="Data Scientist"/>
    <s v="Infosys"/>
    <s v="Gurugram"/>
    <s v="3-5 Years"/>
    <n v="1210000"/>
    <n v="12.1"/>
    <s v="Full Time"/>
    <s v="On-Site"/>
    <d v="2026-08-09T00:00:00"/>
    <x v="4"/>
  </r>
  <r>
    <s v="Job0104"/>
    <s v="Data Scientist"/>
    <s v="Infosys"/>
    <s v="Gurugram"/>
    <s v="3-5 Years"/>
    <n v="1210000"/>
    <n v="12.1"/>
    <s v="Full Time"/>
    <s v="On-Site"/>
    <d v="2026-08-09T00:00:00"/>
    <x v="9"/>
  </r>
  <r>
    <s v="Job0104"/>
    <s v="Data Scientist"/>
    <s v="Infosys"/>
    <s v="Gurugram"/>
    <s v="3-5 Years"/>
    <n v="1210000"/>
    <n v="12.1"/>
    <s v="Full Time"/>
    <s v="On-Site"/>
    <d v="2026-08-09T00:00:00"/>
    <x v="1"/>
  </r>
  <r>
    <s v="Job0377"/>
    <s v="Bi Analyst"/>
    <s v="Unacademy"/>
    <s v="Gurugram"/>
    <s v="2-5 Years"/>
    <n v="1550000"/>
    <n v="15.5"/>
    <s v="Full Time"/>
    <s v="Hybrid"/>
    <d v="2026-08-29T00:00:00"/>
    <x v="2"/>
  </r>
  <r>
    <s v="Job0377"/>
    <s v="Bi Analyst"/>
    <s v="Unacademy"/>
    <s v="Gurugram"/>
    <s v="2-5 Years"/>
    <n v="1550000"/>
    <n v="15.5"/>
    <s v="Full Time"/>
    <s v="Hybrid"/>
    <d v="2026-08-29T00:00:00"/>
    <x v="8"/>
  </r>
  <r>
    <s v="Job0377"/>
    <s v="Bi Analyst"/>
    <s v="Unacademy"/>
    <s v="Gurugram"/>
    <s v="2-5 Years"/>
    <n v="1550000"/>
    <n v="15.5"/>
    <s v="Full Time"/>
    <s v="Hybrid"/>
    <d v="2026-08-29T00:00:00"/>
    <x v="0"/>
  </r>
  <r>
    <s v="Job0423"/>
    <s v="Data Engineer"/>
    <s v="Mu Sigma"/>
    <s v="Bangalore"/>
    <s v="0-2 Years"/>
    <n v="385000"/>
    <n v="3.85"/>
    <s v="Internship"/>
    <s v="Hybrid"/>
    <d v="2026-06-26T00:00:00"/>
    <x v="0"/>
  </r>
  <r>
    <s v="Job0423"/>
    <s v="Data Engineer"/>
    <s v="Mu Sigma"/>
    <s v="Bangalore"/>
    <s v="0-2 Years"/>
    <n v="385000"/>
    <n v="3.85"/>
    <s v="Internship"/>
    <s v="Hybrid"/>
    <d v="2026-06-26T00:00:00"/>
    <x v="13"/>
  </r>
  <r>
    <s v="Job0423"/>
    <s v="Data Engineer"/>
    <s v="Mu Sigma"/>
    <s v="Bangalore"/>
    <s v="0-2 Years"/>
    <n v="385000"/>
    <n v="3.85"/>
    <s v="Internship"/>
    <s v="Hybrid"/>
    <d v="2026-06-26T00:00:00"/>
    <x v="11"/>
  </r>
  <r>
    <s v="Job0465"/>
    <s v="Data Engineer"/>
    <s v="Publicis Sapient"/>
    <s v="Chennai"/>
    <s v="3-5 Years"/>
    <n v="2110000"/>
    <n v="21.1"/>
    <s v="Full Time"/>
    <s v="Remote"/>
    <d v="2026-06-26T00:00:00"/>
    <x v="9"/>
  </r>
  <r>
    <s v="Job0465"/>
    <s v="Data Engineer"/>
    <s v="Publicis Sapient"/>
    <s v="Chennai"/>
    <s v="3-5 Years"/>
    <n v="2110000"/>
    <n v="21.1"/>
    <s v="Full Time"/>
    <s v="Remote"/>
    <d v="2026-06-26T00:00:00"/>
    <x v="5"/>
  </r>
  <r>
    <s v="Job0465"/>
    <s v="Data Engineer"/>
    <s v="Publicis Sapient"/>
    <s v="Chennai"/>
    <s v="3-5 Years"/>
    <n v="2110000"/>
    <n v="21.1"/>
    <s v="Full Time"/>
    <s v="Remote"/>
    <d v="2026-06-26T00:00:00"/>
    <x v="7"/>
  </r>
  <r>
    <s v="Job0398"/>
    <s v="Data Engineer"/>
    <s v="Mu Sigma"/>
    <s v="Gurugram"/>
    <s v="1-3 Years"/>
    <n v="560000"/>
    <n v="5.6"/>
    <s v="Full Time"/>
    <s v="On-Site"/>
    <d v="2026-04-04T00:00:00"/>
    <x v="5"/>
  </r>
  <r>
    <s v="Job0398"/>
    <s v="Data Engineer"/>
    <s v="Mu Sigma"/>
    <s v="Gurugram"/>
    <s v="1-3 Years"/>
    <n v="560000"/>
    <n v="5.6"/>
    <s v="Full Time"/>
    <s v="On-Site"/>
    <d v="2026-04-04T00:00:00"/>
    <x v="13"/>
  </r>
  <r>
    <s v="Job0398"/>
    <s v="Data Engineer"/>
    <s v="Mu Sigma"/>
    <s v="Gurugram"/>
    <s v="1-3 Years"/>
    <n v="560000"/>
    <n v="5.6"/>
    <s v="Full Time"/>
    <s v="On-Site"/>
    <d v="2026-04-04T00:00:00"/>
    <x v="0"/>
  </r>
  <r>
    <s v="Job0374"/>
    <s v="Machine Learning Scientist"/>
    <s v="Sap Labs India"/>
    <s v="Chennai"/>
    <s v="2-5 Years"/>
    <n v="1160000"/>
    <n v="11.6"/>
    <s v="Full Time"/>
    <s v="On-Site"/>
    <d v="2026-02-20T00:00:00"/>
    <x v="0"/>
  </r>
  <r>
    <s v="Job0374"/>
    <s v="Machine Learning Scientist"/>
    <s v="Sap Labs India"/>
    <s v="Chennai"/>
    <s v="2-5 Years"/>
    <n v="1160000"/>
    <n v="11.6"/>
    <s v="Full Time"/>
    <s v="On-Site"/>
    <d v="2026-02-20T00:00:00"/>
    <x v="6"/>
  </r>
  <r>
    <s v="Job0374"/>
    <s v="Machine Learning Scientist"/>
    <s v="Sap Labs India"/>
    <s v="Chennai"/>
    <s v="2-5 Years"/>
    <n v="1160000"/>
    <n v="11.6"/>
    <s v="Full Time"/>
    <s v="On-Site"/>
    <d v="2026-02-20T00:00:00"/>
    <x v="11"/>
  </r>
  <r>
    <s v="Job0336"/>
    <s v="Ai/Ml Analyst"/>
    <s v="Axis Bank"/>
    <s v="Ahmedabad"/>
    <s v="0-2 Years"/>
    <n v="480000"/>
    <n v="4.8"/>
    <s v="Full Time"/>
    <s v="Remote"/>
    <d v="2026-03-02T00:00:00"/>
    <x v="14"/>
  </r>
  <r>
    <s v="Job0336"/>
    <s v="Ai/Ml Analyst"/>
    <s v="Axis Bank"/>
    <s v="Ahmedabad"/>
    <s v="0-2 Years"/>
    <n v="480000"/>
    <n v="4.8"/>
    <s v="Full Time"/>
    <s v="Remote"/>
    <d v="2026-03-02T00:00:00"/>
    <x v="12"/>
  </r>
  <r>
    <s v="Job0336"/>
    <s v="Ai/Ml Analyst"/>
    <s v="Axis Bank"/>
    <s v="Ahmedabad"/>
    <s v="0-2 Years"/>
    <n v="480000"/>
    <n v="4.8"/>
    <s v="Full Time"/>
    <s v="Remote"/>
    <d v="2026-03-02T00:00:00"/>
    <x v="1"/>
  </r>
  <r>
    <s v="Job0320"/>
    <s v="Business Analyst"/>
    <s v="Cognizant"/>
    <s v="Chennai"/>
    <s v="1-3 Years"/>
    <n v="950000"/>
    <n v="9.5"/>
    <s v="Full Time"/>
    <s v="On-Site"/>
    <d v="2026-05-24T00:00:00"/>
    <x v="8"/>
  </r>
  <r>
    <s v="Job0320"/>
    <s v="Business Analyst"/>
    <s v="Cognizant"/>
    <s v="Chennai"/>
    <s v="1-3 Years"/>
    <n v="950000"/>
    <n v="9.5"/>
    <s v="Full Time"/>
    <s v="On-Site"/>
    <d v="2026-05-24T00:00:00"/>
    <x v="10"/>
  </r>
  <r>
    <s v="Job0320"/>
    <s v="Business Analyst"/>
    <s v="Cognizant"/>
    <s v="Chennai"/>
    <s v="1-3 Years"/>
    <n v="950000"/>
    <n v="9.5"/>
    <s v="Full Time"/>
    <s v="On-Site"/>
    <d v="2026-05-24T00:00:00"/>
    <x v="11"/>
  </r>
  <r>
    <s v="Job0046"/>
    <s v="Bi Analyst"/>
    <s v="Zoho"/>
    <s v="Mumbai"/>
    <s v="3-5 Years"/>
    <n v="1025000"/>
    <n v="10.25"/>
    <s v="Full Time"/>
    <s v="On-Site"/>
    <d v="2026-03-05T00:00:00"/>
    <x v="12"/>
  </r>
  <r>
    <s v="Job0046"/>
    <s v="Bi Analyst"/>
    <s v="Zoho"/>
    <s v="Mumbai"/>
    <s v="3-5 Years"/>
    <n v="1025000"/>
    <n v="10.25"/>
    <s v="Full Time"/>
    <s v="On-Site"/>
    <d v="2026-03-05T00:00:00"/>
    <x v="7"/>
  </r>
  <r>
    <s v="Job0046"/>
    <s v="Bi Analyst"/>
    <s v="Zoho"/>
    <s v="Mumbai"/>
    <s v="3-5 Years"/>
    <n v="1025000"/>
    <n v="10.25"/>
    <s v="Full Time"/>
    <s v="On-Site"/>
    <d v="2026-03-05T00:00:00"/>
    <x v="4"/>
  </r>
  <r>
    <s v="Job0353"/>
    <s v="Product Data Analyst"/>
    <s v="Kpmg India"/>
    <s v="Noida"/>
    <s v="1-3 Years"/>
    <n v="655000"/>
    <n v="6.55"/>
    <s v="Full Time"/>
    <s v="On-Site"/>
    <d v="2026-07-01T00:00:00"/>
    <x v="8"/>
  </r>
  <r>
    <s v="Job0353"/>
    <s v="Product Data Analyst"/>
    <s v="Kpmg India"/>
    <s v="Noida"/>
    <s v="1-3 Years"/>
    <n v="655000"/>
    <n v="6.55"/>
    <s v="Full Time"/>
    <s v="On-Site"/>
    <d v="2026-07-01T00:00:00"/>
    <x v="12"/>
  </r>
  <r>
    <s v="Job0353"/>
    <s v="Product Data Analyst"/>
    <s v="Kpmg India"/>
    <s v="Noida"/>
    <s v="1-3 Years"/>
    <n v="655000"/>
    <n v="6.55"/>
    <s v="Full Time"/>
    <s v="On-Site"/>
    <d v="2026-07-01T00:00:00"/>
    <x v="0"/>
  </r>
  <r>
    <s v="Job0486"/>
    <s v="Data Scientist"/>
    <s v="Delhivery"/>
    <s v="Chennai"/>
    <s v="3-5 Years"/>
    <n v="1640000"/>
    <n v="16.399999999999999"/>
    <s v="Contract"/>
    <s v="Hybrid"/>
    <d v="2026-03-28T00:00:00"/>
    <x v="2"/>
  </r>
  <r>
    <s v="Job0486"/>
    <s v="Data Scientist"/>
    <s v="Delhivery"/>
    <s v="Chennai"/>
    <s v="3-5 Years"/>
    <n v="1640000"/>
    <n v="16.399999999999999"/>
    <s v="Contract"/>
    <s v="Hybrid"/>
    <d v="2026-03-28T00:00:00"/>
    <x v="3"/>
  </r>
  <r>
    <s v="Job0486"/>
    <s v="Data Scientist"/>
    <s v="Delhivery"/>
    <s v="Chennai"/>
    <s v="3-5 Years"/>
    <n v="1640000"/>
    <n v="16.399999999999999"/>
    <s v="Contract"/>
    <s v="Hybrid"/>
    <d v="2026-03-28T00:00:00"/>
    <x v="5"/>
  </r>
  <r>
    <s v="Job0149"/>
    <s v="Ml Engineer"/>
    <s v="Deloitte India"/>
    <s v="Noida"/>
    <s v="5+ Years"/>
    <n v="2905000"/>
    <n v="29.05"/>
    <s v="Full Time"/>
    <s v="On-Site"/>
    <d v="2026-07-23T00:00:00"/>
    <x v="9"/>
  </r>
  <r>
    <s v="Job0149"/>
    <s v="Ml Engineer"/>
    <s v="Deloitte India"/>
    <s v="Noida"/>
    <s v="5+ Years"/>
    <n v="2905000"/>
    <n v="29.05"/>
    <s v="Full Time"/>
    <s v="On-Site"/>
    <d v="2026-07-23T00:00:00"/>
    <x v="1"/>
  </r>
  <r>
    <s v="Job0149"/>
    <s v="Ml Engineer"/>
    <s v="Deloitte India"/>
    <s v="Noida"/>
    <s v="5+ Years"/>
    <n v="2905000"/>
    <n v="29.05"/>
    <s v="Full Time"/>
    <s v="On-Site"/>
    <d v="2026-07-23T00:00:00"/>
    <x v="6"/>
  </r>
  <r>
    <s v="Job0437"/>
    <s v="Ai/Ml Analyst"/>
    <s v="Ibm India"/>
    <s v="Chennai"/>
    <s v="3-5 Years"/>
    <n v="1160000"/>
    <n v="11.6"/>
    <s v="Full Time"/>
    <s v="Hybrid"/>
    <d v="2026-01-28T00:00:00"/>
    <x v="3"/>
  </r>
  <r>
    <s v="Job0437"/>
    <s v="Ai/Ml Analyst"/>
    <s v="Ibm India"/>
    <s v="Chennai"/>
    <s v="3-5 Years"/>
    <n v="1160000"/>
    <n v="11.6"/>
    <s v="Full Time"/>
    <s v="Hybrid"/>
    <d v="2026-01-28T00:00:00"/>
    <x v="8"/>
  </r>
  <r>
    <s v="Job0437"/>
    <s v="Ai/Ml Analyst"/>
    <s v="Ibm India"/>
    <s v="Chennai"/>
    <s v="3-5 Years"/>
    <n v="1160000"/>
    <n v="11.6"/>
    <s v="Full Time"/>
    <s v="Hybrid"/>
    <d v="2026-01-28T00:00:00"/>
    <x v="9"/>
  </r>
  <r>
    <s v="Job0109"/>
    <s v="Product Data Analyst"/>
    <s v="Hdfc Bank"/>
    <s v="Kolkata"/>
    <s v="0-2 Years"/>
    <n v="295000"/>
    <n v="2.95"/>
    <s v="Internship"/>
    <s v="Hybrid"/>
    <d v="2026-04-01T00:00:00"/>
    <x v="8"/>
  </r>
  <r>
    <s v="Job0109"/>
    <s v="Product Data Analyst"/>
    <s v="Hdfc Bank"/>
    <s v="Kolkata"/>
    <s v="0-2 Years"/>
    <n v="295000"/>
    <n v="2.95"/>
    <s v="Internship"/>
    <s v="Hybrid"/>
    <d v="2026-04-01T00:00:00"/>
    <x v="4"/>
  </r>
  <r>
    <s v="Job0109"/>
    <s v="Product Data Analyst"/>
    <s v="Hdfc Bank"/>
    <s v="Kolkata"/>
    <s v="0-2 Years"/>
    <n v="295000"/>
    <n v="2.95"/>
    <s v="Internship"/>
    <s v="Hybrid"/>
    <d v="2026-04-01T00:00:00"/>
    <x v="0"/>
  </r>
  <r>
    <s v="Job0085"/>
    <s v="Ai Engineer"/>
    <s v="Mu Sigma"/>
    <s v="Hyderabad"/>
    <s v="3-5 Years"/>
    <n v="1030000"/>
    <n v="10.3"/>
    <s v="Contract"/>
    <s v="Hybrid"/>
    <d v="2026-06-12T00:00:00"/>
    <x v="12"/>
  </r>
  <r>
    <s v="Job0085"/>
    <s v="Ai Engineer"/>
    <s v="Mu Sigma"/>
    <s v="Hyderabad"/>
    <s v="3-5 Years"/>
    <n v="1030000"/>
    <n v="10.3"/>
    <s v="Contract"/>
    <s v="Hybrid"/>
    <d v="2026-06-12T00:00:00"/>
    <x v="7"/>
  </r>
  <r>
    <s v="Job0085"/>
    <s v="Ai Engineer"/>
    <s v="Mu Sigma"/>
    <s v="Hyderabad"/>
    <s v="3-5 Years"/>
    <n v="1030000"/>
    <n v="10.3"/>
    <s v="Contract"/>
    <s v="Hybrid"/>
    <d v="2026-06-12T00:00:00"/>
    <x v="0"/>
  </r>
  <r>
    <s v="Job0275"/>
    <s v="Business Analyst"/>
    <s v="Kpmg India"/>
    <s v="Mumbai"/>
    <s v="5+ Years"/>
    <n v="3860000"/>
    <n v="38.6"/>
    <s v="Contract"/>
    <s v="On-Site"/>
    <d v="2026-04-09T00:00:00"/>
    <x v="5"/>
  </r>
  <r>
    <s v="Job0275"/>
    <s v="Business Analyst"/>
    <s v="Kpmg India"/>
    <s v="Mumbai"/>
    <s v="5+ Years"/>
    <n v="3860000"/>
    <n v="38.6"/>
    <s v="Contract"/>
    <s v="On-Site"/>
    <d v="2026-04-09T00:00:00"/>
    <x v="6"/>
  </r>
  <r>
    <s v="Job0275"/>
    <s v="Business Analyst"/>
    <s v="Kpmg India"/>
    <s v="Mumbai"/>
    <s v="5+ Years"/>
    <n v="3860000"/>
    <n v="38.6"/>
    <s v="Contract"/>
    <s v="On-Site"/>
    <d v="2026-04-09T00:00:00"/>
    <x v="10"/>
  </r>
  <r>
    <s v="Job0330"/>
    <s v="Data Scientist"/>
    <s v="L&amp;T Infotech"/>
    <s v="Pune"/>
    <s v="3-5 Years"/>
    <n v="1860000"/>
    <n v="18.600000000000001"/>
    <s v="Full Time"/>
    <s v="Remote"/>
    <d v="2026-04-10T00:00:00"/>
    <x v="1"/>
  </r>
  <r>
    <s v="Job0330"/>
    <s v="Data Scientist"/>
    <s v="L&amp;T Infotech"/>
    <s v="Pune"/>
    <s v="3-5 Years"/>
    <n v="1860000"/>
    <n v="18.600000000000001"/>
    <s v="Full Time"/>
    <s v="Remote"/>
    <d v="2026-04-10T00:00:00"/>
    <x v="8"/>
  </r>
  <r>
    <s v="Job0330"/>
    <s v="Data Scientist"/>
    <s v="L&amp;T Infotech"/>
    <s v="Pune"/>
    <s v="3-5 Years"/>
    <n v="1860000"/>
    <n v="18.600000000000001"/>
    <s v="Full Time"/>
    <s v="Remote"/>
    <d v="2026-04-10T00:00:00"/>
    <x v="14"/>
  </r>
  <r>
    <s v="Job0318"/>
    <s v="Ml Engineer"/>
    <s v="Dell Technologies India"/>
    <s v="Bangalore"/>
    <s v="1-3 Years"/>
    <n v="800000"/>
    <n v="8"/>
    <s v="Full Time"/>
    <s v="Hybrid"/>
    <d v="2026-06-22T00:00:00"/>
    <x v="13"/>
  </r>
  <r>
    <s v="Job0318"/>
    <s v="Ml Engineer"/>
    <s v="Dell Technologies India"/>
    <s v="Bangalore"/>
    <s v="1-3 Years"/>
    <n v="800000"/>
    <n v="8"/>
    <s v="Full Time"/>
    <s v="Hybrid"/>
    <d v="2026-06-22T00:00:00"/>
    <x v="14"/>
  </r>
  <r>
    <s v="Job0318"/>
    <s v="Ml Engineer"/>
    <s v="Dell Technologies India"/>
    <s v="Bangalore"/>
    <s v="1-3 Years"/>
    <n v="800000"/>
    <n v="8"/>
    <s v="Full Time"/>
    <s v="Hybrid"/>
    <d v="2026-06-22T00:00:00"/>
    <x v="1"/>
  </r>
  <r>
    <s v="Job0098"/>
    <s v="Ml Engineer"/>
    <s v="Cisco India"/>
    <s v="Mumbai"/>
    <s v="5+ Years"/>
    <n v="3070000"/>
    <n v="30.7"/>
    <s v="Full Time"/>
    <s v="Hybrid"/>
    <d v="2026-04-05T00:00:00"/>
    <x v="3"/>
  </r>
  <r>
    <s v="Job0098"/>
    <s v="Ml Engineer"/>
    <s v="Cisco India"/>
    <s v="Mumbai"/>
    <s v="5+ Years"/>
    <n v="3070000"/>
    <n v="30.7"/>
    <s v="Full Time"/>
    <s v="Hybrid"/>
    <d v="2026-04-05T00:00:00"/>
    <x v="11"/>
  </r>
  <r>
    <s v="Job0098"/>
    <s v="Ml Engineer"/>
    <s v="Cisco India"/>
    <s v="Mumbai"/>
    <s v="5+ Years"/>
    <n v="3070000"/>
    <n v="30.7"/>
    <s v="Full Time"/>
    <s v="Hybrid"/>
    <d v="2026-04-05T00:00:00"/>
    <x v="14"/>
  </r>
  <r>
    <s v="Job0064"/>
    <s v="Data Analyst"/>
    <s v="Larsen &amp; Toubro"/>
    <s v="Delhi"/>
    <s v="5+ Years"/>
    <n v="2325000"/>
    <n v="23.25"/>
    <s v="Full Time"/>
    <s v="On-Site"/>
    <d v="2026-07-15T00:00:00"/>
    <x v="13"/>
  </r>
  <r>
    <s v="Job0064"/>
    <s v="Data Analyst"/>
    <s v="Larsen &amp; Toubro"/>
    <s v="Delhi"/>
    <s v="5+ Years"/>
    <n v="2325000"/>
    <n v="23.25"/>
    <s v="Full Time"/>
    <s v="On-Site"/>
    <d v="2026-07-15T00:00:00"/>
    <x v="5"/>
  </r>
  <r>
    <s v="Job0064"/>
    <s v="Data Analyst"/>
    <s v="Larsen &amp; Toubro"/>
    <s v="Delhi"/>
    <s v="5+ Years"/>
    <n v="2325000"/>
    <n v="23.25"/>
    <s v="Full Time"/>
    <s v="On-Site"/>
    <d v="2026-07-15T00:00:00"/>
    <x v="2"/>
  </r>
  <r>
    <s v="Job0005"/>
    <s v="Data Engineer"/>
    <s v="Ibm India"/>
    <s v="Pune"/>
    <s v="0-2 Years"/>
    <n v="455000"/>
    <n v="4.55"/>
    <s v="Internship"/>
    <s v="On-Site"/>
    <d v="2026-02-23T00:00:00"/>
    <x v="13"/>
  </r>
  <r>
    <s v="Job0005"/>
    <s v="Data Engineer"/>
    <s v="Ibm India"/>
    <s v="Pune"/>
    <s v="0-2 Years"/>
    <n v="455000"/>
    <n v="4.55"/>
    <s v="Internship"/>
    <s v="On-Site"/>
    <d v="2026-02-23T00:00:00"/>
    <x v="3"/>
  </r>
  <r>
    <s v="Job0005"/>
    <s v="Data Engineer"/>
    <s v="Ibm India"/>
    <s v="Pune"/>
    <s v="0-2 Years"/>
    <n v="455000"/>
    <n v="4.55"/>
    <s v="Internship"/>
    <s v="On-Site"/>
    <d v="2026-02-23T00:00:00"/>
    <x v="1"/>
  </r>
  <r>
    <s v="Job0327"/>
    <s v="Data Engineer"/>
    <s v="Freshworks"/>
    <s v="Pune"/>
    <s v="2-5 Years"/>
    <n v="1180000"/>
    <n v="11.8"/>
    <s v="Contract"/>
    <s v="Remote"/>
    <d v="2026-04-25T00:00:00"/>
    <x v="8"/>
  </r>
  <r>
    <s v="Job0327"/>
    <s v="Data Engineer"/>
    <s v="Freshworks"/>
    <s v="Pune"/>
    <s v="2-5 Years"/>
    <n v="1180000"/>
    <n v="11.8"/>
    <s v="Contract"/>
    <s v="Remote"/>
    <d v="2026-04-25T00:00:00"/>
    <x v="5"/>
  </r>
  <r>
    <s v="Job0327"/>
    <s v="Data Engineer"/>
    <s v="Freshworks"/>
    <s v="Pune"/>
    <s v="2-5 Years"/>
    <n v="1180000"/>
    <n v="11.8"/>
    <s v="Contract"/>
    <s v="Remote"/>
    <d v="2026-04-25T00:00:00"/>
    <x v="10"/>
  </r>
  <r>
    <s v="Job0051"/>
    <s v="Machine Learning Scientist"/>
    <s v="L&amp;T Infotech"/>
    <s v="Noida"/>
    <s v="0-2 Years"/>
    <n v="280000"/>
    <n v="2.8"/>
    <s v="Internship"/>
    <s v="On-Site"/>
    <d v="2026-03-10T00:00:00"/>
    <x v="5"/>
  </r>
  <r>
    <s v="Job0051"/>
    <s v="Machine Learning Scientist"/>
    <s v="L&amp;T Infotech"/>
    <s v="Noida"/>
    <s v="0-2 Years"/>
    <n v="280000"/>
    <n v="2.8"/>
    <s v="Internship"/>
    <s v="On-Site"/>
    <d v="2026-03-10T00:00:00"/>
    <x v="6"/>
  </r>
  <r>
    <s v="Job0051"/>
    <s v="Machine Learning Scientist"/>
    <s v="L&amp;T Infotech"/>
    <s v="Noida"/>
    <s v="0-2 Years"/>
    <n v="280000"/>
    <n v="2.8"/>
    <s v="Internship"/>
    <s v="On-Site"/>
    <d v="2026-03-10T00:00:00"/>
    <x v="11"/>
  </r>
  <r>
    <s v="Job0359"/>
    <s v="Business Analyst"/>
    <s v="Nagarro"/>
    <s v="Gurugram"/>
    <s v="0-2 Years"/>
    <n v="440000"/>
    <n v="4.4000000000000004"/>
    <s v="Full Time"/>
    <s v="On-Site"/>
    <d v="2026-06-22T00:00:00"/>
    <x v="8"/>
  </r>
  <r>
    <s v="Job0359"/>
    <s v="Business Analyst"/>
    <s v="Nagarro"/>
    <s v="Gurugram"/>
    <s v="0-2 Years"/>
    <n v="440000"/>
    <n v="4.4000000000000004"/>
    <s v="Full Time"/>
    <s v="On-Site"/>
    <d v="2026-06-22T00:00:00"/>
    <x v="5"/>
  </r>
  <r>
    <s v="Job0359"/>
    <s v="Business Analyst"/>
    <s v="Nagarro"/>
    <s v="Gurugram"/>
    <s v="0-2 Years"/>
    <n v="440000"/>
    <n v="4.4000000000000004"/>
    <s v="Full Time"/>
    <s v="On-Site"/>
    <d v="2026-06-22T00:00:00"/>
    <x v="0"/>
  </r>
  <r>
    <s v="Job0282"/>
    <s v="Data Analyst"/>
    <s v="Zensar Technologies"/>
    <s v="Kolkata"/>
    <s v="1-3 Years"/>
    <n v="1015000"/>
    <n v="10.15"/>
    <s v="Full Time"/>
    <s v="Hybrid"/>
    <d v="2026-06-15T00:00:00"/>
    <x v="2"/>
  </r>
  <r>
    <s v="Job0282"/>
    <s v="Data Analyst"/>
    <s v="Zensar Technologies"/>
    <s v="Kolkata"/>
    <s v="1-3 Years"/>
    <n v="1015000"/>
    <n v="10.15"/>
    <s v="Full Time"/>
    <s v="Hybrid"/>
    <d v="2026-06-15T00:00:00"/>
    <x v="10"/>
  </r>
  <r>
    <s v="Job0282"/>
    <s v="Data Analyst"/>
    <s v="Zensar Technologies"/>
    <s v="Kolkata"/>
    <s v="1-3 Years"/>
    <n v="1015000"/>
    <n v="10.15"/>
    <s v="Full Time"/>
    <s v="Hybrid"/>
    <d v="2026-06-15T00:00:00"/>
    <x v="0"/>
  </r>
  <r>
    <s v="Job0095"/>
    <s v="Data Engineer"/>
    <s v="Larsen &amp; Toubro"/>
    <s v="Gurugram"/>
    <s v="1-3 Years"/>
    <n v="750000"/>
    <n v="7.5"/>
    <s v="Contract"/>
    <s v="Hybrid"/>
    <d v="2026-06-25T00:00:00"/>
    <x v="5"/>
  </r>
  <r>
    <s v="Job0095"/>
    <s v="Data Engineer"/>
    <s v="Larsen &amp; Toubro"/>
    <s v="Gurugram"/>
    <s v="1-3 Years"/>
    <n v="750000"/>
    <n v="7.5"/>
    <s v="Contract"/>
    <s v="Hybrid"/>
    <d v="2026-06-25T00:00:00"/>
    <x v="13"/>
  </r>
  <r>
    <s v="Job0095"/>
    <s v="Data Engineer"/>
    <s v="Larsen &amp; Toubro"/>
    <s v="Gurugram"/>
    <s v="1-3 Years"/>
    <n v="750000"/>
    <n v="7.5"/>
    <s v="Contract"/>
    <s v="Hybrid"/>
    <d v="2026-06-25T00:00:00"/>
    <x v="9"/>
  </r>
  <r>
    <s v="Job0165"/>
    <s v="Bi Analyst"/>
    <s v="Ola"/>
    <s v="Gurugram"/>
    <s v="2-5 Years"/>
    <n v="1755000"/>
    <n v="17.55"/>
    <s v="Full Time"/>
    <s v="On-Site"/>
    <d v="2026-01-31T00:00:00"/>
    <x v="2"/>
  </r>
  <r>
    <s v="Job0165"/>
    <s v="Bi Analyst"/>
    <s v="Ola"/>
    <s v="Gurugram"/>
    <s v="2-5 Years"/>
    <n v="1755000"/>
    <n v="17.55"/>
    <s v="Full Time"/>
    <s v="On-Site"/>
    <d v="2026-01-31T00:00:00"/>
    <x v="12"/>
  </r>
  <r>
    <s v="Job0165"/>
    <s v="Bi Analyst"/>
    <s v="Ola"/>
    <s v="Gurugram"/>
    <s v="2-5 Years"/>
    <n v="1755000"/>
    <n v="17.55"/>
    <s v="Full Time"/>
    <s v="On-Site"/>
    <d v="2026-01-31T00:00:00"/>
    <x v="8"/>
  </r>
  <r>
    <s v="Job0215"/>
    <s v="Ai/Ml Analyst"/>
    <s v="Sonata Software"/>
    <s v="Ahmedabad"/>
    <s v="1-3 Years"/>
    <n v="795000"/>
    <n v="7.95"/>
    <s v="Full Time"/>
    <s v="Hybrid"/>
    <d v="2026-02-19T00:00:00"/>
    <x v="9"/>
  </r>
  <r>
    <s v="Job0215"/>
    <s v="Ai/Ml Analyst"/>
    <s v="Sonata Software"/>
    <s v="Ahmedabad"/>
    <s v="1-3 Years"/>
    <n v="795000"/>
    <n v="7.95"/>
    <s v="Full Time"/>
    <s v="Hybrid"/>
    <d v="2026-02-19T00:00:00"/>
    <x v="0"/>
  </r>
  <r>
    <s v="Job0215"/>
    <s v="Ai/Ml Analyst"/>
    <s v="Sonata Software"/>
    <s v="Ahmedabad"/>
    <s v="1-3 Years"/>
    <n v="795000"/>
    <n v="7.95"/>
    <s v="Full Time"/>
    <s v="Hybrid"/>
    <d v="2026-02-19T00:00:00"/>
    <x v="3"/>
  </r>
  <r>
    <s v="Job0471"/>
    <s v="Business Analyst"/>
    <s v="Meesho"/>
    <s v="Pune"/>
    <s v="0-2 Years"/>
    <n v="380000"/>
    <n v="3.8"/>
    <s v="Internship"/>
    <s v="On-Site"/>
    <d v="2026-04-09T00:00:00"/>
    <x v="4"/>
  </r>
  <r>
    <s v="Job0471"/>
    <s v="Business Analyst"/>
    <s v="Meesho"/>
    <s v="Pune"/>
    <s v="0-2 Years"/>
    <n v="380000"/>
    <n v="3.8"/>
    <s v="Internship"/>
    <s v="On-Site"/>
    <d v="2026-04-09T00:00:00"/>
    <x v="6"/>
  </r>
  <r>
    <s v="Job0471"/>
    <s v="Business Analyst"/>
    <s v="Meesho"/>
    <s v="Pune"/>
    <s v="0-2 Years"/>
    <n v="380000"/>
    <n v="3.8"/>
    <s v="Internship"/>
    <s v="On-Site"/>
    <d v="2026-04-09T00:00:00"/>
    <x v="5"/>
  </r>
  <r>
    <s v="Job0443"/>
    <s v="Bi Analyst"/>
    <s v="Cognizant"/>
    <s v="Ahmedabad"/>
    <s v="2-5 Years"/>
    <n v="1365000"/>
    <n v="13.65"/>
    <s v="Full Time"/>
    <s v="Hybrid"/>
    <d v="2026-03-13T00:00:00"/>
    <x v="8"/>
  </r>
  <r>
    <s v="Job0443"/>
    <s v="Bi Analyst"/>
    <s v="Cognizant"/>
    <s v="Ahmedabad"/>
    <s v="2-5 Years"/>
    <n v="1365000"/>
    <n v="13.65"/>
    <s v="Full Time"/>
    <s v="Hybrid"/>
    <d v="2026-03-13T00:00:00"/>
    <x v="10"/>
  </r>
  <r>
    <s v="Job0443"/>
    <s v="Bi Analyst"/>
    <s v="Cognizant"/>
    <s v="Ahmedabad"/>
    <s v="2-5 Years"/>
    <n v="1365000"/>
    <n v="13.65"/>
    <s v="Full Time"/>
    <s v="Hybrid"/>
    <d v="2026-03-13T00:00:00"/>
    <x v="7"/>
  </r>
  <r>
    <s v="Job0056"/>
    <s v="Ai Engineer"/>
    <s v="Tredence"/>
    <s v="Ahmedabad"/>
    <s v="1-3 Years"/>
    <n v="615000"/>
    <n v="6.15"/>
    <s v="Full Time"/>
    <s v="Hybrid"/>
    <d v="2026-03-17T00:00:00"/>
    <x v="11"/>
  </r>
  <r>
    <s v="Job0056"/>
    <s v="Ai Engineer"/>
    <s v="Tredence"/>
    <s v="Ahmedabad"/>
    <s v="1-3 Years"/>
    <n v="615000"/>
    <n v="6.15"/>
    <s v="Full Time"/>
    <s v="Hybrid"/>
    <d v="2026-03-17T00:00:00"/>
    <x v="9"/>
  </r>
  <r>
    <s v="Job0056"/>
    <s v="Ai Engineer"/>
    <s v="Tredence"/>
    <s v="Ahmedabad"/>
    <s v="1-3 Years"/>
    <n v="615000"/>
    <n v="6.15"/>
    <s v="Full Time"/>
    <s v="Hybrid"/>
    <d v="2026-03-17T00:00:00"/>
    <x v="14"/>
  </r>
  <r>
    <s v="Job0189"/>
    <s v="Bi Analyst"/>
    <s v="Sonata Software"/>
    <s v="Mumbai"/>
    <s v="0-2 Years"/>
    <n v="585000"/>
    <n v="5.85"/>
    <s v="Full Time"/>
    <s v="Hybrid"/>
    <d v="2026-04-14T00:00:00"/>
    <x v="3"/>
  </r>
  <r>
    <s v="Job0189"/>
    <s v="Bi Analyst"/>
    <s v="Sonata Software"/>
    <s v="Mumbai"/>
    <s v="0-2 Years"/>
    <n v="585000"/>
    <n v="5.85"/>
    <s v="Full Time"/>
    <s v="Hybrid"/>
    <d v="2026-04-14T00:00:00"/>
    <x v="12"/>
  </r>
  <r>
    <s v="Job0189"/>
    <s v="Bi Analyst"/>
    <s v="Sonata Software"/>
    <s v="Mumbai"/>
    <s v="0-2 Years"/>
    <n v="585000"/>
    <n v="5.85"/>
    <s v="Full Time"/>
    <s v="Hybrid"/>
    <d v="2026-04-14T00:00:00"/>
    <x v="0"/>
  </r>
  <r>
    <s v="Job0176"/>
    <s v="Data Engineer"/>
    <s v="Delhivery"/>
    <s v="Hyderabad"/>
    <s v="0-2 Years"/>
    <n v="270000"/>
    <n v="2.7"/>
    <s v="Internship"/>
    <s v="On-Site"/>
    <d v="2026-03-19T00:00:00"/>
    <x v="8"/>
  </r>
  <r>
    <s v="Job0176"/>
    <s v="Data Engineer"/>
    <s v="Delhivery"/>
    <s v="Hyderabad"/>
    <s v="0-2 Years"/>
    <n v="270000"/>
    <n v="2.7"/>
    <s v="Internship"/>
    <s v="On-Site"/>
    <d v="2026-03-19T00:00:00"/>
    <x v="13"/>
  </r>
  <r>
    <s v="Job0176"/>
    <s v="Data Engineer"/>
    <s v="Delhivery"/>
    <s v="Hyderabad"/>
    <s v="0-2 Years"/>
    <n v="270000"/>
    <n v="2.7"/>
    <s v="Internship"/>
    <s v="On-Site"/>
    <d v="2026-03-19T00:00:00"/>
    <x v="9"/>
  </r>
  <r>
    <s v="Job0069"/>
    <s v="Machine Learning Scientist"/>
    <s v="Tredence"/>
    <s v="Pune"/>
    <s v="5+ Years"/>
    <n v="3920000"/>
    <n v="39.200000000000003"/>
    <s v="Full Time"/>
    <s v="Hybrid"/>
    <d v="2026-06-15T00:00:00"/>
    <x v="3"/>
  </r>
  <r>
    <s v="Job0069"/>
    <s v="Machine Learning Scientist"/>
    <s v="Tredence"/>
    <s v="Pune"/>
    <s v="5+ Years"/>
    <n v="3920000"/>
    <n v="39.200000000000003"/>
    <s v="Full Time"/>
    <s v="Hybrid"/>
    <d v="2026-06-15T00:00:00"/>
    <x v="8"/>
  </r>
  <r>
    <s v="Job0069"/>
    <s v="Machine Learning Scientist"/>
    <s v="Tredence"/>
    <s v="Pune"/>
    <s v="5+ Years"/>
    <n v="3920000"/>
    <n v="39.200000000000003"/>
    <s v="Full Time"/>
    <s v="Hybrid"/>
    <d v="2026-06-15T00:00:00"/>
    <x v="9"/>
  </r>
  <r>
    <s v="Job0108"/>
    <s v="Business Analyst"/>
    <s v="Ola"/>
    <s v="Mumbai"/>
    <s v="1-3 Years"/>
    <n v="655000"/>
    <n v="6.55"/>
    <s v="Full Time"/>
    <s v="Remote"/>
    <d v="2026-07-14T00:00:00"/>
    <x v="4"/>
  </r>
  <r>
    <s v="Job0108"/>
    <s v="Business Analyst"/>
    <s v="Ola"/>
    <s v="Mumbai"/>
    <s v="1-3 Years"/>
    <n v="655000"/>
    <n v="6.55"/>
    <s v="Full Time"/>
    <s v="Remote"/>
    <d v="2026-07-14T00:00:00"/>
    <x v="8"/>
  </r>
  <r>
    <s v="Job0108"/>
    <s v="Business Analyst"/>
    <s v="Ola"/>
    <s v="Mumbai"/>
    <s v="1-3 Years"/>
    <n v="655000"/>
    <n v="6.55"/>
    <s v="Full Time"/>
    <s v="Remote"/>
    <d v="2026-07-14T00:00:00"/>
    <x v="5"/>
  </r>
  <r>
    <s v="Job0187"/>
    <s v="Data Analyst"/>
    <s v="Bank Of America India"/>
    <s v="Bangalore"/>
    <s v="1-3 Years"/>
    <n v="540000"/>
    <n v="5.4"/>
    <s v="Full Time"/>
    <s v="Hybrid"/>
    <d v="2026-01-05T00:00:00"/>
    <x v="7"/>
  </r>
  <r>
    <s v="Job0187"/>
    <s v="Data Analyst"/>
    <s v="Bank Of America India"/>
    <s v="Bangalore"/>
    <s v="1-3 Years"/>
    <n v="540000"/>
    <n v="5.4"/>
    <s v="Full Time"/>
    <s v="Hybrid"/>
    <d v="2026-01-05T00:00:00"/>
    <x v="8"/>
  </r>
  <r>
    <s v="Job0187"/>
    <s v="Data Analyst"/>
    <s v="Bank Of America India"/>
    <s v="Bangalore"/>
    <s v="1-3 Years"/>
    <n v="540000"/>
    <n v="5.4"/>
    <s v="Full Time"/>
    <s v="Hybrid"/>
    <d v="2026-01-05T00:00:00"/>
    <x v="10"/>
  </r>
  <r>
    <s v="Job0026"/>
    <s v="Data Analyst"/>
    <s v="Pwc India"/>
    <s v="Noida"/>
    <s v="2-5 Years"/>
    <n v="845000"/>
    <n v="8.4499999999999993"/>
    <s v="Full Time"/>
    <s v="Remote"/>
    <d v="2026-05-22T00:00:00"/>
    <x v="9"/>
  </r>
  <r>
    <s v="Job0026"/>
    <s v="Data Analyst"/>
    <s v="Pwc India"/>
    <s v="Noida"/>
    <s v="2-5 Years"/>
    <n v="845000"/>
    <n v="8.4499999999999993"/>
    <s v="Full Time"/>
    <s v="Remote"/>
    <d v="2026-05-22T00:00:00"/>
    <x v="8"/>
  </r>
  <r>
    <s v="Job0026"/>
    <s v="Data Analyst"/>
    <s v="Pwc India"/>
    <s v="Noida"/>
    <s v="2-5 Years"/>
    <n v="845000"/>
    <n v="8.4499999999999993"/>
    <s v="Full Time"/>
    <s v="Remote"/>
    <d v="2026-05-22T00:00:00"/>
    <x v="1"/>
  </r>
  <r>
    <s v="Job0410"/>
    <s v="Ai/Ml Analyst"/>
    <s v="Barclays India"/>
    <s v="Chennai"/>
    <s v="0-2 Years"/>
    <n v="530000"/>
    <n v="5.3"/>
    <s v="Full Time"/>
    <s v="Hybrid"/>
    <d v="2026-02-20T00:00:00"/>
    <x v="0"/>
  </r>
  <r>
    <s v="Job0410"/>
    <s v="Ai/Ml Analyst"/>
    <s v="Barclays India"/>
    <s v="Chennai"/>
    <s v="0-2 Years"/>
    <n v="530000"/>
    <n v="5.3"/>
    <s v="Full Time"/>
    <s v="Hybrid"/>
    <d v="2026-02-20T00:00:00"/>
    <x v="1"/>
  </r>
  <r>
    <s v="Job0410"/>
    <s v="Ai/Ml Analyst"/>
    <s v="Barclays India"/>
    <s v="Chennai"/>
    <s v="0-2 Years"/>
    <n v="530000"/>
    <n v="5.3"/>
    <s v="Full Time"/>
    <s v="Hybrid"/>
    <d v="2026-02-20T00:00:00"/>
    <x v="8"/>
  </r>
  <r>
    <s v="Job0142"/>
    <s v="Product Data Analyst"/>
    <s v="Oracle India"/>
    <s v="Kolkata"/>
    <s v="0-2 Years"/>
    <n v="720000"/>
    <n v="7.2"/>
    <s v="Full Time"/>
    <s v="Remote"/>
    <d v="2026-04-17T00:00:00"/>
    <x v="12"/>
  </r>
  <r>
    <s v="Job0142"/>
    <s v="Product Data Analyst"/>
    <s v="Oracle India"/>
    <s v="Kolkata"/>
    <s v="0-2 Years"/>
    <n v="720000"/>
    <n v="7.2"/>
    <s v="Full Time"/>
    <s v="Remote"/>
    <d v="2026-04-17T00:00:00"/>
    <x v="13"/>
  </r>
  <r>
    <s v="Job0142"/>
    <s v="Product Data Analyst"/>
    <s v="Oracle India"/>
    <s v="Kolkata"/>
    <s v="0-2 Years"/>
    <n v="720000"/>
    <n v="7.2"/>
    <s v="Full Time"/>
    <s v="Remote"/>
    <d v="2026-04-17T00:00:00"/>
    <x v="8"/>
  </r>
  <r>
    <s v="Job0367"/>
    <s v="Data Analyst"/>
    <s v="Delhivery"/>
    <s v="Pune"/>
    <s v="3-5 Years"/>
    <n v="1445000"/>
    <n v="14.45"/>
    <s v="Full Time"/>
    <s v="On-Site"/>
    <d v="2026-05-06T00:00:00"/>
    <x v="13"/>
  </r>
  <r>
    <s v="Job0367"/>
    <s v="Data Analyst"/>
    <s v="Delhivery"/>
    <s v="Pune"/>
    <s v="3-5 Years"/>
    <n v="1445000"/>
    <n v="14.45"/>
    <s v="Full Time"/>
    <s v="On-Site"/>
    <d v="2026-05-06T00:00:00"/>
    <x v="11"/>
  </r>
  <r>
    <s v="Job0367"/>
    <s v="Data Analyst"/>
    <s v="Delhivery"/>
    <s v="Pune"/>
    <s v="3-5 Years"/>
    <n v="1445000"/>
    <n v="14.45"/>
    <s v="Full Time"/>
    <s v="On-Site"/>
    <d v="2026-05-06T00:00:00"/>
    <x v="10"/>
  </r>
  <r>
    <s v="Job0306"/>
    <s v="Product Data Analyst"/>
    <s v="Wns Global Services"/>
    <s v="Kolkata"/>
    <s v="3-5 Years"/>
    <n v="1220000"/>
    <n v="12.2"/>
    <s v="Full Time"/>
    <s v="Hybrid"/>
    <d v="2026-01-29T00:00:00"/>
    <x v="9"/>
  </r>
  <r>
    <s v="Job0306"/>
    <s v="Product Data Analyst"/>
    <s v="Wns Global Services"/>
    <s v="Kolkata"/>
    <s v="3-5 Years"/>
    <n v="1220000"/>
    <n v="12.2"/>
    <s v="Full Time"/>
    <s v="Hybrid"/>
    <d v="2026-01-29T00:00:00"/>
    <x v="12"/>
  </r>
  <r>
    <s v="Job0306"/>
    <s v="Product Data Analyst"/>
    <s v="Wns Global Services"/>
    <s v="Kolkata"/>
    <s v="3-5 Years"/>
    <n v="1220000"/>
    <n v="12.2"/>
    <s v="Full Time"/>
    <s v="Hybrid"/>
    <d v="2026-01-29T00:00:00"/>
    <x v="7"/>
  </r>
  <r>
    <s v="Job0097"/>
    <s v="Ai/Ml Analyst"/>
    <s v="Sap Labs India"/>
    <s v="Mumbai"/>
    <s v="3-5 Years"/>
    <n v="1425000"/>
    <n v="14.25"/>
    <s v="Full Time"/>
    <s v="On-Site"/>
    <d v="2026-06-03T00:00:00"/>
    <x v="8"/>
  </r>
  <r>
    <s v="Job0097"/>
    <s v="Ai/Ml Analyst"/>
    <s v="Sap Labs India"/>
    <s v="Mumbai"/>
    <s v="3-5 Years"/>
    <n v="1425000"/>
    <n v="14.25"/>
    <s v="Full Time"/>
    <s v="On-Site"/>
    <d v="2026-06-03T00:00:00"/>
    <x v="2"/>
  </r>
  <r>
    <s v="Job0097"/>
    <s v="Ai/Ml Analyst"/>
    <s v="Sap Labs India"/>
    <s v="Mumbai"/>
    <s v="3-5 Years"/>
    <n v="1425000"/>
    <n v="14.25"/>
    <s v="Full Time"/>
    <s v="On-Site"/>
    <d v="2026-06-03T00:00:00"/>
    <x v="10"/>
  </r>
  <r>
    <s v="Job0482"/>
    <s v="Data Analyst"/>
    <s v="American Express India"/>
    <s v="Chennai"/>
    <s v="1-3 Years"/>
    <n v="920000"/>
    <n v="9.1999999999999993"/>
    <s v="Contract"/>
    <s v="Hybrid"/>
    <d v="2026-07-06T00:00:00"/>
    <x v="4"/>
  </r>
  <r>
    <s v="Job0482"/>
    <s v="Data Analyst"/>
    <s v="American Express India"/>
    <s v="Chennai"/>
    <s v="1-3 Years"/>
    <n v="920000"/>
    <n v="9.1999999999999993"/>
    <s v="Contract"/>
    <s v="Hybrid"/>
    <d v="2026-07-06T00:00:00"/>
    <x v="11"/>
  </r>
  <r>
    <s v="Job0482"/>
    <s v="Data Analyst"/>
    <s v="American Express India"/>
    <s v="Chennai"/>
    <s v="1-3 Years"/>
    <n v="920000"/>
    <n v="9.1999999999999993"/>
    <s v="Contract"/>
    <s v="Hybrid"/>
    <d v="2026-07-06T00:00:00"/>
    <x v="1"/>
  </r>
  <r>
    <s v="Job0048"/>
    <s v="Ai Engineer"/>
    <s v="Persistent Systems"/>
    <s v="Kolkata"/>
    <s v="5+ Years"/>
    <n v="4395000"/>
    <n v="43.95"/>
    <s v="Full Time"/>
    <s v="On-Site"/>
    <d v="2026-06-23T00:00:00"/>
    <x v="9"/>
  </r>
  <r>
    <s v="Job0048"/>
    <s v="Ai Engineer"/>
    <s v="Persistent Systems"/>
    <s v="Kolkata"/>
    <s v="5+ Years"/>
    <n v="4395000"/>
    <n v="43.95"/>
    <s v="Full Time"/>
    <s v="On-Site"/>
    <d v="2026-06-23T00:00:00"/>
    <x v="11"/>
  </r>
  <r>
    <s v="Job0048"/>
    <s v="Ai Engineer"/>
    <s v="Persistent Systems"/>
    <s v="Kolkata"/>
    <s v="5+ Years"/>
    <n v="4395000"/>
    <n v="43.95"/>
    <s v="Full Time"/>
    <s v="On-Site"/>
    <d v="2026-06-23T00:00:00"/>
    <x v="0"/>
  </r>
  <r>
    <s v="Job0033"/>
    <s v="Product Data Analyst"/>
    <s v="Myntra"/>
    <s v="Chennai"/>
    <s v="0-2 Years"/>
    <n v="670000"/>
    <n v="6.7"/>
    <s v="Full Time"/>
    <s v="On-Site"/>
    <d v="2026-01-18T00:00:00"/>
    <x v="12"/>
  </r>
  <r>
    <s v="Job0033"/>
    <s v="Product Data Analyst"/>
    <s v="Myntra"/>
    <s v="Chennai"/>
    <s v="0-2 Years"/>
    <n v="670000"/>
    <n v="6.7"/>
    <s v="Full Time"/>
    <s v="On-Site"/>
    <d v="2026-01-18T00:00:00"/>
    <x v="9"/>
  </r>
  <r>
    <s v="Job0033"/>
    <s v="Product Data Analyst"/>
    <s v="Myntra"/>
    <s v="Chennai"/>
    <s v="0-2 Years"/>
    <n v="670000"/>
    <n v="6.7"/>
    <s v="Full Time"/>
    <s v="On-Site"/>
    <d v="2026-01-18T00:00:00"/>
    <x v="11"/>
  </r>
  <r>
    <s v="Job0205"/>
    <s v="Bi Analyst"/>
    <s v="Urban Company"/>
    <s v="Ahmedabad"/>
    <s v="3-5 Years"/>
    <n v="1650000"/>
    <n v="16.5"/>
    <s v="Contract"/>
    <s v="Hybrid"/>
    <d v="2026-08-23T00:00:00"/>
    <x v="14"/>
  </r>
  <r>
    <s v="Job0205"/>
    <s v="Bi Analyst"/>
    <s v="Urban Company"/>
    <s v="Ahmedabad"/>
    <s v="3-5 Years"/>
    <n v="1650000"/>
    <n v="16.5"/>
    <s v="Contract"/>
    <s v="Hybrid"/>
    <d v="2026-08-23T00:00:00"/>
    <x v="13"/>
  </r>
  <r>
    <s v="Job0205"/>
    <s v="Bi Analyst"/>
    <s v="Urban Company"/>
    <s v="Ahmedabad"/>
    <s v="3-5 Years"/>
    <n v="1650000"/>
    <n v="16.5"/>
    <s v="Contract"/>
    <s v="Hybrid"/>
    <d v="2026-08-23T00:00:00"/>
    <x v="7"/>
  </r>
  <r>
    <s v="Job0286"/>
    <s v="Data Engineer"/>
    <s v="Cognizant"/>
    <s v="Kolkata"/>
    <s v="3-5 Years"/>
    <n v="1795000"/>
    <n v="17.95"/>
    <s v="Full Time"/>
    <s v="On-Site"/>
    <d v="2026-01-10T00:00:00"/>
    <x v="10"/>
  </r>
  <r>
    <s v="Job0286"/>
    <s v="Data Engineer"/>
    <s v="Cognizant"/>
    <s v="Kolkata"/>
    <s v="3-5 Years"/>
    <n v="1795000"/>
    <n v="17.95"/>
    <s v="Full Time"/>
    <s v="On-Site"/>
    <d v="2026-01-10T00:00:00"/>
    <x v="7"/>
  </r>
  <r>
    <s v="Job0286"/>
    <s v="Data Engineer"/>
    <s v="Cognizant"/>
    <s v="Kolkata"/>
    <s v="3-5 Years"/>
    <n v="1795000"/>
    <n v="17.95"/>
    <s v="Full Time"/>
    <s v="On-Site"/>
    <d v="2026-01-10T00:00:00"/>
    <x v="8"/>
  </r>
  <r>
    <s v="Job0002"/>
    <s v="Data Analyst"/>
    <s v="Pwc India"/>
    <s v="Hyderabad"/>
    <s v="1-3 Years"/>
    <n v="805000"/>
    <n v="8.0500000000000007"/>
    <s v="Full Time"/>
    <s v="Remote"/>
    <d v="2026-07-27T00:00:00"/>
    <x v="6"/>
  </r>
  <r>
    <s v="Job0002"/>
    <s v="Data Analyst"/>
    <s v="Pwc India"/>
    <s v="Hyderabad"/>
    <s v="1-3 Years"/>
    <n v="805000"/>
    <n v="8.0500000000000007"/>
    <s v="Full Time"/>
    <s v="Remote"/>
    <d v="2026-07-27T00:00:00"/>
    <x v="5"/>
  </r>
  <r>
    <s v="Job0002"/>
    <s v="Data Analyst"/>
    <s v="Pwc India"/>
    <s v="Hyderabad"/>
    <s v="1-3 Years"/>
    <n v="805000"/>
    <n v="8.0500000000000007"/>
    <s v="Full Time"/>
    <s v="Remote"/>
    <d v="2026-07-27T00:00:00"/>
    <x v="12"/>
  </r>
  <r>
    <s v="Job0088"/>
    <s v="Data Engineer"/>
    <s v="Samsung R&amp;D Institute India"/>
    <s v="Mumbai"/>
    <s v="0-2 Years"/>
    <n v="310000"/>
    <n v="3.1"/>
    <s v="Internship"/>
    <s v="Hybrid"/>
    <d v="2026-06-14T00:00:00"/>
    <x v="9"/>
  </r>
  <r>
    <s v="Job0088"/>
    <s v="Data Engineer"/>
    <s v="Samsung R&amp;D Institute India"/>
    <s v="Mumbai"/>
    <s v="0-2 Years"/>
    <n v="310000"/>
    <n v="3.1"/>
    <s v="Internship"/>
    <s v="Hybrid"/>
    <d v="2026-06-14T00:00:00"/>
    <x v="8"/>
  </r>
  <r>
    <s v="Job0088"/>
    <s v="Data Engineer"/>
    <s v="Samsung R&amp;D Institute India"/>
    <s v="Mumbai"/>
    <s v="0-2 Years"/>
    <n v="310000"/>
    <n v="3.1"/>
    <s v="Internship"/>
    <s v="Hybrid"/>
    <d v="2026-06-14T00:00:00"/>
    <x v="1"/>
  </r>
  <r>
    <s v="Job0101"/>
    <s v="Data Analyst"/>
    <s v="Pwc India"/>
    <s v="Ahmedabad"/>
    <s v="1-3 Years"/>
    <n v="725000"/>
    <n v="7.25"/>
    <s v="Full Time"/>
    <s v="Remote"/>
    <d v="2026-02-10T00:00:00"/>
    <x v="0"/>
  </r>
  <r>
    <s v="Job0101"/>
    <s v="Data Analyst"/>
    <s v="Pwc India"/>
    <s v="Ahmedabad"/>
    <s v="1-3 Years"/>
    <n v="725000"/>
    <n v="7.25"/>
    <s v="Full Time"/>
    <s v="Remote"/>
    <d v="2026-02-10T00:00:00"/>
    <x v="2"/>
  </r>
  <r>
    <s v="Job0101"/>
    <s v="Data Analyst"/>
    <s v="Pwc India"/>
    <s v="Ahmedabad"/>
    <s v="1-3 Years"/>
    <n v="725000"/>
    <n v="7.25"/>
    <s v="Full Time"/>
    <s v="Remote"/>
    <d v="2026-02-10T00:00:00"/>
    <x v="13"/>
  </r>
  <r>
    <s v="Job0106"/>
    <s v="Ai Engineer"/>
    <s v="Persistent Systems"/>
    <s v="Kolkata"/>
    <s v="3-5 Years"/>
    <n v="2000000"/>
    <n v="20"/>
    <s v="Contract"/>
    <s v="Remote"/>
    <d v="2026-04-13T00:00:00"/>
    <x v="12"/>
  </r>
  <r>
    <s v="Job0106"/>
    <s v="Ai Engineer"/>
    <s v="Persistent Systems"/>
    <s v="Kolkata"/>
    <s v="3-5 Years"/>
    <n v="2000000"/>
    <n v="20"/>
    <s v="Contract"/>
    <s v="Remote"/>
    <d v="2026-04-13T00:00:00"/>
    <x v="6"/>
  </r>
  <r>
    <s v="Job0106"/>
    <s v="Ai Engineer"/>
    <s v="Persistent Systems"/>
    <s v="Kolkata"/>
    <s v="3-5 Years"/>
    <n v="2000000"/>
    <n v="20"/>
    <s v="Contract"/>
    <s v="Remote"/>
    <d v="2026-04-13T00:00:00"/>
    <x v="13"/>
  </r>
  <r>
    <s v="Job0495"/>
    <s v="Ai/Ml Analyst"/>
    <s v="Publicis Sapient"/>
    <s v="Hyderabad"/>
    <s v="3-5 Years"/>
    <n v="1925000"/>
    <n v="19.25"/>
    <s v="Full Time"/>
    <s v="Hybrid"/>
    <d v="2026-02-10T00:00:00"/>
    <x v="7"/>
  </r>
  <r>
    <s v="Job0495"/>
    <s v="Ai/Ml Analyst"/>
    <s v="Publicis Sapient"/>
    <s v="Hyderabad"/>
    <s v="3-5 Years"/>
    <n v="1925000"/>
    <n v="19.25"/>
    <s v="Full Time"/>
    <s v="Hybrid"/>
    <d v="2026-02-10T00:00:00"/>
    <x v="0"/>
  </r>
  <r>
    <s v="Job0495"/>
    <s v="Ai/Ml Analyst"/>
    <s v="Publicis Sapient"/>
    <s v="Hyderabad"/>
    <s v="3-5 Years"/>
    <n v="1925000"/>
    <n v="19.25"/>
    <s v="Full Time"/>
    <s v="Hybrid"/>
    <d v="2026-02-10T00:00:00"/>
    <x v="3"/>
  </r>
  <r>
    <s v="Job0293"/>
    <s v="Business Analyst"/>
    <s v="Zs Associates"/>
    <s v="Mumbai"/>
    <s v="1-3 Years"/>
    <n v="870000"/>
    <n v="8.6999999999999993"/>
    <s v="Full Time"/>
    <s v="Hybrid"/>
    <d v="2026-05-17T00:00:00"/>
    <x v="6"/>
  </r>
  <r>
    <s v="Job0293"/>
    <s v="Business Analyst"/>
    <s v="Zs Associates"/>
    <s v="Mumbai"/>
    <s v="1-3 Years"/>
    <n v="870000"/>
    <n v="8.6999999999999993"/>
    <s v="Full Time"/>
    <s v="Hybrid"/>
    <d v="2026-05-17T00:00:00"/>
    <x v="2"/>
  </r>
  <r>
    <s v="Job0293"/>
    <s v="Business Analyst"/>
    <s v="Zs Associates"/>
    <s v="Mumbai"/>
    <s v="1-3 Years"/>
    <n v="870000"/>
    <n v="8.6999999999999993"/>
    <s v="Full Time"/>
    <s v="Hybrid"/>
    <d v="2026-05-17T00:00:00"/>
    <x v="11"/>
  </r>
  <r>
    <s v="Job0331"/>
    <s v="Machine Learning Scientist"/>
    <s v="Barclays India"/>
    <s v="Noida"/>
    <s v="2-5 Years"/>
    <n v="815000"/>
    <n v="8.15"/>
    <s v="Full Time"/>
    <s v="Hybrid"/>
    <d v="2026-08-26T00:00:00"/>
    <x v="9"/>
  </r>
  <r>
    <s v="Job0331"/>
    <s v="Machine Learning Scientist"/>
    <s v="Barclays India"/>
    <s v="Noida"/>
    <s v="2-5 Years"/>
    <n v="815000"/>
    <n v="8.15"/>
    <s v="Full Time"/>
    <s v="Hybrid"/>
    <d v="2026-08-26T00:00:00"/>
    <x v="3"/>
  </r>
  <r>
    <s v="Job0331"/>
    <s v="Machine Learning Scientist"/>
    <s v="Barclays India"/>
    <s v="Noida"/>
    <s v="2-5 Years"/>
    <n v="815000"/>
    <n v="8.15"/>
    <s v="Full Time"/>
    <s v="Hybrid"/>
    <d v="2026-08-26T00:00:00"/>
    <x v="1"/>
  </r>
  <r>
    <s v="Job0382"/>
    <s v="Ml Engineer"/>
    <s v="L&amp;T Infotech"/>
    <s v="Chennai"/>
    <s v="0-2 Years"/>
    <n v="350000"/>
    <n v="3.5"/>
    <s v="Contract"/>
    <s v="On-Site"/>
    <d v="2026-03-18T00:00:00"/>
    <x v="2"/>
  </r>
  <r>
    <s v="Job0382"/>
    <s v="Ml Engineer"/>
    <s v="L&amp;T Infotech"/>
    <s v="Chennai"/>
    <s v="0-2 Years"/>
    <n v="350000"/>
    <n v="3.5"/>
    <s v="Contract"/>
    <s v="On-Site"/>
    <d v="2026-03-18T00:00:00"/>
    <x v="14"/>
  </r>
  <r>
    <s v="Job0382"/>
    <s v="Ml Engineer"/>
    <s v="L&amp;T Infotech"/>
    <s v="Chennai"/>
    <s v="0-2 Years"/>
    <n v="350000"/>
    <n v="3.5"/>
    <s v="Contract"/>
    <s v="On-Site"/>
    <d v="2026-03-18T00:00:00"/>
    <x v="1"/>
  </r>
  <r>
    <s v="Job0405"/>
    <s v="Product Data Analyst"/>
    <s v="L&amp;T Infotech"/>
    <s v="Mumbai"/>
    <s v="0-2 Years"/>
    <n v="555000"/>
    <n v="5.55"/>
    <s v="Full Time"/>
    <s v="Hybrid"/>
    <d v="2026-07-27T00:00:00"/>
    <x v="12"/>
  </r>
  <r>
    <s v="Job0405"/>
    <s v="Product Data Analyst"/>
    <s v="L&amp;T Infotech"/>
    <s v="Mumbai"/>
    <s v="0-2 Years"/>
    <n v="555000"/>
    <n v="5.55"/>
    <s v="Full Time"/>
    <s v="Hybrid"/>
    <d v="2026-07-27T00:00:00"/>
    <x v="5"/>
  </r>
  <r>
    <s v="Job0405"/>
    <s v="Product Data Analyst"/>
    <s v="L&amp;T Infotech"/>
    <s v="Mumbai"/>
    <s v="0-2 Years"/>
    <n v="555000"/>
    <n v="5.55"/>
    <s v="Full Time"/>
    <s v="Hybrid"/>
    <d v="2026-07-27T00:00:00"/>
    <x v="10"/>
  </r>
  <r>
    <s v="Job0481"/>
    <s v="Data Scientist"/>
    <s v="Tech Mahindra"/>
    <s v="Mumbai"/>
    <s v="0-2 Years"/>
    <n v="605000"/>
    <n v="6.05"/>
    <s v="Full Time"/>
    <s v="Hybrid"/>
    <d v="2026-01-01T00:00:00"/>
    <x v="9"/>
  </r>
  <r>
    <s v="Job0481"/>
    <s v="Data Scientist"/>
    <s v="Tech Mahindra"/>
    <s v="Mumbai"/>
    <s v="0-2 Years"/>
    <n v="605000"/>
    <n v="6.05"/>
    <s v="Full Time"/>
    <s v="Hybrid"/>
    <d v="2026-01-01T00:00:00"/>
    <x v="7"/>
  </r>
  <r>
    <s v="Job0481"/>
    <s v="Data Scientist"/>
    <s v="Tech Mahindra"/>
    <s v="Mumbai"/>
    <s v="0-2 Years"/>
    <n v="605000"/>
    <n v="6.05"/>
    <s v="Full Time"/>
    <s v="Hybrid"/>
    <d v="2026-01-01T00:00:00"/>
    <x v="11"/>
  </r>
  <r>
    <s v="Job0294"/>
    <s v="Data Engineer"/>
    <s v="Jpmorgan Chase India"/>
    <s v="Pune"/>
    <s v="2-5 Years"/>
    <n v="1555000"/>
    <n v="15.55"/>
    <s v="Full Time"/>
    <s v="Remote"/>
    <d v="2026-01-27T00:00:00"/>
    <x v="8"/>
  </r>
  <r>
    <s v="Job0294"/>
    <s v="Data Engineer"/>
    <s v="Jpmorgan Chase India"/>
    <s v="Pune"/>
    <s v="2-5 Years"/>
    <n v="1555000"/>
    <n v="15.55"/>
    <s v="Full Time"/>
    <s v="Remote"/>
    <d v="2026-01-27T00:00:00"/>
    <x v="13"/>
  </r>
  <r>
    <s v="Job0294"/>
    <s v="Data Engineer"/>
    <s v="Jpmorgan Chase India"/>
    <s v="Pune"/>
    <s v="2-5 Years"/>
    <n v="1555000"/>
    <n v="15.55"/>
    <s v="Full Time"/>
    <s v="Remote"/>
    <d v="2026-01-27T00:00:00"/>
    <x v="9"/>
  </r>
  <r>
    <s v="Job0151"/>
    <s v="Product Data Analyst"/>
    <s v="Thoughtworks"/>
    <s v="Bangalore"/>
    <s v="2-5 Years"/>
    <n v="1730000"/>
    <n v="17.3"/>
    <s v="Full Time"/>
    <s v="Hybrid"/>
    <d v="2026-05-17T00:00:00"/>
    <x v="10"/>
  </r>
  <r>
    <s v="Job0151"/>
    <s v="Product Data Analyst"/>
    <s v="Thoughtworks"/>
    <s v="Bangalore"/>
    <s v="2-5 Years"/>
    <n v="1730000"/>
    <n v="17.3"/>
    <s v="Full Time"/>
    <s v="Hybrid"/>
    <d v="2026-05-17T00:00:00"/>
    <x v="8"/>
  </r>
  <r>
    <s v="Job0151"/>
    <s v="Product Data Analyst"/>
    <s v="Thoughtworks"/>
    <s v="Bangalore"/>
    <s v="2-5 Years"/>
    <n v="1730000"/>
    <n v="17.3"/>
    <s v="Full Time"/>
    <s v="Hybrid"/>
    <d v="2026-05-17T00:00:00"/>
    <x v="11"/>
  </r>
  <r>
    <s v="Job0070"/>
    <s v="Business Analyst"/>
    <s v="Nagarro"/>
    <s v="Chennai"/>
    <s v="5+ Years"/>
    <n v="3645000"/>
    <n v="36.450000000000003"/>
    <s v="Full Time"/>
    <s v="Hybrid"/>
    <d v="2026-05-11T00:00:00"/>
    <x v="1"/>
  </r>
  <r>
    <s v="Job0070"/>
    <s v="Business Analyst"/>
    <s v="Nagarro"/>
    <s v="Chennai"/>
    <s v="5+ Years"/>
    <n v="3645000"/>
    <n v="36.450000000000003"/>
    <s v="Full Time"/>
    <s v="Hybrid"/>
    <d v="2026-05-11T00:00:00"/>
    <x v="8"/>
  </r>
  <r>
    <s v="Job0070"/>
    <s v="Business Analyst"/>
    <s v="Nagarro"/>
    <s v="Chennai"/>
    <s v="5+ Years"/>
    <n v="3645000"/>
    <n v="36.450000000000003"/>
    <s v="Full Time"/>
    <s v="Hybrid"/>
    <d v="2026-05-11T00:00:00"/>
    <x v="5"/>
  </r>
  <r>
    <s v="Job0238"/>
    <s v="Data Analyst"/>
    <s v="Sap Labs India"/>
    <s v="Noida"/>
    <s v="2-5 Years"/>
    <n v="1325000"/>
    <n v="13.25"/>
    <s v="Full Time"/>
    <s v="On-Site"/>
    <d v="2026-08-08T00:00:00"/>
    <x v="8"/>
  </r>
  <r>
    <s v="Job0238"/>
    <s v="Data Analyst"/>
    <s v="Sap Labs India"/>
    <s v="Noida"/>
    <s v="2-5 Years"/>
    <n v="1325000"/>
    <n v="13.25"/>
    <s v="Full Time"/>
    <s v="On-Site"/>
    <d v="2026-08-08T00:00:00"/>
    <x v="2"/>
  </r>
  <r>
    <s v="Job0238"/>
    <s v="Data Analyst"/>
    <s v="Sap Labs India"/>
    <s v="Noida"/>
    <s v="2-5 Years"/>
    <n v="1325000"/>
    <n v="13.25"/>
    <s v="Full Time"/>
    <s v="On-Site"/>
    <d v="2026-08-08T00:00:00"/>
    <x v="10"/>
  </r>
  <r>
    <s v="Job0208"/>
    <s v="Machine Learning Scientist"/>
    <s v="Mu Sigma"/>
    <s v="Chennai"/>
    <s v="3-5 Years"/>
    <n v="2105000"/>
    <n v="21.05"/>
    <s v="Full Time"/>
    <s v="On-Site"/>
    <d v="2026-05-14T00:00:00"/>
    <x v="5"/>
  </r>
  <r>
    <s v="Job0208"/>
    <s v="Machine Learning Scientist"/>
    <s v="Mu Sigma"/>
    <s v="Chennai"/>
    <s v="3-5 Years"/>
    <n v="2105000"/>
    <n v="21.05"/>
    <s v="Full Time"/>
    <s v="On-Site"/>
    <d v="2026-05-14T00:00:00"/>
    <x v="10"/>
  </r>
  <r>
    <s v="Job0208"/>
    <s v="Machine Learning Scientist"/>
    <s v="Mu Sigma"/>
    <s v="Chennai"/>
    <s v="3-5 Years"/>
    <n v="2105000"/>
    <n v="21.05"/>
    <s v="Full Time"/>
    <s v="On-Site"/>
    <d v="2026-05-14T00:00:00"/>
    <x v="3"/>
  </r>
  <r>
    <s v="Job0209"/>
    <s v="Machine Learning Scientist"/>
    <s v="Dell Technologies India"/>
    <s v="Gurugram"/>
    <s v="0-2 Years"/>
    <n v="545000"/>
    <n v="5.45"/>
    <s v="Full Time"/>
    <s v="Hybrid"/>
    <d v="2026-06-15T00:00:00"/>
    <x v="9"/>
  </r>
  <r>
    <s v="Job0209"/>
    <s v="Machine Learning Scientist"/>
    <s v="Dell Technologies India"/>
    <s v="Gurugram"/>
    <s v="0-2 Years"/>
    <n v="545000"/>
    <n v="5.45"/>
    <s v="Full Time"/>
    <s v="Hybrid"/>
    <d v="2026-06-15T00:00:00"/>
    <x v="4"/>
  </r>
  <r>
    <s v="Job0209"/>
    <s v="Machine Learning Scientist"/>
    <s v="Dell Technologies India"/>
    <s v="Gurugram"/>
    <s v="0-2 Years"/>
    <n v="545000"/>
    <n v="5.45"/>
    <s v="Full Time"/>
    <s v="Hybrid"/>
    <d v="2026-06-15T00:00:00"/>
    <x v="1"/>
  </r>
  <r>
    <s v="Job0315"/>
    <s v="Product Data Analyst"/>
    <s v="Tredence"/>
    <s v="Gurugram"/>
    <s v="0-2 Years"/>
    <n v="240000"/>
    <n v="2.4"/>
    <s v="Internship"/>
    <s v="Hybrid"/>
    <d v="2026-06-27T00:00:00"/>
    <x v="6"/>
  </r>
  <r>
    <s v="Job0315"/>
    <s v="Product Data Analyst"/>
    <s v="Tredence"/>
    <s v="Gurugram"/>
    <s v="0-2 Years"/>
    <n v="240000"/>
    <n v="2.4"/>
    <s v="Internship"/>
    <s v="Hybrid"/>
    <d v="2026-06-27T00:00:00"/>
    <x v="8"/>
  </r>
  <r>
    <s v="Job0315"/>
    <s v="Product Data Analyst"/>
    <s v="Tredence"/>
    <s v="Gurugram"/>
    <s v="0-2 Years"/>
    <n v="240000"/>
    <n v="2.4"/>
    <s v="Internship"/>
    <s v="Hybrid"/>
    <d v="2026-06-27T00:00:00"/>
    <x v="2"/>
  </r>
  <r>
    <s v="Job0418"/>
    <s v="Business Analyst"/>
    <s v="Wipro"/>
    <s v="Delhi"/>
    <s v="2-5 Years"/>
    <n v="1155000"/>
    <n v="11.55"/>
    <s v="Full Time"/>
    <s v="On-Site"/>
    <d v="2026-06-10T00:00:00"/>
    <x v="10"/>
  </r>
  <r>
    <s v="Job0418"/>
    <s v="Business Analyst"/>
    <s v="Wipro"/>
    <s v="Delhi"/>
    <s v="2-5 Years"/>
    <n v="1155000"/>
    <n v="11.55"/>
    <s v="Full Time"/>
    <s v="On-Site"/>
    <d v="2026-06-10T00:00:00"/>
    <x v="4"/>
  </r>
  <r>
    <s v="Job0418"/>
    <s v="Business Analyst"/>
    <s v="Wipro"/>
    <s v="Delhi"/>
    <s v="2-5 Years"/>
    <n v="1155000"/>
    <n v="11.55"/>
    <s v="Full Time"/>
    <s v="On-Site"/>
    <d v="2026-06-10T00:00:00"/>
    <x v="2"/>
  </r>
  <r>
    <s v="Job0054"/>
    <s v="Machine Learning Scientist"/>
    <s v="Dunzo"/>
    <s v="Hyderabad"/>
    <s v="3-5 Years"/>
    <n v="1775000"/>
    <n v="17.75"/>
    <s v="Full Time"/>
    <s v="On-Site"/>
    <d v="2026-04-05T00:00:00"/>
    <x v="3"/>
  </r>
  <r>
    <s v="Job0054"/>
    <s v="Machine Learning Scientist"/>
    <s v="Dunzo"/>
    <s v="Hyderabad"/>
    <s v="3-5 Years"/>
    <n v="1775000"/>
    <n v="17.75"/>
    <s v="Full Time"/>
    <s v="On-Site"/>
    <d v="2026-04-05T00:00:00"/>
    <x v="1"/>
  </r>
  <r>
    <s v="Job0054"/>
    <s v="Machine Learning Scientist"/>
    <s v="Dunzo"/>
    <s v="Hyderabad"/>
    <s v="3-5 Years"/>
    <n v="1775000"/>
    <n v="17.75"/>
    <s v="Full Time"/>
    <s v="On-Site"/>
    <d v="2026-04-05T00:00:00"/>
    <x v="11"/>
  </r>
  <r>
    <s v="Job0484"/>
    <s v="Data Scientist"/>
    <s v="Samsung R&amp;D Institute India"/>
    <s v="Ahmedabad"/>
    <s v="2-5 Years"/>
    <n v="880000"/>
    <n v="8.8000000000000007"/>
    <s v="Full Time"/>
    <s v="On-Site"/>
    <d v="2026-03-18T00:00:00"/>
    <x v="14"/>
  </r>
  <r>
    <s v="Job0484"/>
    <s v="Data Scientist"/>
    <s v="Samsung R&amp;D Institute India"/>
    <s v="Ahmedabad"/>
    <s v="2-5 Years"/>
    <n v="880000"/>
    <n v="8.8000000000000007"/>
    <s v="Full Time"/>
    <s v="On-Site"/>
    <d v="2026-03-18T00:00:00"/>
    <x v="4"/>
  </r>
  <r>
    <s v="Job0484"/>
    <s v="Data Scientist"/>
    <s v="Samsung R&amp;D Institute India"/>
    <s v="Ahmedabad"/>
    <s v="2-5 Years"/>
    <n v="880000"/>
    <n v="8.8000000000000007"/>
    <s v="Full Time"/>
    <s v="On-Site"/>
    <d v="2026-03-18T00:00:00"/>
    <x v="3"/>
  </r>
  <r>
    <s v="Job0223"/>
    <s v="Ml Engineer"/>
    <s v="Jpmorgan Chase India"/>
    <s v="Gurugram"/>
    <s v="3-5 Years"/>
    <n v="1395000"/>
    <n v="13.95"/>
    <s v="Full Time"/>
    <s v="On-Site"/>
    <d v="2026-08-06T00:00:00"/>
    <x v="7"/>
  </r>
  <r>
    <s v="Job0223"/>
    <s v="Ml Engineer"/>
    <s v="Jpmorgan Chase India"/>
    <s v="Gurugram"/>
    <s v="3-5 Years"/>
    <n v="1395000"/>
    <n v="13.95"/>
    <s v="Full Time"/>
    <s v="On-Site"/>
    <d v="2026-08-06T00:00:00"/>
    <x v="8"/>
  </r>
  <r>
    <s v="Job0223"/>
    <s v="Ml Engineer"/>
    <s v="Jpmorgan Chase India"/>
    <s v="Gurugram"/>
    <s v="3-5 Years"/>
    <n v="1395000"/>
    <n v="13.95"/>
    <s v="Full Time"/>
    <s v="On-Site"/>
    <d v="2026-08-06T00:00:00"/>
    <x v="6"/>
  </r>
  <r>
    <s v="Job0011"/>
    <s v="Data Scientist"/>
    <s v="Amazon India"/>
    <s v="Ahmedabad"/>
    <s v="5+ Years"/>
    <n v="2175000"/>
    <n v="21.75"/>
    <s v="Full Time"/>
    <s v="Remote"/>
    <d v="2026-06-03T00:00:00"/>
    <x v="5"/>
  </r>
  <r>
    <s v="Job0011"/>
    <s v="Data Scientist"/>
    <s v="Amazon India"/>
    <s v="Ahmedabad"/>
    <s v="5+ Years"/>
    <n v="2175000"/>
    <n v="21.75"/>
    <s v="Full Time"/>
    <s v="Remote"/>
    <d v="2026-06-03T00:00:00"/>
    <x v="14"/>
  </r>
  <r>
    <s v="Job0011"/>
    <s v="Data Scientist"/>
    <s v="Amazon India"/>
    <s v="Ahmedabad"/>
    <s v="5+ Years"/>
    <n v="2175000"/>
    <n v="21.75"/>
    <s v="Full Time"/>
    <s v="Remote"/>
    <d v="2026-06-03T00:00:00"/>
    <x v="2"/>
  </r>
  <r>
    <s v="Job0473"/>
    <s v="Ml Engineer"/>
    <s v="Genpact"/>
    <s v="Ahmedabad"/>
    <s v="1-3 Years"/>
    <n v="730000"/>
    <n v="7.3"/>
    <s v="Full Time"/>
    <s v="Hybrid"/>
    <d v="2026-04-08T00:00:00"/>
    <x v="13"/>
  </r>
  <r>
    <s v="Job0473"/>
    <s v="Ml Engineer"/>
    <s v="Genpact"/>
    <s v="Ahmedabad"/>
    <s v="1-3 Years"/>
    <n v="730000"/>
    <n v="7.3"/>
    <s v="Full Time"/>
    <s v="Hybrid"/>
    <d v="2026-04-08T00:00:00"/>
    <x v="11"/>
  </r>
  <r>
    <s v="Job0473"/>
    <s v="Ml Engineer"/>
    <s v="Genpact"/>
    <s v="Ahmedabad"/>
    <s v="1-3 Years"/>
    <n v="730000"/>
    <n v="7.3"/>
    <s v="Full Time"/>
    <s v="Hybrid"/>
    <d v="2026-04-08T00:00:00"/>
    <x v="1"/>
  </r>
  <r>
    <s v="Job0455"/>
    <s v="Ai/Ml Analyst"/>
    <s v="Mu Sigma"/>
    <s v="Noida"/>
    <s v="0-2 Years"/>
    <n v="495000"/>
    <n v="4.95"/>
    <s v="Full Time"/>
    <s v="On-Site"/>
    <d v="2026-02-10T00:00:00"/>
    <x v="0"/>
  </r>
  <r>
    <s v="Job0455"/>
    <s v="Ai/Ml Analyst"/>
    <s v="Mu Sigma"/>
    <s v="Noida"/>
    <s v="0-2 Years"/>
    <n v="495000"/>
    <n v="4.95"/>
    <s v="Full Time"/>
    <s v="On-Site"/>
    <d v="2026-02-10T00:00:00"/>
    <x v="5"/>
  </r>
  <r>
    <s v="Job0455"/>
    <s v="Ai/Ml Analyst"/>
    <s v="Mu Sigma"/>
    <s v="Noida"/>
    <s v="0-2 Years"/>
    <n v="495000"/>
    <n v="4.95"/>
    <s v="Full Time"/>
    <s v="On-Site"/>
    <d v="2026-02-10T00:00:00"/>
    <x v="8"/>
  </r>
  <r>
    <s v="Job0414"/>
    <s v="Machine Learning Scientist"/>
    <s v="Genpact"/>
    <s v="Pune"/>
    <s v="2-5 Years"/>
    <n v="1010000"/>
    <n v="10.1"/>
    <s v="Full Time"/>
    <s v="Hybrid"/>
    <d v="2026-06-21T00:00:00"/>
    <x v="1"/>
  </r>
  <r>
    <s v="Job0414"/>
    <s v="Machine Learning Scientist"/>
    <s v="Genpact"/>
    <s v="Pune"/>
    <s v="2-5 Years"/>
    <n v="1010000"/>
    <n v="10.1"/>
    <s v="Full Time"/>
    <s v="Hybrid"/>
    <d v="2026-06-21T00:00:00"/>
    <x v="6"/>
  </r>
  <r>
    <s v="Job0414"/>
    <s v="Machine Learning Scientist"/>
    <s v="Genpact"/>
    <s v="Pune"/>
    <s v="2-5 Years"/>
    <n v="1010000"/>
    <n v="10.1"/>
    <s v="Full Time"/>
    <s v="Hybrid"/>
    <d v="2026-06-21T00:00:00"/>
    <x v="10"/>
  </r>
  <r>
    <s v="Job0058"/>
    <s v="Business Analyst"/>
    <s v="Zs Associates"/>
    <s v="Mumbai"/>
    <s v="0-2 Years"/>
    <n v="610000"/>
    <n v="6.1"/>
    <s v="Full Time"/>
    <s v="Hybrid"/>
    <d v="2026-05-06T00:00:00"/>
    <x v="2"/>
  </r>
  <r>
    <s v="Job0058"/>
    <s v="Business Analyst"/>
    <s v="Zs Associates"/>
    <s v="Mumbai"/>
    <s v="0-2 Years"/>
    <n v="610000"/>
    <n v="6.1"/>
    <s v="Full Time"/>
    <s v="Hybrid"/>
    <d v="2026-05-06T00:00:00"/>
    <x v="1"/>
  </r>
  <r>
    <s v="Job0058"/>
    <s v="Business Analyst"/>
    <s v="Zs Associates"/>
    <s v="Mumbai"/>
    <s v="0-2 Years"/>
    <n v="610000"/>
    <n v="6.1"/>
    <s v="Full Time"/>
    <s v="Hybrid"/>
    <d v="2026-05-06T00:00:00"/>
    <x v="8"/>
  </r>
  <r>
    <s v="Job0252"/>
    <s v="Data Analyst"/>
    <s v="Axis Bank"/>
    <s v="Pune"/>
    <s v="1-3 Years"/>
    <n v="1055000"/>
    <n v="10.55"/>
    <s v="Full Time"/>
    <s v="On-Site"/>
    <d v="2026-08-21T00:00:00"/>
    <x v="12"/>
  </r>
  <r>
    <s v="Job0252"/>
    <s v="Data Analyst"/>
    <s v="Axis Bank"/>
    <s v="Pune"/>
    <s v="1-3 Years"/>
    <n v="1055000"/>
    <n v="10.55"/>
    <s v="Full Time"/>
    <s v="On-Site"/>
    <d v="2026-08-21T00:00:00"/>
    <x v="7"/>
  </r>
  <r>
    <s v="Job0252"/>
    <s v="Data Analyst"/>
    <s v="Axis Bank"/>
    <s v="Pune"/>
    <s v="1-3 Years"/>
    <n v="1055000"/>
    <n v="10.55"/>
    <s v="Full Time"/>
    <s v="On-Site"/>
    <d v="2026-08-21T00:00:00"/>
    <x v="0"/>
  </r>
  <r>
    <s v="Job0475"/>
    <s v="Data Scientist"/>
    <s v="Zoho"/>
    <s v="Kolkata"/>
    <s v="3-5 Years"/>
    <n v="1555000"/>
    <n v="15.55"/>
    <s v="Full Time"/>
    <s v="Hybrid"/>
    <d v="2026-02-16T00:00:00"/>
    <x v="4"/>
  </r>
  <r>
    <s v="Job0475"/>
    <s v="Data Scientist"/>
    <s v="Zoho"/>
    <s v="Kolkata"/>
    <s v="3-5 Years"/>
    <n v="1555000"/>
    <n v="15.55"/>
    <s v="Full Time"/>
    <s v="Hybrid"/>
    <d v="2026-02-16T00:00:00"/>
    <x v="14"/>
  </r>
  <r>
    <s v="Job0475"/>
    <s v="Data Scientist"/>
    <s v="Zoho"/>
    <s v="Kolkata"/>
    <s v="3-5 Years"/>
    <n v="1555000"/>
    <n v="15.55"/>
    <s v="Full Time"/>
    <s v="Hybrid"/>
    <d v="2026-02-16T00:00:00"/>
    <x v="12"/>
  </r>
  <r>
    <s v="Job0470"/>
    <s v="Ml Engineer"/>
    <s v="Policybazaar"/>
    <s v="Chennai"/>
    <s v="0-2 Years"/>
    <n v="685000"/>
    <n v="6.85"/>
    <s v="Full Time"/>
    <s v="On-Site"/>
    <d v="2026-05-05T00:00:00"/>
    <x v="3"/>
  </r>
  <r>
    <s v="Job0470"/>
    <s v="Ml Engineer"/>
    <s v="Policybazaar"/>
    <s v="Chennai"/>
    <s v="0-2 Years"/>
    <n v="685000"/>
    <n v="6.85"/>
    <s v="Full Time"/>
    <s v="On-Site"/>
    <d v="2026-05-05T00:00:00"/>
    <x v="6"/>
  </r>
  <r>
    <s v="Job0470"/>
    <s v="Ml Engineer"/>
    <s v="Policybazaar"/>
    <s v="Chennai"/>
    <s v="0-2 Years"/>
    <n v="685000"/>
    <n v="6.85"/>
    <s v="Full Time"/>
    <s v="On-Site"/>
    <d v="2026-05-05T00:00:00"/>
    <x v="7"/>
  </r>
  <r>
    <s v="Job0147"/>
    <s v="Machine Learning Scientist"/>
    <s v="Ola"/>
    <s v="Hyderabad"/>
    <s v="5+ Years"/>
    <n v="2625000"/>
    <n v="26.25"/>
    <s v="Full Time"/>
    <s v="Hybrid"/>
    <d v="2026-03-15T00:00:00"/>
    <x v="7"/>
  </r>
  <r>
    <s v="Job0147"/>
    <s v="Machine Learning Scientist"/>
    <s v="Ola"/>
    <s v="Hyderabad"/>
    <s v="5+ Years"/>
    <n v="2625000"/>
    <n v="26.25"/>
    <s v="Full Time"/>
    <s v="Hybrid"/>
    <d v="2026-03-15T00:00:00"/>
    <x v="5"/>
  </r>
  <r>
    <s v="Job0147"/>
    <s v="Machine Learning Scientist"/>
    <s v="Ola"/>
    <s v="Hyderabad"/>
    <s v="5+ Years"/>
    <n v="2625000"/>
    <n v="26.25"/>
    <s v="Full Time"/>
    <s v="Hybrid"/>
    <d v="2026-03-15T00:00:00"/>
    <x v="1"/>
  </r>
  <r>
    <s v="Job0340"/>
    <s v="Data Scientist"/>
    <s v="Deloitte India"/>
    <s v="Pune"/>
    <s v="5+ Years"/>
    <n v="3430000"/>
    <n v="34.299999999999997"/>
    <s v="Contract"/>
    <s v="Hybrid"/>
    <d v="2026-07-18T00:00:00"/>
    <x v="0"/>
  </r>
  <r>
    <s v="Job0340"/>
    <s v="Data Scientist"/>
    <s v="Deloitte India"/>
    <s v="Pune"/>
    <s v="5+ Years"/>
    <n v="3430000"/>
    <n v="34.299999999999997"/>
    <s v="Contract"/>
    <s v="Hybrid"/>
    <d v="2026-07-18T00:00:00"/>
    <x v="2"/>
  </r>
  <r>
    <s v="Job0340"/>
    <s v="Data Scientist"/>
    <s v="Deloitte India"/>
    <s v="Pune"/>
    <s v="5+ Years"/>
    <n v="3430000"/>
    <n v="34.299999999999997"/>
    <s v="Contract"/>
    <s v="Hybrid"/>
    <d v="2026-07-18T00:00:00"/>
    <x v="4"/>
  </r>
  <r>
    <s v="Job0266"/>
    <s v="Data Analyst"/>
    <s v="Nykaa"/>
    <s v="Pune"/>
    <s v="2-5 Years"/>
    <n v="1060000"/>
    <n v="10.6"/>
    <s v="Full Time"/>
    <s v="Hybrid"/>
    <d v="2026-05-21T00:00:00"/>
    <x v="9"/>
  </r>
  <r>
    <s v="Job0266"/>
    <s v="Data Analyst"/>
    <s v="Nykaa"/>
    <s v="Pune"/>
    <s v="2-5 Years"/>
    <n v="1060000"/>
    <n v="10.6"/>
    <s v="Full Time"/>
    <s v="Hybrid"/>
    <d v="2026-05-21T00:00:00"/>
    <x v="8"/>
  </r>
  <r>
    <s v="Job0266"/>
    <s v="Data Analyst"/>
    <s v="Nykaa"/>
    <s v="Pune"/>
    <s v="2-5 Years"/>
    <n v="1060000"/>
    <n v="10.6"/>
    <s v="Full Time"/>
    <s v="Hybrid"/>
    <d v="2026-05-21T00:00:00"/>
    <x v="0"/>
  </r>
  <r>
    <s v="Job0497"/>
    <s v="Data Analyst"/>
    <s v="Urban Company"/>
    <s v="Bangalore"/>
    <s v="1-3 Years"/>
    <n v="970000"/>
    <n v="9.6999999999999993"/>
    <s v="Full Time"/>
    <s v="Remote"/>
    <d v="2026-05-29T00:00:00"/>
    <x v="8"/>
  </r>
  <r>
    <s v="Job0497"/>
    <s v="Data Analyst"/>
    <s v="Urban Company"/>
    <s v="Bangalore"/>
    <s v="1-3 Years"/>
    <n v="970000"/>
    <n v="9.6999999999999993"/>
    <s v="Full Time"/>
    <s v="Remote"/>
    <d v="2026-05-29T00:00:00"/>
    <x v="1"/>
  </r>
  <r>
    <s v="Job0497"/>
    <s v="Data Analyst"/>
    <s v="Urban Company"/>
    <s v="Bangalore"/>
    <s v="1-3 Years"/>
    <n v="970000"/>
    <n v="9.6999999999999993"/>
    <s v="Full Time"/>
    <s v="Remote"/>
    <d v="2026-05-29T00:00:00"/>
    <x v="13"/>
  </r>
  <r>
    <s v="Job0499"/>
    <s v="Product Data Analyst"/>
    <s v="Zs Associates"/>
    <s v="Pune"/>
    <s v="3-5 Years"/>
    <n v="1175000"/>
    <n v="11.75"/>
    <s v="Contract"/>
    <s v="Hybrid"/>
    <d v="2026-03-11T00:00:00"/>
    <x v="2"/>
  </r>
  <r>
    <s v="Job0499"/>
    <s v="Product Data Analyst"/>
    <s v="Zs Associates"/>
    <s v="Pune"/>
    <s v="3-5 Years"/>
    <n v="1175000"/>
    <n v="11.75"/>
    <s v="Contract"/>
    <s v="Hybrid"/>
    <d v="2026-03-11T00:00:00"/>
    <x v="10"/>
  </r>
  <r>
    <s v="Job0499"/>
    <s v="Product Data Analyst"/>
    <s v="Zs Associates"/>
    <s v="Pune"/>
    <s v="3-5 Years"/>
    <n v="1175000"/>
    <n v="11.75"/>
    <s v="Contract"/>
    <s v="Hybrid"/>
    <d v="2026-03-11T00:00:00"/>
    <x v="9"/>
  </r>
  <r>
    <s v="Job0031"/>
    <s v="Data Engineer"/>
    <s v="Phonepe"/>
    <s v="Pune"/>
    <s v="1-3 Years"/>
    <n v="740000"/>
    <n v="7.4"/>
    <s v="Full Time"/>
    <s v="Remote"/>
    <d v="2026-03-26T00:00:00"/>
    <x v="3"/>
  </r>
  <r>
    <s v="Job0031"/>
    <s v="Data Engineer"/>
    <s v="Phonepe"/>
    <s v="Pune"/>
    <s v="1-3 Years"/>
    <n v="740000"/>
    <n v="7.4"/>
    <s v="Full Time"/>
    <s v="Remote"/>
    <d v="2026-03-26T00:00:00"/>
    <x v="8"/>
  </r>
  <r>
    <s v="Job0031"/>
    <s v="Data Engineer"/>
    <s v="Phonepe"/>
    <s v="Pune"/>
    <s v="1-3 Years"/>
    <n v="740000"/>
    <n v="7.4"/>
    <s v="Full Time"/>
    <s v="Remote"/>
    <d v="2026-03-26T00:00:00"/>
    <x v="5"/>
  </r>
  <r>
    <s v="Job0111"/>
    <s v="Data Analyst"/>
    <s v="Hdfc Bank"/>
    <s v="Kolkata"/>
    <s v="1-3 Years"/>
    <n v="695000"/>
    <n v="6.95"/>
    <s v="Full Time"/>
    <s v="Remote"/>
    <d v="2026-02-14T00:00:00"/>
    <x v="0"/>
  </r>
  <r>
    <s v="Job0111"/>
    <s v="Data Analyst"/>
    <s v="Hdfc Bank"/>
    <s v="Kolkata"/>
    <s v="1-3 Years"/>
    <n v="695000"/>
    <n v="6.95"/>
    <s v="Full Time"/>
    <s v="Remote"/>
    <d v="2026-02-14T00:00:00"/>
    <x v="5"/>
  </r>
  <r>
    <s v="Job0111"/>
    <s v="Data Analyst"/>
    <s v="Hdfc Bank"/>
    <s v="Kolkata"/>
    <s v="1-3 Years"/>
    <n v="695000"/>
    <n v="6.95"/>
    <s v="Full Time"/>
    <s v="Remote"/>
    <d v="2026-02-14T00:00:00"/>
    <x v="8"/>
  </r>
  <r>
    <s v="Job0030"/>
    <s v="Ml Engineer"/>
    <s v="Zensar Technologies"/>
    <s v="Mumbai"/>
    <s v="3-5 Years"/>
    <n v="2045000"/>
    <n v="20.45"/>
    <s v="Contract"/>
    <s v="Hybrid"/>
    <d v="2026-07-30T00:00:00"/>
    <x v="1"/>
  </r>
  <r>
    <s v="Job0030"/>
    <s v="Ml Engineer"/>
    <s v="Zensar Technologies"/>
    <s v="Mumbai"/>
    <s v="3-5 Years"/>
    <n v="2045000"/>
    <n v="20.45"/>
    <s v="Contract"/>
    <s v="Hybrid"/>
    <d v="2026-07-30T00:00:00"/>
    <x v="3"/>
  </r>
  <r>
    <s v="Job0030"/>
    <s v="Ml Engineer"/>
    <s v="Zensar Technologies"/>
    <s v="Mumbai"/>
    <s v="3-5 Years"/>
    <n v="2045000"/>
    <n v="20.45"/>
    <s v="Contract"/>
    <s v="Hybrid"/>
    <d v="2026-07-30T00:00:00"/>
    <x v="10"/>
  </r>
  <r>
    <s v="Job0247"/>
    <s v="Data Scientist"/>
    <s v="Swiggy"/>
    <s v="Bangalore"/>
    <s v="5+ Years"/>
    <n v="1915000"/>
    <n v="19.149999999999999"/>
    <s v="Full Time"/>
    <s v="Hybrid"/>
    <d v="2026-03-20T00:00:00"/>
    <x v="14"/>
  </r>
  <r>
    <s v="Job0247"/>
    <s v="Data Scientist"/>
    <s v="Swiggy"/>
    <s v="Bangalore"/>
    <s v="5+ Years"/>
    <n v="1915000"/>
    <n v="19.149999999999999"/>
    <s v="Full Time"/>
    <s v="Hybrid"/>
    <d v="2026-03-20T00:00:00"/>
    <x v="3"/>
  </r>
  <r>
    <s v="Job0247"/>
    <s v="Data Scientist"/>
    <s v="Swiggy"/>
    <s v="Bangalore"/>
    <s v="5+ Years"/>
    <n v="1915000"/>
    <n v="19.149999999999999"/>
    <s v="Full Time"/>
    <s v="Hybrid"/>
    <d v="2026-03-20T00:00:00"/>
    <x v="1"/>
  </r>
  <r>
    <s v="Job0173"/>
    <s v="Ai/Ml Analyst"/>
    <s v="Quantiphi"/>
    <s v="Delhi"/>
    <s v="0-2 Years"/>
    <n v="430000"/>
    <n v="4.3"/>
    <s v="Full Time"/>
    <s v="Hybrid"/>
    <d v="2026-06-22T00:00:00"/>
    <x v="9"/>
  </r>
  <r>
    <s v="Job0173"/>
    <s v="Ai/Ml Analyst"/>
    <s v="Quantiphi"/>
    <s v="Delhi"/>
    <s v="0-2 Years"/>
    <n v="430000"/>
    <n v="4.3"/>
    <s v="Full Time"/>
    <s v="Hybrid"/>
    <d v="2026-06-22T00:00:00"/>
    <x v="14"/>
  </r>
  <r>
    <s v="Job0173"/>
    <s v="Ai/Ml Analyst"/>
    <s v="Quantiphi"/>
    <s v="Delhi"/>
    <s v="0-2 Years"/>
    <n v="430000"/>
    <n v="4.3"/>
    <s v="Full Time"/>
    <s v="Hybrid"/>
    <d v="2026-06-22T00:00:00"/>
    <x v="0"/>
  </r>
  <r>
    <s v="Job0196"/>
    <s v="Bi Analyst"/>
    <s v="Larsen &amp; Toubro"/>
    <s v="Bangalore"/>
    <s v="5+ Years"/>
    <n v="3515000"/>
    <n v="35.15"/>
    <s v="Full Time"/>
    <s v="Hybrid"/>
    <d v="2026-07-02T00:00:00"/>
    <x v="0"/>
  </r>
  <r>
    <s v="Job0196"/>
    <s v="Bi Analyst"/>
    <s v="Larsen &amp; Toubro"/>
    <s v="Bangalore"/>
    <s v="5+ Years"/>
    <n v="3515000"/>
    <n v="35.15"/>
    <s v="Full Time"/>
    <s v="Hybrid"/>
    <d v="2026-07-02T00:00:00"/>
    <x v="10"/>
  </r>
  <r>
    <s v="Job0196"/>
    <s v="Bi Analyst"/>
    <s v="Larsen &amp; Toubro"/>
    <s v="Bangalore"/>
    <s v="5+ Years"/>
    <n v="3515000"/>
    <n v="35.15"/>
    <s v="Full Time"/>
    <s v="Hybrid"/>
    <d v="2026-07-02T00:00:00"/>
    <x v="2"/>
  </r>
  <r>
    <s v="Job0144"/>
    <s v="Bi Analyst"/>
    <s v="Wns Global Services"/>
    <s v="Gurugram"/>
    <s v="1-3 Years"/>
    <n v="705000"/>
    <n v="7.05"/>
    <s v="Full Time"/>
    <s v="On-Site"/>
    <d v="2026-05-24T00:00:00"/>
    <x v="0"/>
  </r>
  <r>
    <s v="Job0144"/>
    <s v="Bi Analyst"/>
    <s v="Wns Global Services"/>
    <s v="Gurugram"/>
    <s v="1-3 Years"/>
    <n v="705000"/>
    <n v="7.05"/>
    <s v="Full Time"/>
    <s v="On-Site"/>
    <d v="2026-05-24T00:00:00"/>
    <x v="8"/>
  </r>
  <r>
    <s v="Job0144"/>
    <s v="Bi Analyst"/>
    <s v="Wns Global Services"/>
    <s v="Gurugram"/>
    <s v="1-3 Years"/>
    <n v="705000"/>
    <n v="7.05"/>
    <s v="Full Time"/>
    <s v="On-Site"/>
    <d v="2026-05-24T00:00:00"/>
    <x v="5"/>
  </r>
  <r>
    <s v="Job0319"/>
    <s v="Ai/Ml Analyst"/>
    <s v="Makemytrip"/>
    <s v="Noida"/>
    <s v="0-2 Years"/>
    <n v="585000"/>
    <n v="5.85"/>
    <s v="Full Time"/>
    <s v="Remote"/>
    <d v="2026-03-06T00:00:00"/>
    <x v="14"/>
  </r>
  <r>
    <s v="Job0319"/>
    <s v="Ai/Ml Analyst"/>
    <s v="Makemytrip"/>
    <s v="Noida"/>
    <s v="0-2 Years"/>
    <n v="585000"/>
    <n v="5.85"/>
    <s v="Full Time"/>
    <s v="Remote"/>
    <d v="2026-03-06T00:00:00"/>
    <x v="4"/>
  </r>
  <r>
    <s v="Job0319"/>
    <s v="Ai/Ml Analyst"/>
    <s v="Makemytrip"/>
    <s v="Noida"/>
    <s v="0-2 Years"/>
    <n v="585000"/>
    <n v="5.85"/>
    <s v="Full Time"/>
    <s v="Remote"/>
    <d v="2026-03-06T00:00:00"/>
    <x v="12"/>
  </r>
  <r>
    <s v="Job0281"/>
    <s v="Data Engineer"/>
    <s v="Jpmorgan Chase India"/>
    <s v="Gurugram"/>
    <s v="0-2 Years"/>
    <n v="340000"/>
    <n v="3.4"/>
    <s v="Internship"/>
    <s v="Hybrid"/>
    <d v="2026-04-09T00:00:00"/>
    <x v="9"/>
  </r>
  <r>
    <s v="Job0281"/>
    <s v="Data Engineer"/>
    <s v="Jpmorgan Chase India"/>
    <s v="Gurugram"/>
    <s v="0-2 Years"/>
    <n v="340000"/>
    <n v="3.4"/>
    <s v="Internship"/>
    <s v="Hybrid"/>
    <d v="2026-04-09T00:00:00"/>
    <x v="13"/>
  </r>
  <r>
    <s v="Job0281"/>
    <s v="Data Engineer"/>
    <s v="Jpmorgan Chase India"/>
    <s v="Gurugram"/>
    <s v="0-2 Years"/>
    <n v="340000"/>
    <n v="3.4"/>
    <s v="Internship"/>
    <s v="Hybrid"/>
    <d v="2026-04-09T00:00:00"/>
    <x v="0"/>
  </r>
  <r>
    <s v="Job0456"/>
    <s v="Machine Learning Scientist"/>
    <s v="American Express India"/>
    <s v="Mumbai"/>
    <s v="2-5 Years"/>
    <n v="1010000"/>
    <n v="10.1"/>
    <s v="Full Time"/>
    <s v="Hybrid"/>
    <d v="2026-05-20T00:00:00"/>
    <x v="13"/>
  </r>
  <r>
    <s v="Job0456"/>
    <s v="Machine Learning Scientist"/>
    <s v="American Express India"/>
    <s v="Mumbai"/>
    <s v="2-5 Years"/>
    <n v="1010000"/>
    <n v="10.1"/>
    <s v="Full Time"/>
    <s v="Hybrid"/>
    <d v="2026-05-20T00:00:00"/>
    <x v="4"/>
  </r>
  <r>
    <s v="Job0456"/>
    <s v="Machine Learning Scientist"/>
    <s v="American Express India"/>
    <s v="Mumbai"/>
    <s v="2-5 Years"/>
    <n v="1010000"/>
    <n v="10.1"/>
    <s v="Full Time"/>
    <s v="Hybrid"/>
    <d v="2026-05-20T00:00:00"/>
    <x v="3"/>
  </r>
  <r>
    <s v="Job0343"/>
    <s v="Machine Learning Scientist"/>
    <s v="Razorpay"/>
    <s v="Mumbai"/>
    <s v="2-5 Years"/>
    <n v="1170000"/>
    <n v="11.7"/>
    <s v="Full Time"/>
    <s v="Hybrid"/>
    <d v="2026-08-23T00:00:00"/>
    <x v="3"/>
  </r>
  <r>
    <s v="Job0343"/>
    <s v="Machine Learning Scientist"/>
    <s v="Razorpay"/>
    <s v="Mumbai"/>
    <s v="2-5 Years"/>
    <n v="1170000"/>
    <n v="11.7"/>
    <s v="Full Time"/>
    <s v="Hybrid"/>
    <d v="2026-08-23T00:00:00"/>
    <x v="6"/>
  </r>
  <r>
    <s v="Job0343"/>
    <s v="Machine Learning Scientist"/>
    <s v="Razorpay"/>
    <s v="Mumbai"/>
    <s v="2-5 Years"/>
    <n v="1170000"/>
    <n v="11.7"/>
    <s v="Full Time"/>
    <s v="Hybrid"/>
    <d v="2026-08-23T00:00:00"/>
    <x v="1"/>
  </r>
  <r>
    <s v="Job0156"/>
    <s v="Ml Engineer"/>
    <s v="Wns Global Services"/>
    <s v="Hyderabad"/>
    <s v="1-3 Years"/>
    <n v="665000"/>
    <n v="6.65"/>
    <s v="Full Time"/>
    <s v="On-Site"/>
    <d v="2026-02-23T00:00:00"/>
    <x v="4"/>
  </r>
  <r>
    <s v="Job0156"/>
    <s v="Ml Engineer"/>
    <s v="Wns Global Services"/>
    <s v="Hyderabad"/>
    <s v="1-3 Years"/>
    <n v="665000"/>
    <n v="6.65"/>
    <s v="Full Time"/>
    <s v="On-Site"/>
    <d v="2026-02-23T00:00:00"/>
    <x v="10"/>
  </r>
  <r>
    <s v="Job0156"/>
    <s v="Ml Engineer"/>
    <s v="Wns Global Services"/>
    <s v="Hyderabad"/>
    <s v="1-3 Years"/>
    <n v="665000"/>
    <n v="6.65"/>
    <s v="Full Time"/>
    <s v="On-Site"/>
    <d v="2026-02-23T00:00:00"/>
    <x v="8"/>
  </r>
  <r>
    <s v="Job0298"/>
    <s v="Data Scientist"/>
    <s v="Wipro"/>
    <s v="Pune"/>
    <s v="0-2 Years"/>
    <n v="540000"/>
    <n v="5.4"/>
    <s v="Full Time"/>
    <s v="Hybrid"/>
    <d v="2026-03-19T00:00:00"/>
    <x v="4"/>
  </r>
  <r>
    <s v="Job0298"/>
    <s v="Data Scientist"/>
    <s v="Wipro"/>
    <s v="Pune"/>
    <s v="0-2 Years"/>
    <n v="540000"/>
    <n v="5.4"/>
    <s v="Full Time"/>
    <s v="Hybrid"/>
    <d v="2026-03-19T00:00:00"/>
    <x v="12"/>
  </r>
  <r>
    <s v="Job0298"/>
    <s v="Data Scientist"/>
    <s v="Wipro"/>
    <s v="Pune"/>
    <s v="0-2 Years"/>
    <n v="540000"/>
    <n v="5.4"/>
    <s v="Full Time"/>
    <s v="Hybrid"/>
    <d v="2026-03-19T00:00:00"/>
    <x v="9"/>
  </r>
  <r>
    <s v="Job0245"/>
    <s v="Data Analyst"/>
    <s v="Razorpay"/>
    <s v="Ahmedabad"/>
    <s v="3-5 Years"/>
    <n v="1840000"/>
    <n v="18.399999999999999"/>
    <s v="Full Time"/>
    <s v="On-Site"/>
    <d v="2026-05-26T00:00:00"/>
    <x v="14"/>
  </r>
  <r>
    <s v="Job0245"/>
    <s v="Data Analyst"/>
    <s v="Razorpay"/>
    <s v="Ahmedabad"/>
    <s v="3-5 Years"/>
    <n v="1840000"/>
    <n v="18.399999999999999"/>
    <s v="Full Time"/>
    <s v="On-Site"/>
    <d v="2026-05-26T00:00:00"/>
    <x v="2"/>
  </r>
  <r>
    <s v="Job0245"/>
    <s v="Data Analyst"/>
    <s v="Razorpay"/>
    <s v="Ahmedabad"/>
    <s v="3-5 Years"/>
    <n v="1840000"/>
    <n v="18.399999999999999"/>
    <s v="Full Time"/>
    <s v="On-Site"/>
    <d v="2026-05-26T00:00:00"/>
    <x v="5"/>
  </r>
  <r>
    <s v="Job0487"/>
    <s v="Data Analyst"/>
    <s v="Barclays India"/>
    <s v="Mumbai"/>
    <s v="1-3 Years"/>
    <n v="985000"/>
    <n v="9.85"/>
    <s v="Full Time"/>
    <s v="Hybrid"/>
    <d v="2026-07-08T00:00:00"/>
    <x v="10"/>
  </r>
  <r>
    <s v="Job0487"/>
    <s v="Data Analyst"/>
    <s v="Barclays India"/>
    <s v="Mumbai"/>
    <s v="1-3 Years"/>
    <n v="985000"/>
    <n v="9.85"/>
    <s v="Full Time"/>
    <s v="Hybrid"/>
    <d v="2026-07-08T00:00:00"/>
    <x v="0"/>
  </r>
  <r>
    <s v="Job0487"/>
    <s v="Data Analyst"/>
    <s v="Barclays India"/>
    <s v="Mumbai"/>
    <s v="1-3 Years"/>
    <n v="985000"/>
    <n v="9.85"/>
    <s v="Full Time"/>
    <s v="Hybrid"/>
    <d v="2026-07-08T00:00:00"/>
    <x v="2"/>
  </r>
  <r>
    <s v="Job0428"/>
    <s v="Ml Engineer"/>
    <s v="Axis Bank"/>
    <s v="Bangalore"/>
    <s v="3-5 Years"/>
    <n v="1355000"/>
    <n v="13.55"/>
    <s v="Contract"/>
    <s v="Hybrid"/>
    <d v="2026-04-26T00:00:00"/>
    <x v="1"/>
  </r>
  <r>
    <s v="Job0428"/>
    <s v="Ml Engineer"/>
    <s v="Axis Bank"/>
    <s v="Bangalore"/>
    <s v="3-5 Years"/>
    <n v="1355000"/>
    <n v="13.55"/>
    <s v="Contract"/>
    <s v="Hybrid"/>
    <d v="2026-04-26T00:00:00"/>
    <x v="11"/>
  </r>
  <r>
    <s v="Job0428"/>
    <s v="Ml Engineer"/>
    <s v="Axis Bank"/>
    <s v="Bangalore"/>
    <s v="3-5 Years"/>
    <n v="1355000"/>
    <n v="13.55"/>
    <s v="Contract"/>
    <s v="Hybrid"/>
    <d v="2026-04-26T00:00:00"/>
    <x v="7"/>
  </r>
  <r>
    <s v="Job0393"/>
    <s v="Ai Engineer"/>
    <s v="L&amp;T Infotech"/>
    <s v="Ahmedabad"/>
    <s v="0-2 Years"/>
    <n v="405000"/>
    <n v="4.05"/>
    <s v="Full Time"/>
    <s v="On-Site"/>
    <d v="2026-06-26T00:00:00"/>
    <x v="3"/>
  </r>
  <r>
    <s v="Job0393"/>
    <s v="Ai Engineer"/>
    <s v="L&amp;T Infotech"/>
    <s v="Ahmedabad"/>
    <s v="0-2 Years"/>
    <n v="405000"/>
    <n v="4.05"/>
    <s v="Full Time"/>
    <s v="On-Site"/>
    <d v="2026-06-26T00:00:00"/>
    <x v="1"/>
  </r>
  <r>
    <s v="Job0393"/>
    <s v="Ai Engineer"/>
    <s v="L&amp;T Infotech"/>
    <s v="Ahmedabad"/>
    <s v="0-2 Years"/>
    <n v="405000"/>
    <n v="4.05"/>
    <s v="Full Time"/>
    <s v="On-Site"/>
    <d v="2026-06-26T00:00:00"/>
    <x v="9"/>
  </r>
  <r>
    <s v="Job0186"/>
    <s v="Ai Engineer"/>
    <s v="Persistent Systems"/>
    <s v="Bangalore"/>
    <s v="5+ Years"/>
    <n v="3015000"/>
    <n v="30.15"/>
    <s v="Contract"/>
    <s v="Hybrid"/>
    <d v="2026-01-13T00:00:00"/>
    <x v="14"/>
  </r>
  <r>
    <s v="Job0186"/>
    <s v="Ai Engineer"/>
    <s v="Persistent Systems"/>
    <s v="Bangalore"/>
    <s v="5+ Years"/>
    <n v="3015000"/>
    <n v="30.15"/>
    <s v="Contract"/>
    <s v="Hybrid"/>
    <d v="2026-01-13T00:00:00"/>
    <x v="2"/>
  </r>
  <r>
    <s v="Job0186"/>
    <s v="Ai Engineer"/>
    <s v="Persistent Systems"/>
    <s v="Bangalore"/>
    <s v="5+ Years"/>
    <n v="3015000"/>
    <n v="30.15"/>
    <s v="Contract"/>
    <s v="Hybrid"/>
    <d v="2026-01-13T00:00:00"/>
    <x v="7"/>
  </r>
  <r>
    <s v="Job0198"/>
    <s v="Ai/Ml Analyst"/>
    <s v="Dunzo"/>
    <s v="Ahmedabad"/>
    <s v="3-5 Years"/>
    <n v="1125000"/>
    <n v="11.25"/>
    <s v="Full Time"/>
    <s v="Hybrid"/>
    <d v="2026-04-10T00:00:00"/>
    <x v="9"/>
  </r>
  <r>
    <s v="Job0198"/>
    <s v="Ai/Ml Analyst"/>
    <s v="Dunzo"/>
    <s v="Ahmedabad"/>
    <s v="3-5 Years"/>
    <n v="1125000"/>
    <n v="11.25"/>
    <s v="Full Time"/>
    <s v="Hybrid"/>
    <d v="2026-04-10T00:00:00"/>
    <x v="14"/>
  </r>
  <r>
    <s v="Job0198"/>
    <s v="Ai/Ml Analyst"/>
    <s v="Dunzo"/>
    <s v="Ahmedabad"/>
    <s v="3-5 Years"/>
    <n v="1125000"/>
    <n v="11.25"/>
    <s v="Full Time"/>
    <s v="Hybrid"/>
    <d v="2026-04-10T00:00:00"/>
    <x v="0"/>
  </r>
  <r>
    <s v="Job0295"/>
    <s v="Bi Analyst"/>
    <s v="Publicis Sapient"/>
    <s v="Kolkata"/>
    <s v="2-5 Years"/>
    <n v="965000"/>
    <n v="9.65"/>
    <s v="Contract"/>
    <s v="Hybrid"/>
    <d v="2026-02-04T00:00:00"/>
    <x v="8"/>
  </r>
  <r>
    <s v="Job0295"/>
    <s v="Bi Analyst"/>
    <s v="Publicis Sapient"/>
    <s v="Kolkata"/>
    <s v="2-5 Years"/>
    <n v="965000"/>
    <n v="9.65"/>
    <s v="Contract"/>
    <s v="Hybrid"/>
    <d v="2026-02-04T00:00:00"/>
    <x v="2"/>
  </r>
  <r>
    <s v="Job0295"/>
    <s v="Bi Analyst"/>
    <s v="Publicis Sapient"/>
    <s v="Kolkata"/>
    <s v="2-5 Years"/>
    <n v="965000"/>
    <n v="9.65"/>
    <s v="Contract"/>
    <s v="Hybrid"/>
    <d v="2026-02-04T00:00:00"/>
    <x v="13"/>
  </r>
  <r>
    <s v="Job0280"/>
    <s v="Data Engineer"/>
    <s v="Cognizant"/>
    <s v="Hyderabad"/>
    <s v="0-2 Years"/>
    <n v="555000"/>
    <n v="5.55"/>
    <s v="Contract"/>
    <s v="On-Site"/>
    <d v="2026-01-08T00:00:00"/>
    <x v="11"/>
  </r>
  <r>
    <s v="Job0280"/>
    <s v="Data Engineer"/>
    <s v="Cognizant"/>
    <s v="Hyderabad"/>
    <s v="0-2 Years"/>
    <n v="555000"/>
    <n v="5.55"/>
    <s v="Contract"/>
    <s v="On-Site"/>
    <d v="2026-01-08T00:00:00"/>
    <x v="9"/>
  </r>
  <r>
    <s v="Job0280"/>
    <s v="Data Engineer"/>
    <s v="Cognizant"/>
    <s v="Hyderabad"/>
    <s v="0-2 Years"/>
    <n v="555000"/>
    <n v="5.55"/>
    <s v="Contract"/>
    <s v="On-Site"/>
    <d v="2026-01-08T00:00:00"/>
    <x v="8"/>
  </r>
  <r>
    <s v="Job0380"/>
    <s v="Ai Engineer"/>
    <s v="Genpact"/>
    <s v="Gurugram"/>
    <s v="5+ Years"/>
    <n v="4310000"/>
    <n v="43.1"/>
    <s v="Full Time"/>
    <s v="Remote"/>
    <d v="2026-06-02T00:00:00"/>
    <x v="14"/>
  </r>
  <r>
    <s v="Job0380"/>
    <s v="Ai Engineer"/>
    <s v="Genpact"/>
    <s v="Gurugram"/>
    <s v="5+ Years"/>
    <n v="4310000"/>
    <n v="43.1"/>
    <s v="Full Time"/>
    <s v="Remote"/>
    <d v="2026-06-02T00:00:00"/>
    <x v="9"/>
  </r>
  <r>
    <s v="Job0380"/>
    <s v="Ai Engineer"/>
    <s v="Genpact"/>
    <s v="Gurugram"/>
    <s v="5+ Years"/>
    <n v="4310000"/>
    <n v="43.1"/>
    <s v="Full Time"/>
    <s v="Remote"/>
    <d v="2026-06-02T00:00:00"/>
    <x v="13"/>
  </r>
  <r>
    <s v="Job0227"/>
    <s v="Ml Engineer"/>
    <s v="Razorpay"/>
    <s v="Noida"/>
    <s v="0-2 Years"/>
    <n v="665000"/>
    <n v="6.65"/>
    <s v="Full Time"/>
    <s v="Hybrid"/>
    <d v="2026-06-28T00:00:00"/>
    <x v="14"/>
  </r>
  <r>
    <s v="Job0227"/>
    <s v="Ml Engineer"/>
    <s v="Razorpay"/>
    <s v="Noida"/>
    <s v="0-2 Years"/>
    <n v="665000"/>
    <n v="6.65"/>
    <s v="Full Time"/>
    <s v="Hybrid"/>
    <d v="2026-06-28T00:00:00"/>
    <x v="9"/>
  </r>
  <r>
    <s v="Job0227"/>
    <s v="Ml Engineer"/>
    <s v="Razorpay"/>
    <s v="Noida"/>
    <s v="0-2 Years"/>
    <n v="665000"/>
    <n v="6.65"/>
    <s v="Full Time"/>
    <s v="Hybrid"/>
    <d v="2026-06-28T00:00:00"/>
    <x v="12"/>
  </r>
  <r>
    <s v="Job0036"/>
    <s v="Data Engineer"/>
    <s v="Thoughtworks"/>
    <s v="Gurugram"/>
    <s v="1-3 Years"/>
    <n v="895000"/>
    <n v="8.9499999999999993"/>
    <s v="Full Time"/>
    <s v="Hybrid"/>
    <d v="2026-02-27T00:00:00"/>
    <x v="7"/>
  </r>
  <r>
    <s v="Job0036"/>
    <s v="Data Engineer"/>
    <s v="Thoughtworks"/>
    <s v="Gurugram"/>
    <s v="1-3 Years"/>
    <n v="895000"/>
    <n v="8.9499999999999993"/>
    <s v="Full Time"/>
    <s v="Hybrid"/>
    <d v="2026-02-27T00:00:00"/>
    <x v="8"/>
  </r>
  <r>
    <s v="Job0036"/>
    <s v="Data Engineer"/>
    <s v="Thoughtworks"/>
    <s v="Gurugram"/>
    <s v="1-3 Years"/>
    <n v="895000"/>
    <n v="8.9499999999999993"/>
    <s v="Full Time"/>
    <s v="Hybrid"/>
    <d v="2026-02-27T00:00:00"/>
    <x v="13"/>
  </r>
  <r>
    <s v="Job0284"/>
    <s v="Ml Engineer"/>
    <s v="Cred"/>
    <s v="Kolkata"/>
    <s v="3-5 Years"/>
    <n v="1700000"/>
    <n v="17"/>
    <s v="Full Time"/>
    <s v="On-Site"/>
    <d v="2026-06-15T00:00:00"/>
    <x v="11"/>
  </r>
  <r>
    <s v="Job0284"/>
    <s v="Ml Engineer"/>
    <s v="Cred"/>
    <s v="Kolkata"/>
    <s v="3-5 Years"/>
    <n v="1700000"/>
    <n v="17"/>
    <s v="Full Time"/>
    <s v="On-Site"/>
    <d v="2026-06-15T00:00:00"/>
    <x v="3"/>
  </r>
  <r>
    <s v="Job0284"/>
    <s v="Ml Engineer"/>
    <s v="Cred"/>
    <s v="Kolkata"/>
    <s v="3-5 Years"/>
    <n v="1700000"/>
    <n v="17"/>
    <s v="Full Time"/>
    <s v="On-Site"/>
    <d v="2026-06-15T00:00:00"/>
    <x v="14"/>
  </r>
  <r>
    <s v="Job0419"/>
    <s v="Ml Engineer"/>
    <s v="American Express India"/>
    <s v="Pune"/>
    <s v="5+ Years"/>
    <n v="4350000"/>
    <n v="43.5"/>
    <s v="Full Time"/>
    <s v="Hybrid"/>
    <d v="2026-06-06T00:00:00"/>
    <x v="0"/>
  </r>
  <r>
    <s v="Job0419"/>
    <s v="Ml Engineer"/>
    <s v="American Express India"/>
    <s v="Pune"/>
    <s v="5+ Years"/>
    <n v="4350000"/>
    <n v="43.5"/>
    <s v="Full Time"/>
    <s v="Hybrid"/>
    <d v="2026-06-06T00:00:00"/>
    <x v="13"/>
  </r>
  <r>
    <s v="Job0419"/>
    <s v="Ml Engineer"/>
    <s v="American Express India"/>
    <s v="Pune"/>
    <s v="5+ Years"/>
    <n v="4350000"/>
    <n v="43.5"/>
    <s v="Full Time"/>
    <s v="Hybrid"/>
    <d v="2026-06-06T00:00:00"/>
    <x v="7"/>
  </r>
  <r>
    <s v="Job0460"/>
    <s v="Ai Engineer"/>
    <s v="Pwc India"/>
    <s v="Kolkata"/>
    <s v="0-2 Years"/>
    <n v="625000"/>
    <n v="6.25"/>
    <s v="Full Time"/>
    <s v="On-Site"/>
    <d v="2026-01-14T00:00:00"/>
    <x v="2"/>
  </r>
  <r>
    <s v="Job0460"/>
    <s v="Ai Engineer"/>
    <s v="Pwc India"/>
    <s v="Kolkata"/>
    <s v="0-2 Years"/>
    <n v="625000"/>
    <n v="6.25"/>
    <s v="Full Time"/>
    <s v="On-Site"/>
    <d v="2026-01-14T00:00:00"/>
    <x v="3"/>
  </r>
  <r>
    <s v="Job0460"/>
    <s v="Ai Engineer"/>
    <s v="Pwc India"/>
    <s v="Kolkata"/>
    <s v="0-2 Years"/>
    <n v="625000"/>
    <n v="6.25"/>
    <s v="Full Time"/>
    <s v="On-Site"/>
    <d v="2026-01-14T00:00:00"/>
    <x v="14"/>
  </r>
  <r>
    <s v="Job0078"/>
    <s v="Data Engineer"/>
    <s v="Nagarro"/>
    <s v="Kolkata"/>
    <s v="1-3 Years"/>
    <n v="640000"/>
    <n v="6.4"/>
    <s v="Full Time"/>
    <s v="Hybrid"/>
    <d v="2026-02-10T00:00:00"/>
    <x v="5"/>
  </r>
  <r>
    <s v="Job0078"/>
    <s v="Data Engineer"/>
    <s v="Nagarro"/>
    <s v="Kolkata"/>
    <s v="1-3 Years"/>
    <n v="640000"/>
    <n v="6.4"/>
    <s v="Full Time"/>
    <s v="Hybrid"/>
    <d v="2026-02-10T00:00:00"/>
    <x v="8"/>
  </r>
  <r>
    <s v="Job0078"/>
    <s v="Data Engineer"/>
    <s v="Nagarro"/>
    <s v="Kolkata"/>
    <s v="1-3 Years"/>
    <n v="640000"/>
    <n v="6.4"/>
    <s v="Full Time"/>
    <s v="Hybrid"/>
    <d v="2026-02-10T00:00:00"/>
    <x v="1"/>
  </r>
  <r>
    <s v="Job0083"/>
    <s v="Ai Engineer"/>
    <s v="Meesho"/>
    <s v="Ahmedabad"/>
    <s v="2-5 Years"/>
    <n v="1630000"/>
    <n v="16.3"/>
    <s v="Full Time"/>
    <s v="On-Site"/>
    <d v="2026-01-20T00:00:00"/>
    <x v="7"/>
  </r>
  <r>
    <s v="Job0083"/>
    <s v="Ai Engineer"/>
    <s v="Meesho"/>
    <s v="Ahmedabad"/>
    <s v="2-5 Years"/>
    <n v="1630000"/>
    <n v="16.3"/>
    <s v="Full Time"/>
    <s v="On-Site"/>
    <d v="2026-01-20T00:00:00"/>
    <x v="14"/>
  </r>
  <r>
    <s v="Job0083"/>
    <s v="Ai Engineer"/>
    <s v="Meesho"/>
    <s v="Ahmedabad"/>
    <s v="2-5 Years"/>
    <n v="1630000"/>
    <n v="16.3"/>
    <s v="Full Time"/>
    <s v="On-Site"/>
    <d v="2026-01-20T00:00:00"/>
    <x v="1"/>
  </r>
  <r>
    <s v="Job0355"/>
    <s v="Ml Engineer"/>
    <s v="Urban Company"/>
    <s v="Noida"/>
    <s v="5+ Years"/>
    <n v="2660000"/>
    <n v="26.6"/>
    <s v="Full Time"/>
    <s v="Hybrid"/>
    <d v="2026-05-24T00:00:00"/>
    <x v="4"/>
  </r>
  <r>
    <s v="Job0355"/>
    <s v="Ml Engineer"/>
    <s v="Urban Company"/>
    <s v="Noida"/>
    <s v="5+ Years"/>
    <n v="2660000"/>
    <n v="26.6"/>
    <s v="Full Time"/>
    <s v="Hybrid"/>
    <d v="2026-05-24T00:00:00"/>
    <x v="3"/>
  </r>
  <r>
    <s v="Job0355"/>
    <s v="Ml Engineer"/>
    <s v="Urban Company"/>
    <s v="Noida"/>
    <s v="5+ Years"/>
    <n v="2660000"/>
    <n v="26.6"/>
    <s v="Full Time"/>
    <s v="Hybrid"/>
    <d v="2026-05-24T00:00:00"/>
    <x v="6"/>
  </r>
  <r>
    <s v="Job0225"/>
    <s v="Ai Engineer"/>
    <s v="Capgemini"/>
    <s v="Pune"/>
    <s v="0-2 Years"/>
    <n v="630000"/>
    <n v="6.3"/>
    <s v="Contract"/>
    <s v="Remote"/>
    <d v="2026-01-01T00:00:00"/>
    <x v="9"/>
  </r>
  <r>
    <s v="Job0225"/>
    <s v="Ai Engineer"/>
    <s v="Capgemini"/>
    <s v="Pune"/>
    <s v="0-2 Years"/>
    <n v="630000"/>
    <n v="6.3"/>
    <s v="Contract"/>
    <s v="Remote"/>
    <d v="2026-01-01T00:00:00"/>
    <x v="1"/>
  </r>
  <r>
    <s v="Job0225"/>
    <s v="Ai Engineer"/>
    <s v="Capgemini"/>
    <s v="Pune"/>
    <s v="0-2 Years"/>
    <n v="630000"/>
    <n v="6.3"/>
    <s v="Contract"/>
    <s v="Remote"/>
    <d v="2026-01-01T00:00:00"/>
    <x v="11"/>
  </r>
  <r>
    <s v="Job0420"/>
    <s v="Data Engineer"/>
    <s v="Reliance Jio"/>
    <s v="Hyderabad"/>
    <s v="0-2 Years"/>
    <n v="475000"/>
    <n v="4.75"/>
    <s v="Internship"/>
    <s v="Hybrid"/>
    <d v="2026-08-09T00:00:00"/>
    <x v="5"/>
  </r>
  <r>
    <s v="Job0420"/>
    <s v="Data Engineer"/>
    <s v="Reliance Jio"/>
    <s v="Hyderabad"/>
    <s v="0-2 Years"/>
    <n v="475000"/>
    <n v="4.75"/>
    <s v="Internship"/>
    <s v="Hybrid"/>
    <d v="2026-08-09T00:00:00"/>
    <x v="12"/>
  </r>
  <r>
    <s v="Job0420"/>
    <s v="Data Engineer"/>
    <s v="Reliance Jio"/>
    <s v="Hyderabad"/>
    <s v="0-2 Years"/>
    <n v="475000"/>
    <n v="4.75"/>
    <s v="Internship"/>
    <s v="Hybrid"/>
    <d v="2026-08-09T00:00:00"/>
    <x v="9"/>
  </r>
  <r>
    <s v="Job0373"/>
    <s v="Machine Learning Scientist"/>
    <s v="Amazon India"/>
    <s v="Chennai"/>
    <s v="5+ Years"/>
    <n v="4090000"/>
    <n v="40.9"/>
    <s v="Full Time"/>
    <s v="Remote"/>
    <d v="2026-01-25T00:00:00"/>
    <x v="10"/>
  </r>
  <r>
    <s v="Job0373"/>
    <s v="Machine Learning Scientist"/>
    <s v="Amazon India"/>
    <s v="Chennai"/>
    <s v="5+ Years"/>
    <n v="4090000"/>
    <n v="40.9"/>
    <s v="Full Time"/>
    <s v="Remote"/>
    <d v="2026-01-25T00:00:00"/>
    <x v="12"/>
  </r>
  <r>
    <s v="Job0373"/>
    <s v="Machine Learning Scientist"/>
    <s v="Amazon India"/>
    <s v="Chennai"/>
    <s v="5+ Years"/>
    <n v="4090000"/>
    <n v="40.9"/>
    <s v="Full Time"/>
    <s v="Remote"/>
    <d v="2026-01-25T00:00:00"/>
    <x v="6"/>
  </r>
  <r>
    <s v="Job0448"/>
    <s v="Ai/Ml Analyst"/>
    <s v="Fractal Analytics"/>
    <s v="Pune"/>
    <s v="2-5 Years"/>
    <n v="1730000"/>
    <n v="17.3"/>
    <s v="Full Time"/>
    <s v="Hybrid"/>
    <d v="2026-07-14T00:00:00"/>
    <x v="8"/>
  </r>
  <r>
    <s v="Job0448"/>
    <s v="Ai/Ml Analyst"/>
    <s v="Fractal Analytics"/>
    <s v="Pune"/>
    <s v="2-5 Years"/>
    <n v="1730000"/>
    <n v="17.3"/>
    <s v="Full Time"/>
    <s v="Hybrid"/>
    <d v="2026-07-14T00:00:00"/>
    <x v="9"/>
  </r>
  <r>
    <s v="Job0448"/>
    <s v="Ai/Ml Analyst"/>
    <s v="Fractal Analytics"/>
    <s v="Pune"/>
    <s v="2-5 Years"/>
    <n v="1730000"/>
    <n v="17.3"/>
    <s v="Full Time"/>
    <s v="Hybrid"/>
    <d v="2026-07-14T00:00:00"/>
    <x v="2"/>
  </r>
  <r>
    <s v="Job0408"/>
    <s v="Data Engineer"/>
    <s v="Tcs"/>
    <s v="Noida"/>
    <s v="0-2 Years"/>
    <n v="485000"/>
    <n v="4.8499999999999996"/>
    <s v="Full Time"/>
    <s v="Hybrid"/>
    <d v="2026-07-07T00:00:00"/>
    <x v="13"/>
  </r>
  <r>
    <s v="Job0408"/>
    <s v="Data Engineer"/>
    <s v="Tcs"/>
    <s v="Noida"/>
    <s v="0-2 Years"/>
    <n v="485000"/>
    <n v="4.8499999999999996"/>
    <s v="Full Time"/>
    <s v="Hybrid"/>
    <d v="2026-07-07T00:00:00"/>
    <x v="0"/>
  </r>
  <r>
    <s v="Job0408"/>
    <s v="Data Engineer"/>
    <s v="Tcs"/>
    <s v="Noida"/>
    <s v="0-2 Years"/>
    <n v="485000"/>
    <n v="4.8499999999999996"/>
    <s v="Full Time"/>
    <s v="Hybrid"/>
    <d v="2026-07-07T00:00:00"/>
    <x v="8"/>
  </r>
  <r>
    <s v="Job0459"/>
    <s v="Business Analyst"/>
    <s v="Hdfc Bank"/>
    <s v="Ahmedabad"/>
    <s v="2-5 Years"/>
    <n v="1190000"/>
    <n v="11.9"/>
    <s v="Full Time"/>
    <s v="Remote"/>
    <d v="2026-08-23T00:00:00"/>
    <x v="5"/>
  </r>
  <r>
    <s v="Job0459"/>
    <s v="Business Analyst"/>
    <s v="Hdfc Bank"/>
    <s v="Ahmedabad"/>
    <s v="2-5 Years"/>
    <n v="1190000"/>
    <n v="11.9"/>
    <s v="Full Time"/>
    <s v="Remote"/>
    <d v="2026-08-23T00:00:00"/>
    <x v="8"/>
  </r>
  <r>
    <s v="Job0459"/>
    <s v="Business Analyst"/>
    <s v="Hdfc Bank"/>
    <s v="Ahmedabad"/>
    <s v="2-5 Years"/>
    <n v="1190000"/>
    <n v="11.9"/>
    <s v="Full Time"/>
    <s v="Remote"/>
    <d v="2026-08-23T00:00:00"/>
    <x v="10"/>
  </r>
  <r>
    <s v="Job0392"/>
    <s v="Ai Engineer"/>
    <s v="Pwc India"/>
    <s v="Hyderabad"/>
    <s v="1-3 Years"/>
    <n v="800000"/>
    <n v="8"/>
    <s v="Full Time"/>
    <s v="Hybrid"/>
    <d v="2026-01-16T00:00:00"/>
    <x v="4"/>
  </r>
  <r>
    <s v="Job0392"/>
    <s v="Ai Engineer"/>
    <s v="Pwc India"/>
    <s v="Hyderabad"/>
    <s v="1-3 Years"/>
    <n v="800000"/>
    <n v="8"/>
    <s v="Full Time"/>
    <s v="Hybrid"/>
    <d v="2026-01-16T00:00:00"/>
    <x v="7"/>
  </r>
  <r>
    <s v="Job0392"/>
    <s v="Ai Engineer"/>
    <s v="Pwc India"/>
    <s v="Hyderabad"/>
    <s v="1-3 Years"/>
    <n v="800000"/>
    <n v="8"/>
    <s v="Full Time"/>
    <s v="Hybrid"/>
    <d v="2026-01-16T00:00:00"/>
    <x v="2"/>
  </r>
  <r>
    <s v="Job0248"/>
    <s v="Machine Learning Scientist"/>
    <s v="Byju'S"/>
    <s v="Mumbai"/>
    <s v="0-2 Years"/>
    <n v="420000"/>
    <n v="4.2"/>
    <s v="Full Time"/>
    <s v="On-Site"/>
    <d v="2026-03-05T00:00:00"/>
    <x v="1"/>
  </r>
  <r>
    <s v="Job0248"/>
    <s v="Machine Learning Scientist"/>
    <s v="Byju'S"/>
    <s v="Mumbai"/>
    <s v="0-2 Years"/>
    <n v="420000"/>
    <n v="4.2"/>
    <s v="Full Time"/>
    <s v="On-Site"/>
    <d v="2026-03-05T00:00:00"/>
    <x v="9"/>
  </r>
  <r>
    <s v="Job0248"/>
    <s v="Machine Learning Scientist"/>
    <s v="Byju'S"/>
    <s v="Mumbai"/>
    <s v="0-2 Years"/>
    <n v="420000"/>
    <n v="4.2"/>
    <s v="Full Time"/>
    <s v="On-Site"/>
    <d v="2026-03-05T00:00:00"/>
    <x v="6"/>
  </r>
  <r>
    <s v="Job0399"/>
    <s v="Data Engineer"/>
    <s v="Deloitte India"/>
    <s v="Pune"/>
    <s v="1-3 Years"/>
    <n v="895000"/>
    <n v="8.9499999999999993"/>
    <s v="Contract"/>
    <s v="On-Site"/>
    <d v="2026-07-23T00:00:00"/>
    <x v="2"/>
  </r>
  <r>
    <s v="Job0399"/>
    <s v="Data Engineer"/>
    <s v="Deloitte India"/>
    <s v="Pune"/>
    <s v="1-3 Years"/>
    <n v="895000"/>
    <n v="8.9499999999999993"/>
    <s v="Contract"/>
    <s v="On-Site"/>
    <d v="2026-07-23T00:00:00"/>
    <x v="3"/>
  </r>
  <r>
    <s v="Job0399"/>
    <s v="Data Engineer"/>
    <s v="Deloitte India"/>
    <s v="Pune"/>
    <s v="1-3 Years"/>
    <n v="895000"/>
    <n v="8.9499999999999993"/>
    <s v="Contract"/>
    <s v="On-Site"/>
    <d v="2026-07-23T00:00:00"/>
    <x v="13"/>
  </r>
  <r>
    <s v="Job0075"/>
    <s v="Product Data Analyst"/>
    <s v="Hsbc India"/>
    <s v="Mumbai"/>
    <s v="2-5 Years"/>
    <n v="1650000"/>
    <n v="16.5"/>
    <s v="Contract"/>
    <s v="Hybrid"/>
    <d v="2026-03-02T00:00:00"/>
    <x v="0"/>
  </r>
  <r>
    <s v="Job0075"/>
    <s v="Product Data Analyst"/>
    <s v="Hsbc India"/>
    <s v="Mumbai"/>
    <s v="2-5 Years"/>
    <n v="1650000"/>
    <n v="16.5"/>
    <s v="Contract"/>
    <s v="Hybrid"/>
    <d v="2026-03-02T00:00:00"/>
    <x v="8"/>
  </r>
  <r>
    <s v="Job0075"/>
    <s v="Product Data Analyst"/>
    <s v="Hsbc India"/>
    <s v="Mumbai"/>
    <s v="2-5 Years"/>
    <n v="1650000"/>
    <n v="16.5"/>
    <s v="Contract"/>
    <s v="Hybrid"/>
    <d v="2026-03-02T00:00:00"/>
    <x v="1"/>
  </r>
  <r>
    <s v="Job0302"/>
    <s v="Business Analyst"/>
    <s v="Pwc India"/>
    <s v="Ahmedabad"/>
    <s v="0-2 Years"/>
    <n v="675000"/>
    <n v="6.75"/>
    <s v="Full Time"/>
    <s v="Hybrid"/>
    <d v="2026-08-12T00:00:00"/>
    <x v="2"/>
  </r>
  <r>
    <s v="Job0302"/>
    <s v="Business Analyst"/>
    <s v="Pwc India"/>
    <s v="Ahmedabad"/>
    <s v="0-2 Years"/>
    <n v="675000"/>
    <n v="6.75"/>
    <s v="Full Time"/>
    <s v="Hybrid"/>
    <d v="2026-08-12T00:00:00"/>
    <x v="1"/>
  </r>
  <r>
    <s v="Job0302"/>
    <s v="Business Analyst"/>
    <s v="Pwc India"/>
    <s v="Ahmedabad"/>
    <s v="0-2 Years"/>
    <n v="675000"/>
    <n v="6.75"/>
    <s v="Full Time"/>
    <s v="Hybrid"/>
    <d v="2026-08-12T00:00:00"/>
    <x v="0"/>
  </r>
  <r>
    <s v="Job0461"/>
    <s v="Data Analyst"/>
    <s v="Dunzo"/>
    <s v="Delhi"/>
    <s v="0-2 Years"/>
    <n v="740000"/>
    <n v="7.4"/>
    <s v="Contract"/>
    <s v="Hybrid"/>
    <d v="2026-04-22T00:00:00"/>
    <x v="6"/>
  </r>
  <r>
    <s v="Job0461"/>
    <s v="Data Analyst"/>
    <s v="Dunzo"/>
    <s v="Delhi"/>
    <s v="0-2 Years"/>
    <n v="740000"/>
    <n v="7.4"/>
    <s v="Contract"/>
    <s v="Hybrid"/>
    <d v="2026-04-22T00:00:00"/>
    <x v="3"/>
  </r>
  <r>
    <s v="Job0461"/>
    <s v="Data Analyst"/>
    <s v="Dunzo"/>
    <s v="Delhi"/>
    <s v="0-2 Years"/>
    <n v="740000"/>
    <n v="7.4"/>
    <s v="Contract"/>
    <s v="Hybrid"/>
    <d v="2026-04-22T00:00:00"/>
    <x v="10"/>
  </r>
  <r>
    <s v="Job0126"/>
    <s v="Ml Engineer"/>
    <s v="Wipro"/>
    <s v="Delhi"/>
    <s v="0-2 Years"/>
    <n v="505000"/>
    <n v="5.05"/>
    <s v="Full Time"/>
    <s v="Hybrid"/>
    <d v="2026-05-20T00:00:00"/>
    <x v="6"/>
  </r>
  <r>
    <s v="Job0126"/>
    <s v="Ml Engineer"/>
    <s v="Wipro"/>
    <s v="Delhi"/>
    <s v="0-2 Years"/>
    <n v="505000"/>
    <n v="5.05"/>
    <s v="Full Time"/>
    <s v="Hybrid"/>
    <d v="2026-05-20T00:00:00"/>
    <x v="9"/>
  </r>
  <r>
    <s v="Job0126"/>
    <s v="Ml Engineer"/>
    <s v="Wipro"/>
    <s v="Delhi"/>
    <s v="0-2 Years"/>
    <n v="505000"/>
    <n v="5.05"/>
    <s v="Full Time"/>
    <s v="Hybrid"/>
    <d v="2026-05-20T00:00:00"/>
    <x v="4"/>
  </r>
  <r>
    <s v="Job0411"/>
    <s v="Ai/Ml Analyst"/>
    <s v="Meesho"/>
    <s v="Hyderabad"/>
    <s v="1-3 Years"/>
    <n v="545000"/>
    <n v="5.45"/>
    <s v="Full Time"/>
    <s v="Hybrid"/>
    <d v="2026-04-16T00:00:00"/>
    <x v="0"/>
  </r>
  <r>
    <s v="Job0411"/>
    <s v="Ai/Ml Analyst"/>
    <s v="Meesho"/>
    <s v="Hyderabad"/>
    <s v="1-3 Years"/>
    <n v="545000"/>
    <n v="5.45"/>
    <s v="Full Time"/>
    <s v="Hybrid"/>
    <d v="2026-04-16T00:00:00"/>
    <x v="5"/>
  </r>
  <r>
    <s v="Job0411"/>
    <s v="Ai/Ml Analyst"/>
    <s v="Meesho"/>
    <s v="Hyderabad"/>
    <s v="1-3 Years"/>
    <n v="545000"/>
    <n v="5.45"/>
    <s v="Full Time"/>
    <s v="Hybrid"/>
    <d v="2026-04-16T00:00:00"/>
    <x v="7"/>
  </r>
  <r>
    <s v="Job0077"/>
    <s v="Data Analyst"/>
    <s v="Nykaa"/>
    <s v="Delhi"/>
    <s v="2-5 Years"/>
    <n v="1230000"/>
    <n v="12.3"/>
    <s v="Full Time"/>
    <s v="Hybrid"/>
    <d v="2026-06-08T00:00:00"/>
    <x v="0"/>
  </r>
  <r>
    <s v="Job0077"/>
    <s v="Data Analyst"/>
    <s v="Nykaa"/>
    <s v="Delhi"/>
    <s v="2-5 Years"/>
    <n v="1230000"/>
    <n v="12.3"/>
    <s v="Full Time"/>
    <s v="Hybrid"/>
    <d v="2026-06-08T00:00:00"/>
    <x v="5"/>
  </r>
  <r>
    <s v="Job0077"/>
    <s v="Data Analyst"/>
    <s v="Nykaa"/>
    <s v="Delhi"/>
    <s v="2-5 Years"/>
    <n v="1230000"/>
    <n v="12.3"/>
    <s v="Full Time"/>
    <s v="Hybrid"/>
    <d v="2026-06-08T00:00:00"/>
    <x v="10"/>
  </r>
  <r>
    <s v="Job0260"/>
    <s v="Business Analyst"/>
    <s v="Mindtree"/>
    <s v="Mumbai"/>
    <s v="0-2 Years"/>
    <n v="310000"/>
    <n v="3.1"/>
    <s v="Internship"/>
    <s v="On-Site"/>
    <d v="2026-07-07T00:00:00"/>
    <x v="12"/>
  </r>
  <r>
    <s v="Job0260"/>
    <s v="Business Analyst"/>
    <s v="Mindtree"/>
    <s v="Mumbai"/>
    <s v="0-2 Years"/>
    <n v="310000"/>
    <n v="3.1"/>
    <s v="Internship"/>
    <s v="On-Site"/>
    <d v="2026-07-07T00:00:00"/>
    <x v="0"/>
  </r>
  <r>
    <s v="Job0260"/>
    <s v="Business Analyst"/>
    <s v="Mindtree"/>
    <s v="Mumbai"/>
    <s v="0-2 Years"/>
    <n v="310000"/>
    <n v="3.1"/>
    <s v="Internship"/>
    <s v="On-Site"/>
    <d v="2026-07-07T00:00:00"/>
    <x v="10"/>
  </r>
  <r>
    <s v="Job0403"/>
    <s v="Bi Analyst"/>
    <s v="Larsen &amp; Toubro"/>
    <s v="Delhi"/>
    <s v="5+ Years"/>
    <n v="2300000"/>
    <n v="23"/>
    <s v="Full Time"/>
    <s v="Hybrid"/>
    <d v="2026-01-01T00:00:00"/>
    <x v="2"/>
  </r>
  <r>
    <s v="Job0403"/>
    <s v="Bi Analyst"/>
    <s v="Larsen &amp; Toubro"/>
    <s v="Delhi"/>
    <s v="5+ Years"/>
    <n v="2300000"/>
    <n v="23"/>
    <s v="Full Time"/>
    <s v="Hybrid"/>
    <d v="2026-01-01T00:00:00"/>
    <x v="3"/>
  </r>
  <r>
    <s v="Job0403"/>
    <s v="Bi Analyst"/>
    <s v="Larsen &amp; Toubro"/>
    <s v="Delhi"/>
    <s v="5+ Years"/>
    <n v="2300000"/>
    <n v="23"/>
    <s v="Full Time"/>
    <s v="Hybrid"/>
    <d v="2026-01-01T00:00:00"/>
    <x v="8"/>
  </r>
  <r>
    <s v="Job0438"/>
    <s v="Product Data Analyst"/>
    <s v="Meesho"/>
    <s v="Mumbai"/>
    <s v="3-5 Years"/>
    <n v="1870000"/>
    <n v="18.7"/>
    <s v="Full Time"/>
    <s v="On-Site"/>
    <d v="2026-06-07T00:00:00"/>
    <x v="8"/>
  </r>
  <r>
    <s v="Job0438"/>
    <s v="Product Data Analyst"/>
    <s v="Meesho"/>
    <s v="Mumbai"/>
    <s v="3-5 Years"/>
    <n v="1870000"/>
    <n v="18.7"/>
    <s v="Full Time"/>
    <s v="On-Site"/>
    <d v="2026-06-07T00:00:00"/>
    <x v="10"/>
  </r>
  <r>
    <s v="Job0438"/>
    <s v="Product Data Analyst"/>
    <s v="Meesho"/>
    <s v="Mumbai"/>
    <s v="3-5 Years"/>
    <n v="1870000"/>
    <n v="18.7"/>
    <s v="Full Time"/>
    <s v="On-Site"/>
    <d v="2026-06-07T00:00:00"/>
    <x v="2"/>
  </r>
  <r>
    <s v="Job0412"/>
    <s v="Bi Analyst"/>
    <s v="Samsung R&amp;D Institute India"/>
    <s v="Delhi"/>
    <s v="1-3 Years"/>
    <n v="690000"/>
    <n v="6.9"/>
    <s v="Full Time"/>
    <s v="Remote"/>
    <d v="2026-01-12T00:00:00"/>
    <x v="13"/>
  </r>
  <r>
    <s v="Job0412"/>
    <s v="Bi Analyst"/>
    <s v="Samsung R&amp;D Institute India"/>
    <s v="Delhi"/>
    <s v="1-3 Years"/>
    <n v="690000"/>
    <n v="6.9"/>
    <s v="Full Time"/>
    <s v="Remote"/>
    <d v="2026-01-12T00:00:00"/>
    <x v="0"/>
  </r>
  <r>
    <s v="Job0412"/>
    <s v="Bi Analyst"/>
    <s v="Samsung R&amp;D Institute India"/>
    <s v="Delhi"/>
    <s v="1-3 Years"/>
    <n v="690000"/>
    <n v="6.9"/>
    <s v="Full Time"/>
    <s v="Remote"/>
    <d v="2026-01-12T00:00:00"/>
    <x v="2"/>
  </r>
  <r>
    <s v="Job0317"/>
    <s v="Ml Engineer"/>
    <s v="Hdfc Bank"/>
    <s v="Bangalore"/>
    <s v="1-3 Years"/>
    <n v="750000"/>
    <n v="7.5"/>
    <s v="Full Time"/>
    <s v="On-Site"/>
    <d v="2026-06-09T00:00:00"/>
    <x v="1"/>
  </r>
  <r>
    <s v="Job0317"/>
    <s v="Ml Engineer"/>
    <s v="Hdfc Bank"/>
    <s v="Bangalore"/>
    <s v="1-3 Years"/>
    <n v="750000"/>
    <n v="7.5"/>
    <s v="Full Time"/>
    <s v="On-Site"/>
    <d v="2026-06-09T00:00:00"/>
    <x v="3"/>
  </r>
  <r>
    <s v="Job0317"/>
    <s v="Ml Engineer"/>
    <s v="Hdfc Bank"/>
    <s v="Bangalore"/>
    <s v="1-3 Years"/>
    <n v="750000"/>
    <n v="7.5"/>
    <s v="Full Time"/>
    <s v="On-Site"/>
    <d v="2026-06-09T00:00:00"/>
    <x v="8"/>
  </r>
  <r>
    <s v="Job0226"/>
    <s v="Bi Analyst"/>
    <s v="Swiggy"/>
    <s v="Bangalore"/>
    <s v="0-2 Years"/>
    <n v="280000"/>
    <n v="2.8"/>
    <s v="Internship"/>
    <s v="Hybrid"/>
    <d v="2026-06-10T00:00:00"/>
    <x v="0"/>
  </r>
  <r>
    <s v="Job0226"/>
    <s v="Bi Analyst"/>
    <s v="Swiggy"/>
    <s v="Bangalore"/>
    <s v="0-2 Years"/>
    <n v="280000"/>
    <n v="2.8"/>
    <s v="Internship"/>
    <s v="Hybrid"/>
    <d v="2026-06-10T00:00:00"/>
    <x v="12"/>
  </r>
  <r>
    <s v="Job0226"/>
    <s v="Bi Analyst"/>
    <s v="Swiggy"/>
    <s v="Bangalore"/>
    <s v="0-2 Years"/>
    <n v="280000"/>
    <n v="2.8"/>
    <s v="Internship"/>
    <s v="Hybrid"/>
    <d v="2026-06-10T00:00:00"/>
    <x v="2"/>
  </r>
  <r>
    <s v="Job0449"/>
    <s v="Ml Engineer"/>
    <s v="Zomato"/>
    <s v="Delhi"/>
    <s v="1-3 Years"/>
    <n v="615000"/>
    <n v="6.15"/>
    <s v="Full Time"/>
    <s v="Hybrid"/>
    <d v="2026-01-04T00:00:00"/>
    <x v="6"/>
  </r>
  <r>
    <s v="Job0449"/>
    <s v="Ml Engineer"/>
    <s v="Zomato"/>
    <s v="Delhi"/>
    <s v="1-3 Years"/>
    <n v="615000"/>
    <n v="6.15"/>
    <s v="Full Time"/>
    <s v="Hybrid"/>
    <d v="2026-01-04T00:00:00"/>
    <x v="10"/>
  </r>
  <r>
    <s v="Job0449"/>
    <s v="Ml Engineer"/>
    <s v="Zomato"/>
    <s v="Delhi"/>
    <s v="1-3 Years"/>
    <n v="615000"/>
    <n v="6.15"/>
    <s v="Full Time"/>
    <s v="Hybrid"/>
    <d v="2026-01-04T00:00:00"/>
    <x v="9"/>
  </r>
  <r>
    <s v="Job0181"/>
    <s v="Bi Analyst"/>
    <s v="Accenture India"/>
    <s v="Mumbai"/>
    <s v="1-3 Years"/>
    <n v="985000"/>
    <n v="9.85"/>
    <s v="Full Time"/>
    <s v="Hybrid"/>
    <d v="2026-08-28T00:00:00"/>
    <x v="5"/>
  </r>
  <r>
    <s v="Job0181"/>
    <s v="Bi Analyst"/>
    <s v="Accenture India"/>
    <s v="Mumbai"/>
    <s v="1-3 Years"/>
    <n v="985000"/>
    <n v="9.85"/>
    <s v="Full Time"/>
    <s v="Hybrid"/>
    <d v="2026-08-28T00:00:00"/>
    <x v="12"/>
  </r>
  <r>
    <s v="Job0181"/>
    <s v="Bi Analyst"/>
    <s v="Accenture India"/>
    <s v="Mumbai"/>
    <s v="1-3 Years"/>
    <n v="985000"/>
    <n v="9.85"/>
    <s v="Full Time"/>
    <s v="Hybrid"/>
    <d v="2026-08-28T00:00:00"/>
    <x v="10"/>
  </r>
  <r>
    <s v="Job0045"/>
    <s v="Product Data Analyst"/>
    <s v="Hcltech"/>
    <s v="Mumbai"/>
    <s v="3-5 Years"/>
    <n v="1165000"/>
    <n v="11.65"/>
    <s v="Full Time"/>
    <s v="Remote"/>
    <d v="2026-03-13T00:00:00"/>
    <x v="10"/>
  </r>
  <r>
    <s v="Job0045"/>
    <s v="Product Data Analyst"/>
    <s v="Hcltech"/>
    <s v="Mumbai"/>
    <s v="3-5 Years"/>
    <n v="1165000"/>
    <n v="11.65"/>
    <s v="Full Time"/>
    <s v="Remote"/>
    <d v="2026-03-13T00:00:00"/>
    <x v="1"/>
  </r>
  <r>
    <s v="Job0045"/>
    <s v="Product Data Analyst"/>
    <s v="Hcltech"/>
    <s v="Mumbai"/>
    <s v="3-5 Years"/>
    <n v="1165000"/>
    <n v="11.65"/>
    <s v="Full Time"/>
    <s v="Remote"/>
    <d v="2026-03-13T00:00:00"/>
    <x v="12"/>
  </r>
  <r>
    <s v="Job0479"/>
    <s v="Ai Engineer"/>
    <s v="Zoho"/>
    <s v="Bangalore"/>
    <s v="0-2 Years"/>
    <n v="475000"/>
    <n v="4.75"/>
    <s v="Full Time"/>
    <s v="Hybrid"/>
    <d v="2026-02-15T00:00:00"/>
    <x v="10"/>
  </r>
  <r>
    <s v="Job0479"/>
    <s v="Ai Engineer"/>
    <s v="Zoho"/>
    <s v="Bangalore"/>
    <s v="0-2 Years"/>
    <n v="475000"/>
    <n v="4.75"/>
    <s v="Full Time"/>
    <s v="Hybrid"/>
    <d v="2026-02-15T00:00:00"/>
    <x v="11"/>
  </r>
  <r>
    <s v="Job0479"/>
    <s v="Ai Engineer"/>
    <s v="Zoho"/>
    <s v="Bangalore"/>
    <s v="0-2 Years"/>
    <n v="475000"/>
    <n v="4.75"/>
    <s v="Full Time"/>
    <s v="Hybrid"/>
    <d v="2026-02-15T00:00:00"/>
    <x v="5"/>
  </r>
  <r>
    <s v="Job0124"/>
    <s v="Machine Learning Scientist"/>
    <s v="Urban Company"/>
    <s v="Pune"/>
    <s v="5+ Years"/>
    <n v="3270000"/>
    <n v="32.700000000000003"/>
    <s v="Full Time"/>
    <s v="Hybrid"/>
    <d v="2026-06-21T00:00:00"/>
    <x v="12"/>
  </r>
  <r>
    <s v="Job0124"/>
    <s v="Machine Learning Scientist"/>
    <s v="Urban Company"/>
    <s v="Pune"/>
    <s v="5+ Years"/>
    <n v="3270000"/>
    <n v="32.700000000000003"/>
    <s v="Full Time"/>
    <s v="Hybrid"/>
    <d v="2026-06-21T00:00:00"/>
    <x v="3"/>
  </r>
  <r>
    <s v="Job0124"/>
    <s v="Machine Learning Scientist"/>
    <s v="Urban Company"/>
    <s v="Pune"/>
    <s v="5+ Years"/>
    <n v="3270000"/>
    <n v="32.700000000000003"/>
    <s v="Full Time"/>
    <s v="Hybrid"/>
    <d v="2026-06-21T00:00:00"/>
    <x v="6"/>
  </r>
  <r>
    <s v="Job0269"/>
    <s v="Bi Analyst"/>
    <s v="Pwc India"/>
    <s v="Chennai"/>
    <s v="5+ Years"/>
    <n v="2995000"/>
    <n v="29.95"/>
    <s v="Full Time"/>
    <s v="Hybrid"/>
    <d v="2026-05-06T00:00:00"/>
    <x v="0"/>
  </r>
  <r>
    <s v="Job0269"/>
    <s v="Bi Analyst"/>
    <s v="Pwc India"/>
    <s v="Chennai"/>
    <s v="5+ Years"/>
    <n v="2995000"/>
    <n v="29.95"/>
    <s v="Full Time"/>
    <s v="Hybrid"/>
    <d v="2026-05-06T00:00:00"/>
    <x v="2"/>
  </r>
  <r>
    <s v="Job0269"/>
    <s v="Bi Analyst"/>
    <s v="Pwc India"/>
    <s v="Chennai"/>
    <s v="5+ Years"/>
    <n v="2995000"/>
    <n v="29.95"/>
    <s v="Full Time"/>
    <s v="Hybrid"/>
    <d v="2026-05-06T00:00:00"/>
    <x v="8"/>
  </r>
  <r>
    <s v="Job0092"/>
    <s v="Machine Learning Scientist"/>
    <s v="Publicis Sapient"/>
    <s v="Hyderabad"/>
    <s v="5+ Years"/>
    <n v="1725000"/>
    <n v="17.25"/>
    <s v="Contract"/>
    <s v="On-Site"/>
    <d v="2026-04-20T00:00:00"/>
    <x v="9"/>
  </r>
  <r>
    <s v="Job0092"/>
    <s v="Machine Learning Scientist"/>
    <s v="Publicis Sapient"/>
    <s v="Hyderabad"/>
    <s v="5+ Years"/>
    <n v="1725000"/>
    <n v="17.25"/>
    <s v="Contract"/>
    <s v="On-Site"/>
    <d v="2026-04-20T00:00:00"/>
    <x v="8"/>
  </r>
  <r>
    <s v="Job0092"/>
    <s v="Machine Learning Scientist"/>
    <s v="Publicis Sapient"/>
    <s v="Hyderabad"/>
    <s v="5+ Years"/>
    <n v="1725000"/>
    <n v="17.25"/>
    <s v="Contract"/>
    <s v="On-Site"/>
    <d v="2026-04-20T00:00:00"/>
    <x v="7"/>
  </r>
  <r>
    <s v="Job0375"/>
    <s v="Product Data Analyst"/>
    <s v="Urban Company"/>
    <s v="Bangalore"/>
    <s v="2-5 Years"/>
    <n v="1155000"/>
    <n v="11.55"/>
    <s v="Full Time"/>
    <s v="Hybrid"/>
    <d v="2026-02-07T00:00:00"/>
    <x v="8"/>
  </r>
  <r>
    <s v="Job0375"/>
    <s v="Product Data Analyst"/>
    <s v="Urban Company"/>
    <s v="Bangalore"/>
    <s v="2-5 Years"/>
    <n v="1155000"/>
    <n v="11.55"/>
    <s v="Full Time"/>
    <s v="Hybrid"/>
    <d v="2026-02-07T00:00:00"/>
    <x v="12"/>
  </r>
  <r>
    <s v="Job0375"/>
    <s v="Product Data Analyst"/>
    <s v="Urban Company"/>
    <s v="Bangalore"/>
    <s v="2-5 Years"/>
    <n v="1155000"/>
    <n v="11.55"/>
    <s v="Full Time"/>
    <s v="Hybrid"/>
    <d v="2026-02-07T00:00:00"/>
    <x v="10"/>
  </r>
  <r>
    <s v="Job0249"/>
    <s v="Ai Engineer"/>
    <s v="Hsbc India"/>
    <s v="Ahmedabad"/>
    <s v="0-2 Years"/>
    <n v="655000"/>
    <n v="6.55"/>
    <s v="Full Time"/>
    <s v="On-Site"/>
    <d v="2026-01-25T00:00:00"/>
    <x v="11"/>
  </r>
  <r>
    <s v="Job0249"/>
    <s v="Ai Engineer"/>
    <s v="Hsbc India"/>
    <s v="Ahmedabad"/>
    <s v="0-2 Years"/>
    <n v="655000"/>
    <n v="6.55"/>
    <s v="Full Time"/>
    <s v="On-Site"/>
    <d v="2026-01-25T00:00:00"/>
    <x v="7"/>
  </r>
  <r>
    <s v="Job0249"/>
    <s v="Ai Engineer"/>
    <s v="Hsbc India"/>
    <s v="Ahmedabad"/>
    <s v="0-2 Years"/>
    <n v="655000"/>
    <n v="6.55"/>
    <s v="Full Time"/>
    <s v="On-Site"/>
    <d v="2026-01-25T00:00:00"/>
    <x v="14"/>
  </r>
  <r>
    <s v="Job0276"/>
    <s v="Machine Learning Scientist"/>
    <s v="Genpact"/>
    <s v="Pune"/>
    <s v="1-3 Years"/>
    <n v="665000"/>
    <n v="6.65"/>
    <s v="Full Time"/>
    <s v="Hybrid"/>
    <d v="2026-07-10T00:00:00"/>
    <x v="6"/>
  </r>
  <r>
    <s v="Job0276"/>
    <s v="Machine Learning Scientist"/>
    <s v="Genpact"/>
    <s v="Pune"/>
    <s v="1-3 Years"/>
    <n v="665000"/>
    <n v="6.65"/>
    <s v="Full Time"/>
    <s v="Hybrid"/>
    <d v="2026-07-10T00:00:00"/>
    <x v="3"/>
  </r>
  <r>
    <s v="Job0276"/>
    <s v="Machine Learning Scientist"/>
    <s v="Genpact"/>
    <s v="Pune"/>
    <s v="1-3 Years"/>
    <n v="665000"/>
    <n v="6.65"/>
    <s v="Full Time"/>
    <s v="Hybrid"/>
    <d v="2026-07-10T00:00:00"/>
    <x v="9"/>
  </r>
  <r>
    <s v="Job0237"/>
    <s v="Business Analyst"/>
    <s v="Tcs"/>
    <s v="Bangalore"/>
    <s v="3-5 Years"/>
    <n v="2145000"/>
    <n v="21.45"/>
    <s v="Full Time"/>
    <s v="On-Site"/>
    <d v="2026-07-17T00:00:00"/>
    <x v="5"/>
  </r>
  <r>
    <s v="Job0237"/>
    <s v="Business Analyst"/>
    <s v="Tcs"/>
    <s v="Bangalore"/>
    <s v="3-5 Years"/>
    <n v="2145000"/>
    <n v="21.45"/>
    <s v="Full Time"/>
    <s v="On-Site"/>
    <d v="2026-07-17T00:00:00"/>
    <x v="10"/>
  </r>
  <r>
    <s v="Job0237"/>
    <s v="Business Analyst"/>
    <s v="Tcs"/>
    <s v="Bangalore"/>
    <s v="3-5 Years"/>
    <n v="2145000"/>
    <n v="21.45"/>
    <s v="Full Time"/>
    <s v="On-Site"/>
    <d v="2026-07-17T00:00:00"/>
    <x v="2"/>
  </r>
  <r>
    <s v="Job0440"/>
    <s v="Data Engineer"/>
    <s v="Reliance Jio"/>
    <s v="Noida"/>
    <s v="0-2 Years"/>
    <n v="500000"/>
    <n v="5"/>
    <s v="Full Time"/>
    <s v="Hybrid"/>
    <d v="2026-03-20T00:00:00"/>
    <x v="5"/>
  </r>
  <r>
    <s v="Job0440"/>
    <s v="Data Engineer"/>
    <s v="Reliance Jio"/>
    <s v="Noida"/>
    <s v="0-2 Years"/>
    <n v="500000"/>
    <n v="5"/>
    <s v="Full Time"/>
    <s v="Hybrid"/>
    <d v="2026-03-20T00:00:00"/>
    <x v="12"/>
  </r>
  <r>
    <s v="Job0440"/>
    <s v="Data Engineer"/>
    <s v="Reliance Jio"/>
    <s v="Noida"/>
    <s v="0-2 Years"/>
    <n v="500000"/>
    <n v="5"/>
    <s v="Full Time"/>
    <s v="Hybrid"/>
    <d v="2026-03-20T00:00:00"/>
    <x v="0"/>
  </r>
  <r>
    <s v="Job0020"/>
    <s v="Ai/Ml Analyst"/>
    <s v="Zs Associates"/>
    <s v="Bangalore"/>
    <s v="0-2 Years"/>
    <n v="375000"/>
    <n v="3.75"/>
    <s v="Internship"/>
    <s v="Hybrid"/>
    <d v="2026-05-11T00:00:00"/>
    <x v="5"/>
  </r>
  <r>
    <s v="Job0020"/>
    <s v="Ai/Ml Analyst"/>
    <s v="Zs Associates"/>
    <s v="Bangalore"/>
    <s v="0-2 Years"/>
    <n v="375000"/>
    <n v="3.75"/>
    <s v="Internship"/>
    <s v="Hybrid"/>
    <d v="2026-05-11T00:00:00"/>
    <x v="14"/>
  </r>
  <r>
    <s v="Job0020"/>
    <s v="Ai/Ml Analyst"/>
    <s v="Zs Associates"/>
    <s v="Bangalore"/>
    <s v="0-2 Years"/>
    <n v="375000"/>
    <n v="3.75"/>
    <s v="Internship"/>
    <s v="Hybrid"/>
    <d v="2026-05-11T00:00:00"/>
    <x v="9"/>
  </r>
  <r>
    <s v="Job0417"/>
    <s v="Product Data Analyst"/>
    <s v="Urban Company"/>
    <s v="Mumbai"/>
    <s v="0-2 Years"/>
    <n v="370000"/>
    <n v="3.7"/>
    <s v="Internship"/>
    <s v="On-Site"/>
    <d v="2026-07-10T00:00:00"/>
    <x v="10"/>
  </r>
  <r>
    <s v="Job0417"/>
    <s v="Product Data Analyst"/>
    <s v="Urban Company"/>
    <s v="Mumbai"/>
    <s v="0-2 Years"/>
    <n v="370000"/>
    <n v="3.7"/>
    <s v="Internship"/>
    <s v="On-Site"/>
    <d v="2026-07-10T00:00:00"/>
    <x v="12"/>
  </r>
  <r>
    <s v="Job0417"/>
    <s v="Product Data Analyst"/>
    <s v="Urban Company"/>
    <s v="Mumbai"/>
    <s v="0-2 Years"/>
    <n v="370000"/>
    <n v="3.7"/>
    <s v="Internship"/>
    <s v="On-Site"/>
    <d v="2026-07-10T00:00:00"/>
    <x v="5"/>
  </r>
  <r>
    <s v="Job0241"/>
    <s v="Bi Analyst"/>
    <s v="Google India"/>
    <s v="Chennai"/>
    <s v="0-2 Years"/>
    <n v="605000"/>
    <n v="6.05"/>
    <s v="Full Time"/>
    <s v="Hybrid"/>
    <d v="2026-08-13T00:00:00"/>
    <x v="12"/>
  </r>
  <r>
    <s v="Job0241"/>
    <s v="Bi Analyst"/>
    <s v="Google India"/>
    <s v="Chennai"/>
    <s v="0-2 Years"/>
    <n v="605000"/>
    <n v="6.05"/>
    <s v="Full Time"/>
    <s v="Hybrid"/>
    <d v="2026-08-13T00:00:00"/>
    <x v="2"/>
  </r>
  <r>
    <s v="Job0241"/>
    <s v="Bi Analyst"/>
    <s v="Google India"/>
    <s v="Chennai"/>
    <s v="0-2 Years"/>
    <n v="605000"/>
    <n v="6.05"/>
    <s v="Full Time"/>
    <s v="Hybrid"/>
    <d v="2026-08-13T00:00:00"/>
    <x v="14"/>
  </r>
  <r>
    <s v="Job0211"/>
    <s v="Business Analyst"/>
    <s v="Flipkart"/>
    <s v="Noida"/>
    <s v="3-5 Years"/>
    <n v="1035000"/>
    <n v="10.35"/>
    <s v="Full Time"/>
    <s v="Remote"/>
    <d v="2026-07-12T00:00:00"/>
    <x v="0"/>
  </r>
  <r>
    <s v="Job0211"/>
    <s v="Business Analyst"/>
    <s v="Flipkart"/>
    <s v="Noida"/>
    <s v="3-5 Years"/>
    <n v="1035000"/>
    <n v="10.35"/>
    <s v="Full Time"/>
    <s v="Remote"/>
    <d v="2026-07-12T00:00:00"/>
    <x v="6"/>
  </r>
  <r>
    <s v="Job0211"/>
    <s v="Business Analyst"/>
    <s v="Flipkart"/>
    <s v="Noida"/>
    <s v="3-5 Years"/>
    <n v="1035000"/>
    <n v="10.35"/>
    <s v="Full Time"/>
    <s v="Remote"/>
    <d v="2026-07-12T00:00:00"/>
    <x v="12"/>
  </r>
  <r>
    <s v="Job0188"/>
    <s v="Data Analyst"/>
    <s v="Urban Company"/>
    <s v="Ahmedabad"/>
    <s v="3-5 Years"/>
    <n v="1015000"/>
    <n v="10.15"/>
    <s v="Full Time"/>
    <s v="Hybrid"/>
    <d v="2026-06-22T00:00:00"/>
    <x v="2"/>
  </r>
  <r>
    <s v="Job0188"/>
    <s v="Data Analyst"/>
    <s v="Urban Company"/>
    <s v="Ahmedabad"/>
    <s v="3-5 Years"/>
    <n v="1015000"/>
    <n v="10.15"/>
    <s v="Full Time"/>
    <s v="Hybrid"/>
    <d v="2026-06-22T00:00:00"/>
    <x v="14"/>
  </r>
  <r>
    <s v="Job0188"/>
    <s v="Data Analyst"/>
    <s v="Urban Company"/>
    <s v="Ahmedabad"/>
    <s v="3-5 Years"/>
    <n v="1015000"/>
    <n v="10.15"/>
    <s v="Full Time"/>
    <s v="Hybrid"/>
    <d v="2026-06-22T00:00:00"/>
    <x v="8"/>
  </r>
  <r>
    <s v="Job0008"/>
    <s v="Machine Learning Scientist"/>
    <s v="Mindtree"/>
    <s v="Chennai"/>
    <s v="1-3 Years"/>
    <n v="650000"/>
    <n v="6.5"/>
    <s v="Full Time"/>
    <s v="Hybrid"/>
    <d v="2026-05-11T00:00:00"/>
    <x v="6"/>
  </r>
  <r>
    <s v="Job0008"/>
    <s v="Machine Learning Scientist"/>
    <s v="Mindtree"/>
    <s v="Chennai"/>
    <s v="1-3 Years"/>
    <n v="650000"/>
    <n v="6.5"/>
    <s v="Full Time"/>
    <s v="Hybrid"/>
    <d v="2026-05-11T00:00:00"/>
    <x v="3"/>
  </r>
  <r>
    <s v="Job0008"/>
    <s v="Machine Learning Scientist"/>
    <s v="Mindtree"/>
    <s v="Chennai"/>
    <s v="1-3 Years"/>
    <n v="650000"/>
    <n v="6.5"/>
    <s v="Full Time"/>
    <s v="Hybrid"/>
    <d v="2026-05-11T00:00:00"/>
    <x v="5"/>
  </r>
  <r>
    <s v="Job0099"/>
    <s v="Data Scientist"/>
    <s v="Policybazaar"/>
    <s v="Kolkata"/>
    <s v="1-3 Years"/>
    <n v="985000"/>
    <n v="9.85"/>
    <s v="Contract"/>
    <s v="On-Site"/>
    <d v="2026-05-23T00:00:00"/>
    <x v="13"/>
  </r>
  <r>
    <s v="Job0099"/>
    <s v="Data Scientist"/>
    <s v="Policybazaar"/>
    <s v="Kolkata"/>
    <s v="1-3 Years"/>
    <n v="985000"/>
    <n v="9.85"/>
    <s v="Contract"/>
    <s v="On-Site"/>
    <d v="2026-05-23T00:00:00"/>
    <x v="7"/>
  </r>
  <r>
    <s v="Job0099"/>
    <s v="Data Scientist"/>
    <s v="Policybazaar"/>
    <s v="Kolkata"/>
    <s v="1-3 Years"/>
    <n v="985000"/>
    <n v="9.85"/>
    <s v="Contract"/>
    <s v="On-Site"/>
    <d v="2026-05-23T00:00:00"/>
    <x v="11"/>
  </r>
  <r>
    <s v="Job0132"/>
    <s v="Bi Analyst"/>
    <s v="Samsung R&amp;D Institute India"/>
    <s v="Ahmedabad"/>
    <s v="1-3 Years"/>
    <n v="1070000"/>
    <n v="10.7"/>
    <s v="Full Time"/>
    <s v="Hybrid"/>
    <d v="2026-04-03T00:00:00"/>
    <x v="10"/>
  </r>
  <r>
    <s v="Job0132"/>
    <s v="Bi Analyst"/>
    <s v="Samsung R&amp;D Institute India"/>
    <s v="Ahmedabad"/>
    <s v="1-3 Years"/>
    <n v="1070000"/>
    <n v="10.7"/>
    <s v="Full Time"/>
    <s v="Hybrid"/>
    <d v="2026-04-03T00:00:00"/>
    <x v="8"/>
  </r>
  <r>
    <s v="Job0132"/>
    <s v="Bi Analyst"/>
    <s v="Samsung R&amp;D Institute India"/>
    <s v="Ahmedabad"/>
    <s v="1-3 Years"/>
    <n v="1070000"/>
    <n v="10.7"/>
    <s v="Full Time"/>
    <s v="Hybrid"/>
    <d v="2026-04-03T00:00:00"/>
    <x v="0"/>
  </r>
  <r>
    <s v="Job0270"/>
    <s v="Ml Engineer"/>
    <s v="Pwc India"/>
    <s v="Ahmedabad"/>
    <s v="3-5 Years"/>
    <n v="1220000"/>
    <n v="12.2"/>
    <s v="Contract"/>
    <s v="Hybrid"/>
    <d v="2026-05-25T00:00:00"/>
    <x v="13"/>
  </r>
  <r>
    <s v="Job0270"/>
    <s v="Ml Engineer"/>
    <s v="Pwc India"/>
    <s v="Ahmedabad"/>
    <s v="3-5 Years"/>
    <n v="1220000"/>
    <n v="12.2"/>
    <s v="Contract"/>
    <s v="Hybrid"/>
    <d v="2026-05-25T00:00:00"/>
    <x v="3"/>
  </r>
  <r>
    <s v="Job0270"/>
    <s v="Ml Engineer"/>
    <s v="Pwc India"/>
    <s v="Ahmedabad"/>
    <s v="3-5 Years"/>
    <n v="1220000"/>
    <n v="12.2"/>
    <s v="Contract"/>
    <s v="Hybrid"/>
    <d v="2026-05-25T00:00:00"/>
    <x v="6"/>
  </r>
  <r>
    <s v="Job0439"/>
    <s v="Product Data Analyst"/>
    <s v="Nagarro"/>
    <s v="Ahmedabad"/>
    <s v="3-5 Years"/>
    <n v="1590000"/>
    <n v="15.9"/>
    <s v="Full Time"/>
    <s v="Hybrid"/>
    <d v="2026-07-08T00:00:00"/>
    <x v="0"/>
  </r>
  <r>
    <s v="Job0439"/>
    <s v="Product Data Analyst"/>
    <s v="Nagarro"/>
    <s v="Ahmedabad"/>
    <s v="3-5 Years"/>
    <n v="1590000"/>
    <n v="15.9"/>
    <s v="Full Time"/>
    <s v="Hybrid"/>
    <d v="2026-07-08T00:00:00"/>
    <x v="12"/>
  </r>
  <r>
    <s v="Job0439"/>
    <s v="Product Data Analyst"/>
    <s v="Nagarro"/>
    <s v="Ahmedabad"/>
    <s v="3-5 Years"/>
    <n v="1590000"/>
    <n v="15.9"/>
    <s v="Full Time"/>
    <s v="Hybrid"/>
    <d v="2026-07-08T00:00:00"/>
    <x v="10"/>
  </r>
  <r>
    <s v="Job0012"/>
    <s v="Ai Engineer"/>
    <s v="Zs Associates"/>
    <s v="Pune"/>
    <s v="0-2 Years"/>
    <n v="770000"/>
    <n v="7.7"/>
    <s v="Contract"/>
    <s v="On-Site"/>
    <d v="2026-05-05T00:00:00"/>
    <x v="14"/>
  </r>
  <r>
    <s v="Job0012"/>
    <s v="Ai Engineer"/>
    <s v="Zs Associates"/>
    <s v="Pune"/>
    <s v="0-2 Years"/>
    <n v="770000"/>
    <n v="7.7"/>
    <s v="Contract"/>
    <s v="On-Site"/>
    <d v="2026-05-05T00:00:00"/>
    <x v="13"/>
  </r>
  <r>
    <s v="Job0012"/>
    <s v="Ai Engineer"/>
    <s v="Zs Associates"/>
    <s v="Pune"/>
    <s v="0-2 Years"/>
    <n v="770000"/>
    <n v="7.7"/>
    <s v="Contract"/>
    <s v="On-Site"/>
    <d v="2026-05-05T00:00:00"/>
    <x v="7"/>
  </r>
  <r>
    <s v="Job0422"/>
    <s v="Business Analyst"/>
    <s v="Hcltech"/>
    <s v="Delhi"/>
    <s v="3-5 Years"/>
    <n v="2155000"/>
    <n v="21.55"/>
    <s v="Full Time"/>
    <s v="On-Site"/>
    <d v="2026-02-08T00:00:00"/>
    <x v="7"/>
  </r>
  <r>
    <s v="Job0422"/>
    <s v="Business Analyst"/>
    <s v="Hcltech"/>
    <s v="Delhi"/>
    <s v="3-5 Years"/>
    <n v="2155000"/>
    <n v="21.55"/>
    <s v="Full Time"/>
    <s v="On-Site"/>
    <d v="2026-02-08T00:00:00"/>
    <x v="8"/>
  </r>
  <r>
    <s v="Job0422"/>
    <s v="Business Analyst"/>
    <s v="Hcltech"/>
    <s v="Delhi"/>
    <s v="3-5 Years"/>
    <n v="2155000"/>
    <n v="21.55"/>
    <s v="Full Time"/>
    <s v="On-Site"/>
    <d v="2026-02-08T00:00:00"/>
    <x v="10"/>
  </r>
  <r>
    <s v="Job0291"/>
    <s v="Bi Analyst"/>
    <s v="Capgemini"/>
    <s v="Bangalore"/>
    <s v="1-3 Years"/>
    <n v="1095000"/>
    <n v="10.95"/>
    <s v="Full Time"/>
    <s v="On-Site"/>
    <d v="2026-08-09T00:00:00"/>
    <x v="1"/>
  </r>
  <r>
    <s v="Job0291"/>
    <s v="Bi Analyst"/>
    <s v="Capgemini"/>
    <s v="Bangalore"/>
    <s v="1-3 Years"/>
    <n v="1095000"/>
    <n v="10.95"/>
    <s v="Full Time"/>
    <s v="On-Site"/>
    <d v="2026-08-09T00:00:00"/>
    <x v="9"/>
  </r>
  <r>
    <s v="Job0291"/>
    <s v="Bi Analyst"/>
    <s v="Capgemini"/>
    <s v="Bangalore"/>
    <s v="1-3 Years"/>
    <n v="1095000"/>
    <n v="10.95"/>
    <s v="Full Time"/>
    <s v="On-Site"/>
    <d v="2026-08-09T00:00:00"/>
    <x v="3"/>
  </r>
  <r>
    <s v="Job0339"/>
    <s v="Machine Learning Scientist"/>
    <s v="Axis Bank"/>
    <s v="Gurugram"/>
    <s v="2-5 Years"/>
    <n v="1575000"/>
    <n v="15.75"/>
    <s v="Full Time"/>
    <s v="Remote"/>
    <d v="2026-03-09T00:00:00"/>
    <x v="1"/>
  </r>
  <r>
    <s v="Job0339"/>
    <s v="Machine Learning Scientist"/>
    <s v="Axis Bank"/>
    <s v="Gurugram"/>
    <s v="2-5 Years"/>
    <n v="1575000"/>
    <n v="15.75"/>
    <s v="Full Time"/>
    <s v="Remote"/>
    <d v="2026-03-09T00:00:00"/>
    <x v="11"/>
  </r>
  <r>
    <s v="Job0339"/>
    <s v="Machine Learning Scientist"/>
    <s v="Axis Bank"/>
    <s v="Gurugram"/>
    <s v="2-5 Years"/>
    <n v="1575000"/>
    <n v="15.75"/>
    <s v="Full Time"/>
    <s v="Remote"/>
    <d v="2026-03-09T00:00:00"/>
    <x v="3"/>
  </r>
  <r>
    <s v="Job0157"/>
    <s v="Machine Learning Scientist"/>
    <s v="Google India"/>
    <s v="Gurugram"/>
    <s v="0-2 Years"/>
    <n v="415000"/>
    <n v="4.1500000000000004"/>
    <s v="Internship"/>
    <s v="Hybrid"/>
    <d v="2026-03-16T00:00:00"/>
    <x v="14"/>
  </r>
  <r>
    <s v="Job0157"/>
    <s v="Machine Learning Scientist"/>
    <s v="Google India"/>
    <s v="Gurugram"/>
    <s v="0-2 Years"/>
    <n v="415000"/>
    <n v="4.1500000000000004"/>
    <s v="Internship"/>
    <s v="Hybrid"/>
    <d v="2026-03-16T00:00:00"/>
    <x v="1"/>
  </r>
  <r>
    <s v="Job0157"/>
    <s v="Machine Learning Scientist"/>
    <s v="Google India"/>
    <s v="Gurugram"/>
    <s v="0-2 Years"/>
    <n v="415000"/>
    <n v="4.1500000000000004"/>
    <s v="Internship"/>
    <s v="Hybrid"/>
    <d v="2026-03-16T00:00:00"/>
    <x v="3"/>
  </r>
  <r>
    <s v="Job0441"/>
    <s v="Ml Engineer"/>
    <s v="Publicis Sapient"/>
    <s v="Ahmedabad"/>
    <s v="2-5 Years"/>
    <n v="1565000"/>
    <n v="15.65"/>
    <s v="Full Time"/>
    <s v="Hybrid"/>
    <d v="2026-08-02T00:00:00"/>
    <x v="6"/>
  </r>
  <r>
    <s v="Job0441"/>
    <s v="Ml Engineer"/>
    <s v="Publicis Sapient"/>
    <s v="Ahmedabad"/>
    <s v="2-5 Years"/>
    <n v="1565000"/>
    <n v="15.65"/>
    <s v="Full Time"/>
    <s v="Hybrid"/>
    <d v="2026-08-02T00:00:00"/>
    <x v="3"/>
  </r>
  <r>
    <s v="Job0441"/>
    <s v="Ml Engineer"/>
    <s v="Publicis Sapient"/>
    <s v="Ahmedabad"/>
    <s v="2-5 Years"/>
    <n v="1565000"/>
    <n v="15.65"/>
    <s v="Full Time"/>
    <s v="Hybrid"/>
    <d v="2026-08-02T00:00:00"/>
    <x v="2"/>
  </r>
  <r>
    <s v="Job0016"/>
    <s v="Bi Analyst"/>
    <s v="Myntra"/>
    <s v="Mumbai"/>
    <s v="0-2 Years"/>
    <n v="645000"/>
    <n v="6.45"/>
    <s v="Full Time"/>
    <s v="Hybrid"/>
    <d v="2026-06-15T00:00:00"/>
    <x v="2"/>
  </r>
  <r>
    <s v="Job0016"/>
    <s v="Bi Analyst"/>
    <s v="Myntra"/>
    <s v="Mumbai"/>
    <s v="0-2 Years"/>
    <n v="645000"/>
    <n v="6.45"/>
    <s v="Full Time"/>
    <s v="Hybrid"/>
    <d v="2026-06-15T00:00:00"/>
    <x v="7"/>
  </r>
  <r>
    <s v="Job0016"/>
    <s v="Bi Analyst"/>
    <s v="Myntra"/>
    <s v="Mumbai"/>
    <s v="0-2 Years"/>
    <n v="645000"/>
    <n v="6.45"/>
    <s v="Full Time"/>
    <s v="Hybrid"/>
    <d v="2026-06-15T00:00:00"/>
    <x v="11"/>
  </r>
  <r>
    <s v="Job0128"/>
    <s v="Data Analyst"/>
    <s v="Google India"/>
    <s v="Chennai"/>
    <s v="5+ Years"/>
    <n v="2755000"/>
    <n v="27.55"/>
    <s v="Contract"/>
    <s v="Hybrid"/>
    <d v="2026-03-11T00:00:00"/>
    <x v="12"/>
  </r>
  <r>
    <s v="Job0128"/>
    <s v="Data Analyst"/>
    <s v="Google India"/>
    <s v="Chennai"/>
    <s v="5+ Years"/>
    <n v="2755000"/>
    <n v="27.55"/>
    <s v="Contract"/>
    <s v="Hybrid"/>
    <d v="2026-03-11T00:00:00"/>
    <x v="2"/>
  </r>
  <r>
    <s v="Job0128"/>
    <s v="Data Analyst"/>
    <s v="Google India"/>
    <s v="Chennai"/>
    <s v="5+ Years"/>
    <n v="2755000"/>
    <n v="27.55"/>
    <s v="Contract"/>
    <s v="Hybrid"/>
    <d v="2026-03-11T00:00:00"/>
    <x v="7"/>
  </r>
  <r>
    <s v="Job0310"/>
    <s v="Data Engineer"/>
    <s v="Ey India"/>
    <s v="Gurugram"/>
    <s v="3-5 Years"/>
    <n v="1960000"/>
    <n v="19.600000000000001"/>
    <s v="Full Time"/>
    <s v="On-Site"/>
    <d v="2026-04-14T00:00:00"/>
    <x v="8"/>
  </r>
  <r>
    <s v="Job0310"/>
    <s v="Data Engineer"/>
    <s v="Ey India"/>
    <s v="Gurugram"/>
    <s v="3-5 Years"/>
    <n v="1960000"/>
    <n v="19.600000000000001"/>
    <s v="Full Time"/>
    <s v="On-Site"/>
    <d v="2026-04-14T00:00:00"/>
    <x v="0"/>
  </r>
  <r>
    <s v="Job0310"/>
    <s v="Data Engineer"/>
    <s v="Ey India"/>
    <s v="Gurugram"/>
    <s v="3-5 Years"/>
    <n v="1960000"/>
    <n v="19.600000000000001"/>
    <s v="Full Time"/>
    <s v="On-Site"/>
    <d v="2026-04-14T00:00:00"/>
    <x v="1"/>
  </r>
  <r>
    <s v="Job0100"/>
    <s v="Data Analyst"/>
    <s v="Unacademy"/>
    <s v="Pune"/>
    <s v="1-3 Years"/>
    <n v="665000"/>
    <n v="6.65"/>
    <s v="Full Time"/>
    <s v="On-Site"/>
    <d v="2026-07-09T00:00:00"/>
    <x v="9"/>
  </r>
  <r>
    <s v="Job0100"/>
    <s v="Data Analyst"/>
    <s v="Unacademy"/>
    <s v="Pune"/>
    <s v="1-3 Years"/>
    <n v="665000"/>
    <n v="6.65"/>
    <s v="Full Time"/>
    <s v="On-Site"/>
    <d v="2026-07-09T00:00:00"/>
    <x v="2"/>
  </r>
  <r>
    <s v="Job0100"/>
    <s v="Data Analyst"/>
    <s v="Unacademy"/>
    <s v="Pune"/>
    <s v="1-3 Years"/>
    <n v="665000"/>
    <n v="6.65"/>
    <s v="Full Time"/>
    <s v="On-Site"/>
    <d v="2026-07-09T00:00:00"/>
    <x v="0"/>
  </r>
  <r>
    <s v="Job0347"/>
    <s v="Ai Engineer"/>
    <s v="Fractal Analytics"/>
    <s v="Gurugram"/>
    <s v="3-5 Years"/>
    <n v="1575000"/>
    <n v="15.75"/>
    <s v="Full Time"/>
    <s v="Hybrid"/>
    <d v="2026-05-12T00:00:00"/>
    <x v="6"/>
  </r>
  <r>
    <s v="Job0347"/>
    <s v="Ai Engineer"/>
    <s v="Fractal Analytics"/>
    <s v="Gurugram"/>
    <s v="3-5 Years"/>
    <n v="1575000"/>
    <n v="15.75"/>
    <s v="Full Time"/>
    <s v="Hybrid"/>
    <d v="2026-05-12T00:00:00"/>
    <x v="14"/>
  </r>
  <r>
    <s v="Job0347"/>
    <s v="Ai Engineer"/>
    <s v="Fractal Analytics"/>
    <s v="Gurugram"/>
    <s v="3-5 Years"/>
    <n v="1575000"/>
    <n v="15.75"/>
    <s v="Full Time"/>
    <s v="Hybrid"/>
    <d v="2026-05-12T00:00:00"/>
    <x v="7"/>
  </r>
  <r>
    <s v="Job0391"/>
    <s v="Bi Analyst"/>
    <s v="Adobe India"/>
    <s v="Pune"/>
    <s v="1-3 Years"/>
    <n v="975000"/>
    <n v="9.75"/>
    <s v="Full Time"/>
    <s v="Hybrid"/>
    <d v="2026-02-09T00:00:00"/>
    <x v="4"/>
  </r>
  <r>
    <s v="Job0391"/>
    <s v="Bi Analyst"/>
    <s v="Adobe India"/>
    <s v="Pune"/>
    <s v="1-3 Years"/>
    <n v="975000"/>
    <n v="9.75"/>
    <s v="Full Time"/>
    <s v="Hybrid"/>
    <d v="2026-02-09T00:00:00"/>
    <x v="8"/>
  </r>
  <r>
    <s v="Job0391"/>
    <s v="Bi Analyst"/>
    <s v="Adobe India"/>
    <s v="Pune"/>
    <s v="1-3 Years"/>
    <n v="975000"/>
    <n v="9.75"/>
    <s v="Full Time"/>
    <s v="Hybrid"/>
    <d v="2026-02-09T00:00:00"/>
    <x v="5"/>
  </r>
  <r>
    <s v="Job0170"/>
    <s v="Data Analyst"/>
    <s v="Icici Bank"/>
    <s v="Bangalore"/>
    <s v="5+ Years"/>
    <n v="2805000"/>
    <n v="28.05"/>
    <s v="Full Time"/>
    <s v="Hybrid"/>
    <d v="2026-07-10T00:00:00"/>
    <x v="10"/>
  </r>
  <r>
    <s v="Job0170"/>
    <s v="Data Analyst"/>
    <s v="Icici Bank"/>
    <s v="Bangalore"/>
    <s v="5+ Years"/>
    <n v="2805000"/>
    <n v="28.05"/>
    <s v="Full Time"/>
    <s v="Hybrid"/>
    <d v="2026-07-10T00:00:00"/>
    <x v="12"/>
  </r>
  <r>
    <s v="Job0170"/>
    <s v="Data Analyst"/>
    <s v="Icici Bank"/>
    <s v="Bangalore"/>
    <s v="5+ Years"/>
    <n v="2805000"/>
    <n v="28.05"/>
    <s v="Full Time"/>
    <s v="Hybrid"/>
    <d v="2026-07-10T00:00:00"/>
    <x v="2"/>
  </r>
  <r>
    <s v="Job0152"/>
    <s v="Machine Learning Scientist"/>
    <s v="Amazon India"/>
    <s v="Gurugram"/>
    <s v="0-2 Years"/>
    <n v="515000"/>
    <n v="5.15"/>
    <s v="Full Time"/>
    <s v="On-Site"/>
    <d v="2026-05-02T00:00:00"/>
    <x v="6"/>
  </r>
  <r>
    <s v="Job0152"/>
    <s v="Machine Learning Scientist"/>
    <s v="Amazon India"/>
    <s v="Gurugram"/>
    <s v="0-2 Years"/>
    <n v="515000"/>
    <n v="5.15"/>
    <s v="Full Time"/>
    <s v="On-Site"/>
    <d v="2026-05-02T00:00:00"/>
    <x v="9"/>
  </r>
  <r>
    <s v="Job0152"/>
    <s v="Machine Learning Scientist"/>
    <s v="Amazon India"/>
    <s v="Gurugram"/>
    <s v="0-2 Years"/>
    <n v="515000"/>
    <n v="5.15"/>
    <s v="Full Time"/>
    <s v="On-Site"/>
    <d v="2026-05-02T00:00:00"/>
    <x v="11"/>
  </r>
  <r>
    <s v="Job0462"/>
    <s v="Ai/Ml Analyst"/>
    <s v="Paytm"/>
    <s v="Bangalore"/>
    <s v="3-5 Years"/>
    <n v="1165000"/>
    <n v="11.65"/>
    <s v="Full Time"/>
    <s v="On-Site"/>
    <d v="2026-01-19T00:00:00"/>
    <x v="14"/>
  </r>
  <r>
    <s v="Job0462"/>
    <s v="Ai/Ml Analyst"/>
    <s v="Paytm"/>
    <s v="Bangalore"/>
    <s v="3-5 Years"/>
    <n v="1165000"/>
    <n v="11.65"/>
    <s v="Full Time"/>
    <s v="On-Site"/>
    <d v="2026-01-19T00:00:00"/>
    <x v="3"/>
  </r>
  <r>
    <s v="Job0462"/>
    <s v="Ai/Ml Analyst"/>
    <s v="Paytm"/>
    <s v="Bangalore"/>
    <s v="3-5 Years"/>
    <n v="1165000"/>
    <n v="11.65"/>
    <s v="Full Time"/>
    <s v="On-Site"/>
    <d v="2026-01-19T00:0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BCB777-15F9-43C3-A819-1CD8E2025A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3">
    <pivotField showAll="0"/>
    <pivotField axis="axisRow" dataField="1" showAll="0" sortType="descending">
      <items count="11">
        <item x="9"/>
        <item x="8"/>
        <item x="5"/>
        <item x="7"/>
        <item x="4"/>
        <item x="1"/>
        <item x="6"/>
        <item x="3"/>
        <item x="2"/>
        <item x="0"/>
        <item t="default"/>
      </items>
      <autoSortScope>
        <pivotArea dataOnly="0" outline="0" fieldPosition="0">
          <references count="1">
            <reference field="4294967294" count="1" selected="0">
              <x v="0"/>
            </reference>
          </references>
        </pivotArea>
      </autoSortScope>
    </pivotField>
    <pivotField showAll="0"/>
    <pivotField showAll="0">
      <items count="11">
        <item x="5"/>
        <item x="2"/>
        <item x="4"/>
        <item x="6"/>
        <item x="1"/>
        <item x="8"/>
        <item x="0"/>
        <item x="7"/>
        <item x="3"/>
        <item x="9"/>
        <item t="default"/>
      </items>
    </pivotField>
    <pivotField showAll="0">
      <items count="6">
        <item x="2"/>
        <item x="0"/>
        <item x="4"/>
        <item x="1"/>
        <item h="1" x="3"/>
        <item t="default"/>
      </items>
    </pivotField>
    <pivotField showAll="0"/>
    <pivotField numFmtId="43" showAll="0"/>
    <pivotField showAll="0">
      <items count="4">
        <item x="0"/>
        <item x="1"/>
        <item x="2"/>
        <item t="default"/>
      </items>
    </pivotField>
    <pivotField showAll="0">
      <items count="4">
        <item x="1"/>
        <item x="0"/>
        <item x="2"/>
        <item t="default"/>
      </items>
    </pivotField>
    <pivotField showAll="0"/>
    <pivotField showAll="0"/>
    <pivotField showAll="0"/>
    <pivotField showAll="0"/>
  </pivotFields>
  <rowFields count="1">
    <field x="1"/>
  </rowFields>
  <rowItems count="11">
    <i>
      <x v="4"/>
    </i>
    <i>
      <x v="3"/>
    </i>
    <i>
      <x v="2"/>
    </i>
    <i>
      <x v="7"/>
    </i>
    <i>
      <x v="5"/>
    </i>
    <i>
      <x v="1"/>
    </i>
    <i>
      <x v="9"/>
    </i>
    <i>
      <x v="6"/>
    </i>
    <i>
      <x v="8"/>
    </i>
    <i>
      <x/>
    </i>
    <i t="grand">
      <x/>
    </i>
  </rowItems>
  <colItems count="1">
    <i/>
  </colItems>
  <dataFields count="1">
    <dataField name="Count of Job_Title" fld="1" subtotal="count" baseField="0" baseItem="0"/>
  </dataFields>
  <chartFormats count="2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4"/>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7"/>
          </reference>
        </references>
      </pivotArea>
    </chartFormat>
    <chartFormat chart="2" format="5">
      <pivotArea type="data" outline="0" fieldPosition="0">
        <references count="2">
          <reference field="4294967294" count="1" selected="0">
            <x v="0"/>
          </reference>
          <reference field="1" count="1" selected="0">
            <x v="6"/>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8"/>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 count="1" selected="0">
            <x v="4"/>
          </reference>
        </references>
      </pivotArea>
    </chartFormat>
    <chartFormat chart="9" format="24">
      <pivotArea type="data" outline="0" fieldPosition="0">
        <references count="2">
          <reference field="4294967294" count="1" selected="0">
            <x v="0"/>
          </reference>
          <reference field="1" count="1" selected="0">
            <x v="3"/>
          </reference>
        </references>
      </pivotArea>
    </chartFormat>
    <chartFormat chart="9" format="25">
      <pivotArea type="data" outline="0" fieldPosition="0">
        <references count="2">
          <reference field="4294967294" count="1" selected="0">
            <x v="0"/>
          </reference>
          <reference field="1" count="1" selected="0">
            <x v="2"/>
          </reference>
        </references>
      </pivotArea>
    </chartFormat>
    <chartFormat chart="9" format="26">
      <pivotArea type="data" outline="0" fieldPosition="0">
        <references count="2">
          <reference field="4294967294" count="1" selected="0">
            <x v="0"/>
          </reference>
          <reference field="1" count="1" selected="0">
            <x v="7"/>
          </reference>
        </references>
      </pivotArea>
    </chartFormat>
    <chartFormat chart="9" format="27">
      <pivotArea type="data" outline="0" fieldPosition="0">
        <references count="2">
          <reference field="4294967294" count="1" selected="0">
            <x v="0"/>
          </reference>
          <reference field="1" count="1" selected="0">
            <x v="6"/>
          </reference>
        </references>
      </pivotArea>
    </chartFormat>
    <chartFormat chart="9" format="28">
      <pivotArea type="data" outline="0" fieldPosition="0">
        <references count="2">
          <reference field="4294967294" count="1" selected="0">
            <x v="0"/>
          </reference>
          <reference field="1" count="1" selected="0">
            <x v="5"/>
          </reference>
        </references>
      </pivotArea>
    </chartFormat>
    <chartFormat chart="9" format="29">
      <pivotArea type="data" outline="0" fieldPosition="0">
        <references count="2">
          <reference field="4294967294" count="1" selected="0">
            <x v="0"/>
          </reference>
          <reference field="1" count="1" selected="0">
            <x v="8"/>
          </reference>
        </references>
      </pivotArea>
    </chartFormat>
    <chartFormat chart="9" format="30">
      <pivotArea type="data" outline="0" fieldPosition="0">
        <references count="2">
          <reference field="4294967294" count="1" selected="0">
            <x v="0"/>
          </reference>
          <reference field="1" count="1" selected="0">
            <x v="0"/>
          </reference>
        </references>
      </pivotArea>
    </chartFormat>
    <chartFormat chart="9" format="31">
      <pivotArea type="data" outline="0" fieldPosition="0">
        <references count="2">
          <reference field="4294967294" count="1" selected="0">
            <x v="0"/>
          </reference>
          <reference field="1" count="1" selected="0">
            <x v="1"/>
          </reference>
        </references>
      </pivotArea>
    </chartFormat>
    <chartFormat chart="9" format="3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1ACC6F-2A28-40F4-BA5D-6365FE00A95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7" firstHeaderRow="1" firstDataRow="1" firstDataCol="1"/>
  <pivotFields count="11">
    <pivotField showAll="0"/>
    <pivotField showAll="0"/>
    <pivotField showAll="0"/>
    <pivotField showAll="0"/>
    <pivotField showAll="0"/>
    <pivotField showAll="0"/>
    <pivotField showAll="0"/>
    <pivotField showAll="0"/>
    <pivotField showAll="0"/>
    <pivotField numFmtId="14" showAll="0"/>
    <pivotField axis="axisRow" dataField="1" showAll="0" sortType="descending">
      <items count="16">
        <item x="14"/>
        <item h="1" x="13"/>
        <item h="1" x="7"/>
        <item x="1"/>
        <item x="2"/>
        <item x="3"/>
        <item x="11"/>
        <item x="12"/>
        <item x="5"/>
        <item x="9"/>
        <item x="4"/>
        <item x="0"/>
        <item x="8"/>
        <item x="10"/>
        <item x="6"/>
        <item t="default"/>
      </items>
      <autoSortScope>
        <pivotArea dataOnly="0" outline="0" fieldPosition="0">
          <references count="1">
            <reference field="4294967294" count="1" selected="0">
              <x v="0"/>
            </reference>
          </references>
        </pivotArea>
      </autoSortScope>
    </pivotField>
  </pivotFields>
  <rowFields count="1">
    <field x="10"/>
  </rowFields>
  <rowItems count="14">
    <i>
      <x v="12"/>
    </i>
    <i>
      <x v="11"/>
    </i>
    <i>
      <x v="9"/>
    </i>
    <i>
      <x v="3"/>
    </i>
    <i>
      <x v="4"/>
    </i>
    <i>
      <x v="13"/>
    </i>
    <i>
      <x v="8"/>
    </i>
    <i>
      <x v="7"/>
    </i>
    <i>
      <x v="5"/>
    </i>
    <i>
      <x v="14"/>
    </i>
    <i>
      <x v="6"/>
    </i>
    <i>
      <x/>
    </i>
    <i>
      <x v="10"/>
    </i>
    <i t="grand">
      <x/>
    </i>
  </rowItems>
  <colItems count="1">
    <i/>
  </colItems>
  <dataFields count="1">
    <dataField name="Count of skills" fld="10"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1CD2AB-24EE-49F5-8D12-E84FCD9A55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3">
    <pivotField showAll="0"/>
    <pivotField showAll="0">
      <items count="11">
        <item x="9"/>
        <item x="8"/>
        <item x="5"/>
        <item x="7"/>
        <item x="4"/>
        <item x="1"/>
        <item x="6"/>
        <item x="3"/>
        <item x="2"/>
        <item x="0"/>
        <item t="default"/>
      </items>
    </pivotField>
    <pivotField showAll="0"/>
    <pivotField axis="axisRow" dataField="1" showAll="0" sortType="descending">
      <items count="11">
        <item x="5"/>
        <item x="2"/>
        <item x="4"/>
        <item x="6"/>
        <item x="1"/>
        <item x="8"/>
        <item x="0"/>
        <item x="7"/>
        <item x="3"/>
        <item x="9"/>
        <item t="default"/>
      </items>
      <autoSortScope>
        <pivotArea dataOnly="0" outline="0" fieldPosition="0">
          <references count="1">
            <reference field="4294967294" count="1" selected="0">
              <x v="0"/>
            </reference>
          </references>
        </pivotArea>
      </autoSortScope>
    </pivotField>
    <pivotField showAll="0">
      <items count="6">
        <item x="2"/>
        <item x="0"/>
        <item x="4"/>
        <item x="1"/>
        <item h="1" x="3"/>
        <item t="default"/>
      </items>
    </pivotField>
    <pivotField showAll="0"/>
    <pivotField numFmtId="43" showAll="0"/>
    <pivotField showAll="0">
      <items count="4">
        <item x="0"/>
        <item x="1"/>
        <item x="2"/>
        <item t="default"/>
      </items>
    </pivotField>
    <pivotField showAll="0">
      <items count="4">
        <item x="1"/>
        <item x="0"/>
        <item x="2"/>
        <item t="default"/>
      </items>
    </pivotField>
    <pivotField showAll="0"/>
    <pivotField showAll="0"/>
    <pivotField showAll="0"/>
    <pivotField showAll="0"/>
  </pivotFields>
  <rowFields count="1">
    <field x="3"/>
  </rowFields>
  <rowItems count="11">
    <i>
      <x/>
    </i>
    <i>
      <x v="3"/>
    </i>
    <i>
      <x v="4"/>
    </i>
    <i>
      <x v="9"/>
    </i>
    <i>
      <x v="7"/>
    </i>
    <i>
      <x v="1"/>
    </i>
    <i>
      <x v="6"/>
    </i>
    <i>
      <x v="5"/>
    </i>
    <i>
      <x v="2"/>
    </i>
    <i>
      <x v="8"/>
    </i>
    <i t="grand">
      <x/>
    </i>
  </rowItems>
  <colItems count="1">
    <i/>
  </colItems>
  <dataFields count="1">
    <dataField name="Count of Location" fld="3" subtotal="count" baseField="0" baseItem="0"/>
  </dataFields>
  <chartFormats count="22">
    <chartFormat chart="1"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4"/>
          </reference>
        </references>
      </pivotArea>
    </chartFormat>
    <chartFormat chart="9" format="15">
      <pivotArea type="data" outline="0" fieldPosition="0">
        <references count="2">
          <reference field="4294967294" count="1" selected="0">
            <x v="0"/>
          </reference>
          <reference field="3" count="1" selected="0">
            <x v="6"/>
          </reference>
        </references>
      </pivotArea>
    </chartFormat>
    <chartFormat chart="9" format="16">
      <pivotArea type="data" outline="0" fieldPosition="0">
        <references count="2">
          <reference field="4294967294" count="1" selected="0">
            <x v="0"/>
          </reference>
          <reference field="3" count="1" selected="0">
            <x v="9"/>
          </reference>
        </references>
      </pivotArea>
    </chartFormat>
    <chartFormat chart="9" format="17">
      <pivotArea type="data" outline="0" fieldPosition="0">
        <references count="2">
          <reference field="4294967294" count="1" selected="0">
            <x v="0"/>
          </reference>
          <reference field="3" count="1" selected="0">
            <x v="7"/>
          </reference>
        </references>
      </pivotArea>
    </chartFormat>
    <chartFormat chart="9" format="18">
      <pivotArea type="data" outline="0" fieldPosition="0">
        <references count="2">
          <reference field="4294967294" count="1" selected="0">
            <x v="0"/>
          </reference>
          <reference field="3" count="1" selected="0">
            <x v="3"/>
          </reference>
        </references>
      </pivotArea>
    </chartFormat>
    <chartFormat chart="9" format="19">
      <pivotArea type="data" outline="0" fieldPosition="0">
        <references count="2">
          <reference field="4294967294" count="1" selected="0">
            <x v="0"/>
          </reference>
          <reference field="3" count="1" selected="0">
            <x v="1"/>
          </reference>
        </references>
      </pivotArea>
    </chartFormat>
    <chartFormat chart="9" format="20">
      <pivotArea type="data" outline="0" fieldPosition="0">
        <references count="2">
          <reference field="4294967294" count="1" selected="0">
            <x v="0"/>
          </reference>
          <reference field="3" count="1" selected="0">
            <x v="5"/>
          </reference>
        </references>
      </pivotArea>
    </chartFormat>
    <chartFormat chart="9" format="21">
      <pivotArea type="data" outline="0" fieldPosition="0">
        <references count="2">
          <reference field="4294967294" count="1" selected="0">
            <x v="0"/>
          </reference>
          <reference field="3" count="1" selected="0">
            <x v="2"/>
          </reference>
        </references>
      </pivotArea>
    </chartFormat>
    <chartFormat chart="9" format="22">
      <pivotArea type="data" outline="0" fieldPosition="0">
        <references count="2">
          <reference field="4294967294" count="1" selected="0">
            <x v="0"/>
          </reference>
          <reference field="3" count="1" selected="0">
            <x v="8"/>
          </reference>
        </references>
      </pivotArea>
    </chartFormat>
    <chartFormat chart="1" format="1">
      <pivotArea type="data" outline="0" fieldPosition="0">
        <references count="2">
          <reference field="4294967294" count="1" selected="0">
            <x v="0"/>
          </reference>
          <reference field="3" count="1" selected="0">
            <x v="6"/>
          </reference>
        </references>
      </pivotArea>
    </chartFormat>
    <chartFormat chart="1" format="2">
      <pivotArea type="data" outline="0" fieldPosition="0">
        <references count="2">
          <reference field="4294967294" count="1" selected="0">
            <x v="0"/>
          </reference>
          <reference field="3" count="1" selected="0">
            <x v="7"/>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8"/>
          </reference>
        </references>
      </pivotArea>
    </chartFormat>
    <chartFormat chart="1" format="8">
      <pivotArea type="data" outline="0" fieldPosition="0">
        <references count="2">
          <reference field="4294967294" count="1" selected="0">
            <x v="0"/>
          </reference>
          <reference field="3" count="1" selected="0">
            <x v="9"/>
          </reference>
        </references>
      </pivotArea>
    </chartFormat>
    <chartFormat chart="1" format="9">
      <pivotArea type="data" outline="0" fieldPosition="0">
        <references count="2">
          <reference field="4294967294" count="1" selected="0">
            <x v="0"/>
          </reference>
          <reference field="3" count="1" selected="0">
            <x v="5"/>
          </reference>
        </references>
      </pivotArea>
    </chartFormat>
    <chartFormat chart="1"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6986F2-9655-4631-9003-4912739FE6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3">
    <pivotField showAll="0"/>
    <pivotField showAll="0">
      <items count="11">
        <item x="9"/>
        <item x="8"/>
        <item x="5"/>
        <item x="7"/>
        <item x="4"/>
        <item x="1"/>
        <item x="6"/>
        <item x="3"/>
        <item x="2"/>
        <item x="0"/>
        <item t="default"/>
      </items>
    </pivotField>
    <pivotField showAll="0"/>
    <pivotField showAll="0">
      <items count="11">
        <item x="5"/>
        <item x="2"/>
        <item x="4"/>
        <item x="6"/>
        <item x="1"/>
        <item x="8"/>
        <item x="0"/>
        <item x="7"/>
        <item x="3"/>
        <item x="9"/>
        <item t="default"/>
      </items>
    </pivotField>
    <pivotField axis="axisRow" dataField="1" showAll="0" sortType="descending">
      <items count="6">
        <item x="2"/>
        <item x="0"/>
        <item x="4"/>
        <item x="1"/>
        <item h="1" x="3"/>
        <item t="default"/>
      </items>
      <autoSortScope>
        <pivotArea dataOnly="0" outline="0" fieldPosition="0">
          <references count="1">
            <reference field="4294967294" count="1" selected="0">
              <x v="0"/>
            </reference>
          </references>
        </pivotArea>
      </autoSortScope>
    </pivotField>
    <pivotField showAll="0"/>
    <pivotField numFmtId="43" showAll="0"/>
    <pivotField showAll="0">
      <items count="4">
        <item x="0"/>
        <item x="1"/>
        <item x="2"/>
        <item t="default"/>
      </items>
    </pivotField>
    <pivotField showAll="0">
      <items count="4">
        <item x="1"/>
        <item x="0"/>
        <item x="2"/>
        <item t="default"/>
      </items>
    </pivotField>
    <pivotField showAll="0"/>
    <pivotField showAll="0"/>
    <pivotField showAll="0"/>
    <pivotField showAll="0"/>
  </pivotFields>
  <rowFields count="1">
    <field x="4"/>
  </rowFields>
  <rowItems count="5">
    <i>
      <x/>
    </i>
    <i>
      <x v="3"/>
    </i>
    <i>
      <x v="1"/>
    </i>
    <i>
      <x v="2"/>
    </i>
    <i t="grand">
      <x/>
    </i>
  </rowItems>
  <colItems count="1">
    <i/>
  </colItems>
  <dataFields count="1">
    <dataField name="Count of Experience" fld="4" subtotal="count" baseField="0" baseItem="0"/>
  </dataFields>
  <chartFormats count="11">
    <chartFormat chart="14"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4" count="1" selected="0">
            <x v="0"/>
          </reference>
        </references>
      </pivotArea>
    </chartFormat>
    <chartFormat chart="18" format="9">
      <pivotArea type="data" outline="0" fieldPosition="0">
        <references count="2">
          <reference field="4294967294" count="1" selected="0">
            <x v="0"/>
          </reference>
          <reference field="4" count="1" selected="0">
            <x v="3"/>
          </reference>
        </references>
      </pivotArea>
    </chartFormat>
    <chartFormat chart="18" format="10">
      <pivotArea type="data" outline="0" fieldPosition="0">
        <references count="2">
          <reference field="4294967294" count="1" selected="0">
            <x v="0"/>
          </reference>
          <reference field="4" count="1" selected="0">
            <x v="1"/>
          </reference>
        </references>
      </pivotArea>
    </chartFormat>
    <chartFormat chart="18" format="11">
      <pivotArea type="data" outline="0" fieldPosition="0">
        <references count="2">
          <reference field="4294967294" count="1" selected="0">
            <x v="0"/>
          </reference>
          <reference field="4" count="1" selected="0">
            <x v="2"/>
          </reference>
        </references>
      </pivotArea>
    </chartFormat>
    <chartFormat chart="18" format="12">
      <pivotArea type="data" outline="0" fieldPosition="0">
        <references count="2">
          <reference field="4294967294" count="1" selected="0">
            <x v="0"/>
          </reference>
          <reference field="4" count="1" selected="0">
            <x v="4"/>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3"/>
          </reference>
        </references>
      </pivotArea>
    </chartFormat>
    <chartFormat chart="14" format="3">
      <pivotArea type="data" outline="0" fieldPosition="0">
        <references count="2">
          <reference field="4294967294" count="1" selected="0">
            <x v="0"/>
          </reference>
          <reference field="4" count="1" selected="0">
            <x v="1"/>
          </reference>
        </references>
      </pivotArea>
    </chartFormat>
    <chartFormat chart="14" format="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4C72A-79CB-4945-BD17-7A28F552C8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3">
    <pivotField showAll="0"/>
    <pivotField showAll="0">
      <items count="11">
        <item x="9"/>
        <item x="8"/>
        <item x="5"/>
        <item x="7"/>
        <item x="4"/>
        <item x="1"/>
        <item x="6"/>
        <item x="3"/>
        <item x="2"/>
        <item x="0"/>
        <item t="default"/>
      </items>
    </pivotField>
    <pivotField showAll="0"/>
    <pivotField showAll="0">
      <items count="11">
        <item x="5"/>
        <item x="2"/>
        <item x="4"/>
        <item x="6"/>
        <item x="1"/>
        <item x="8"/>
        <item x="0"/>
        <item x="7"/>
        <item x="3"/>
        <item x="9"/>
        <item t="default"/>
      </items>
    </pivotField>
    <pivotField showAll="0">
      <items count="6">
        <item x="2"/>
        <item x="0"/>
        <item x="4"/>
        <item x="1"/>
        <item h="1" x="3"/>
        <item t="default"/>
      </items>
    </pivotField>
    <pivotField showAll="0"/>
    <pivotField numFmtId="43" showAll="0"/>
    <pivotField showAll="0">
      <items count="4">
        <item x="0"/>
        <item x="1"/>
        <item x="2"/>
        <item t="default"/>
      </items>
    </pivotField>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i>
    <i>
      <x v="1"/>
    </i>
    <i>
      <x v="2"/>
    </i>
    <i t="grand">
      <x/>
    </i>
  </rowItems>
  <colItems count="1">
    <i/>
  </colItems>
  <dataFields count="1">
    <dataField name="Count of Work_Mode" fld="8" subtotal="count" baseField="0" baseItem="0"/>
  </dataFields>
  <chartFormats count="8">
    <chartFormat chart="1"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C7CB7-25AB-43EE-80B5-DC62C8A8E6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3">
    <pivotField showAll="0"/>
    <pivotField showAll="0">
      <items count="11">
        <item x="9"/>
        <item x="8"/>
        <item x="5"/>
        <item x="7"/>
        <item x="4"/>
        <item x="1"/>
        <item x="6"/>
        <item x="3"/>
        <item x="2"/>
        <item x="0"/>
        <item t="default"/>
      </items>
    </pivotField>
    <pivotField showAll="0"/>
    <pivotField showAll="0">
      <items count="11">
        <item x="5"/>
        <item x="2"/>
        <item x="4"/>
        <item x="6"/>
        <item x="1"/>
        <item x="8"/>
        <item x="0"/>
        <item x="7"/>
        <item x="3"/>
        <item x="9"/>
        <item t="default"/>
      </items>
    </pivotField>
    <pivotField showAll="0">
      <items count="6">
        <item x="2"/>
        <item x="0"/>
        <item x="4"/>
        <item x="1"/>
        <item h="1" x="3"/>
        <item t="default"/>
      </items>
    </pivotField>
    <pivotField showAll="0"/>
    <pivotField numFmtId="43"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s>
  <rowFields count="1">
    <field x="7"/>
  </rowFields>
  <rowItems count="4">
    <i>
      <x v="1"/>
    </i>
    <i>
      <x/>
    </i>
    <i>
      <x v="2"/>
    </i>
    <i t="grand">
      <x/>
    </i>
  </rowItems>
  <colItems count="1">
    <i/>
  </colItems>
  <dataFields count="1">
    <dataField name="Count of Job_Type" fld="7" subtotal="count" baseField="0" baseItem="0"/>
  </dataFields>
  <chartFormats count="8">
    <chartFormat chart="6"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1"/>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6" format="1">
      <pivotArea type="data" outline="0" fieldPosition="0">
        <references count="2">
          <reference field="4294967294" count="1" selected="0">
            <x v="0"/>
          </reference>
          <reference field="7" count="1" selected="0">
            <x v="1"/>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4E63E4-C7D0-4472-969D-9538AADFF6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3">
    <pivotField showAll="0"/>
    <pivotField axis="axisRow" showAll="0" sortType="descending">
      <items count="11">
        <item x="9"/>
        <item x="8"/>
        <item x="5"/>
        <item x="7"/>
        <item x="4"/>
        <item x="1"/>
        <item x="6"/>
        <item x="3"/>
        <item x="2"/>
        <item x="0"/>
        <item t="default"/>
      </items>
      <autoSortScope>
        <pivotArea dataOnly="0" outline="0" fieldPosition="0">
          <references count="1">
            <reference field="4294967294" count="1" selected="0">
              <x v="0"/>
            </reference>
          </references>
        </pivotArea>
      </autoSortScope>
    </pivotField>
    <pivotField showAll="0"/>
    <pivotField showAll="0">
      <items count="11">
        <item x="5"/>
        <item x="2"/>
        <item x="4"/>
        <item x="6"/>
        <item x="1"/>
        <item x="8"/>
        <item x="0"/>
        <item x="7"/>
        <item x="3"/>
        <item x="9"/>
        <item t="default"/>
      </items>
    </pivotField>
    <pivotField showAll="0">
      <items count="6">
        <item x="2"/>
        <item x="0"/>
        <item x="4"/>
        <item x="1"/>
        <item h="1" x="3"/>
        <item t="default"/>
      </items>
    </pivotField>
    <pivotField showAll="0"/>
    <pivotField dataField="1" numFmtId="43" showAll="0">
      <items count="312">
        <item x="119"/>
        <item x="4"/>
        <item x="220"/>
        <item x="274"/>
        <item x="232"/>
        <item x="115"/>
        <item x="260"/>
        <item x="256"/>
        <item x="179"/>
        <item x="56"/>
        <item x="249"/>
        <item x="57"/>
        <item x="144"/>
        <item x="240"/>
        <item x="282"/>
        <item x="241"/>
        <item x="268"/>
        <item x="227"/>
        <item x="164"/>
        <item x="302"/>
        <item x="301"/>
        <item x="83"/>
        <item x="152"/>
        <item x="35"/>
        <item x="194"/>
        <item x="64"/>
        <item x="76"/>
        <item x="31"/>
        <item x="187"/>
        <item x="131"/>
        <item x="39"/>
        <item x="17"/>
        <item x="257"/>
        <item x="104"/>
        <item x="96"/>
        <item x="255"/>
        <item x="30"/>
        <item x="110"/>
        <item x="130"/>
        <item x="291"/>
        <item x="155"/>
        <item x="293"/>
        <item x="79"/>
        <item x="202"/>
        <item x="123"/>
        <item x="295"/>
        <item x="13"/>
        <item x="65"/>
        <item x="262"/>
        <item x="138"/>
        <item x="146"/>
        <item x="273"/>
        <item x="269"/>
        <item x="245"/>
        <item x="101"/>
        <item x="5"/>
        <item x="140"/>
        <item x="94"/>
        <item x="176"/>
        <item x="134"/>
        <item x="154"/>
        <item x="185"/>
        <item x="72"/>
        <item x="145"/>
        <item x="290"/>
        <item x="75"/>
        <item x="55"/>
        <item x="74"/>
        <item x="197"/>
        <item x="42"/>
        <item x="165"/>
        <item x="46"/>
        <item x="82"/>
        <item x="171"/>
        <item x="210"/>
        <item x="147"/>
        <item x="149"/>
        <item x="36"/>
        <item x="278"/>
        <item x="281"/>
        <item x="6"/>
        <item x="172"/>
        <item x="23"/>
        <item x="102"/>
        <item x="181"/>
        <item x="12"/>
        <item x="7"/>
        <item x="41"/>
        <item x="214"/>
        <item x="174"/>
        <item x="207"/>
        <item x="157"/>
        <item x="137"/>
        <item x="71"/>
        <item x="259"/>
        <item x="252"/>
        <item x="169"/>
        <item x="205"/>
        <item x="118"/>
        <item x="77"/>
        <item x="153"/>
        <item x="219"/>
        <item x="139"/>
        <item x="267"/>
        <item x="108"/>
        <item x="87"/>
        <item x="288"/>
        <item x="200"/>
        <item x="80"/>
        <item x="238"/>
        <item x="1"/>
        <item x="263"/>
        <item x="60"/>
        <item x="212"/>
        <item x="126"/>
        <item x="246"/>
        <item x="156"/>
        <item x="93"/>
        <item x="203"/>
        <item x="186"/>
        <item x="213"/>
        <item x="285"/>
        <item x="73"/>
        <item x="0"/>
        <item x="21"/>
        <item x="99"/>
        <item x="160"/>
        <item x="84"/>
        <item x="67"/>
        <item x="226"/>
        <item x="52"/>
        <item x="128"/>
        <item x="48"/>
        <item x="204"/>
        <item x="133"/>
        <item x="136"/>
        <item x="22"/>
        <item x="303"/>
        <item x="188"/>
        <item x="3"/>
        <item x="125"/>
        <item x="216"/>
        <item x="112"/>
        <item x="11"/>
        <item x="61"/>
        <item x="236"/>
        <item x="66"/>
        <item x="62"/>
        <item x="148"/>
        <item x="299"/>
        <item x="283"/>
        <item x="49"/>
        <item x="59"/>
        <item x="294"/>
        <item x="92"/>
        <item x="132"/>
        <item x="190"/>
        <item x="168"/>
        <item x="98"/>
        <item x="296"/>
        <item x="230"/>
        <item x="242"/>
        <item x="50"/>
        <item x="113"/>
        <item x="129"/>
        <item x="100"/>
        <item x="272"/>
        <item x="86"/>
        <item x="38"/>
        <item x="209"/>
        <item x="122"/>
        <item x="111"/>
        <item x="135"/>
        <item x="14"/>
        <item x="45"/>
        <item x="70"/>
        <item x="18"/>
        <item x="106"/>
        <item x="150"/>
        <item x="215"/>
        <item x="16"/>
        <item x="189"/>
        <item x="28"/>
        <item x="19"/>
        <item x="175"/>
        <item x="33"/>
        <item x="217"/>
        <item x="178"/>
        <item x="167"/>
        <item x="243"/>
        <item x="107"/>
        <item x="307"/>
        <item x="206"/>
        <item x="306"/>
        <item x="37"/>
        <item x="304"/>
        <item x="201"/>
        <item x="166"/>
        <item x="170"/>
        <item x="2"/>
        <item x="198"/>
        <item x="247"/>
        <item x="191"/>
        <item x="265"/>
        <item x="163"/>
        <item x="32"/>
        <item x="29"/>
        <item x="196"/>
        <item x="20"/>
        <item x="270"/>
        <item x="208"/>
        <item x="143"/>
        <item x="258"/>
        <item x="53"/>
        <item x="275"/>
        <item x="117"/>
        <item x="225"/>
        <item x="180"/>
        <item x="121"/>
        <item x="284"/>
        <item x="8"/>
        <item x="158"/>
        <item x="251"/>
        <item x="298"/>
        <item x="235"/>
        <item x="184"/>
        <item x="90"/>
        <item x="279"/>
        <item x="25"/>
        <item x="218"/>
        <item x="81"/>
        <item x="309"/>
        <item x="34"/>
        <item x="114"/>
        <item x="266"/>
        <item x="63"/>
        <item x="193"/>
        <item x="182"/>
        <item x="161"/>
        <item x="239"/>
        <item x="89"/>
        <item x="231"/>
        <item x="124"/>
        <item x="120"/>
        <item x="91"/>
        <item x="116"/>
        <item x="199"/>
        <item x="10"/>
        <item x="244"/>
        <item x="237"/>
        <item x="305"/>
        <item x="127"/>
        <item x="40"/>
        <item x="69"/>
        <item x="142"/>
        <item x="297"/>
        <item x="254"/>
        <item x="173"/>
        <item x="103"/>
        <item x="85"/>
        <item x="162"/>
        <item x="276"/>
        <item x="68"/>
        <item x="222"/>
        <item x="43"/>
        <item x="78"/>
        <item x="97"/>
        <item x="177"/>
        <item x="308"/>
        <item x="27"/>
        <item x="310"/>
        <item x="51"/>
        <item x="248"/>
        <item x="9"/>
        <item x="183"/>
        <item x="26"/>
        <item x="88"/>
        <item x="286"/>
        <item x="234"/>
        <item x="253"/>
        <item x="44"/>
        <item x="211"/>
        <item x="233"/>
        <item x="159"/>
        <item x="228"/>
        <item x="300"/>
        <item x="192"/>
        <item x="229"/>
        <item x="195"/>
        <item x="24"/>
        <item x="277"/>
        <item x="15"/>
        <item x="280"/>
        <item x="109"/>
        <item x="271"/>
        <item x="250"/>
        <item x="261"/>
        <item x="151"/>
        <item x="223"/>
        <item x="224"/>
        <item x="95"/>
        <item x="292"/>
        <item x="47"/>
        <item x="105"/>
        <item x="54"/>
        <item x="287"/>
        <item x="289"/>
        <item x="58"/>
        <item x="141"/>
        <item x="264"/>
        <item x="221"/>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s>
  <rowFields count="1">
    <field x="1"/>
  </rowFields>
  <rowItems count="11">
    <i>
      <x v="8"/>
    </i>
    <i>
      <x v="3"/>
    </i>
    <i>
      <x v="1"/>
    </i>
    <i>
      <x/>
    </i>
    <i>
      <x v="4"/>
    </i>
    <i>
      <x v="6"/>
    </i>
    <i>
      <x v="2"/>
    </i>
    <i>
      <x v="7"/>
    </i>
    <i>
      <x v="9"/>
    </i>
    <i>
      <x v="5"/>
    </i>
    <i t="grand">
      <x/>
    </i>
  </rowItems>
  <colItems count="1">
    <i/>
  </colItems>
  <dataFields count="1">
    <dataField name="Average of Salary_Lakhs" fld="6" subtotal="average" baseField="1" baseItem="0" numFmtId="43"/>
  </dataField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6"/>
          </reference>
        </references>
      </pivotArea>
    </chartFormat>
    <chartFormat chart="10" format="3">
      <pivotArea type="data" outline="0" fieldPosition="0">
        <references count="2">
          <reference field="4294967294" count="1" selected="0">
            <x v="0"/>
          </reference>
          <reference field="1" count="1" selected="0">
            <x v="3"/>
          </reference>
        </references>
      </pivotArea>
    </chartFormat>
    <chartFormat chart="10" format="4">
      <pivotArea type="data" outline="0" fieldPosition="0">
        <references count="2">
          <reference field="4294967294" count="1" selected="0">
            <x v="0"/>
          </reference>
          <reference field="1" count="1" selected="0">
            <x v="4"/>
          </reference>
        </references>
      </pivotArea>
    </chartFormat>
    <chartFormat chart="10" format="5">
      <pivotArea type="data" outline="0" fieldPosition="0">
        <references count="2">
          <reference field="4294967294" count="1" selected="0">
            <x v="0"/>
          </reference>
          <reference field="1" count="1" selected="0">
            <x v="5"/>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0"/>
          </reference>
        </references>
      </pivotArea>
    </chartFormat>
    <chartFormat chart="12" format="14">
      <pivotArea type="data" outline="0" fieldPosition="0">
        <references count="2">
          <reference field="4294967294" count="1" selected="0">
            <x v="0"/>
          </reference>
          <reference field="1" count="1" selected="0">
            <x v="6"/>
          </reference>
        </references>
      </pivotArea>
    </chartFormat>
    <chartFormat chart="12" format="15">
      <pivotArea type="data" outline="0" fieldPosition="0">
        <references count="2">
          <reference field="4294967294" count="1" selected="0">
            <x v="0"/>
          </reference>
          <reference field="1" count="1" selected="0">
            <x v="3"/>
          </reference>
        </references>
      </pivotArea>
    </chartFormat>
    <chartFormat chart="12" format="16">
      <pivotArea type="data" outline="0" fieldPosition="0">
        <references count="2">
          <reference field="4294967294" count="1" selected="0">
            <x v="0"/>
          </reference>
          <reference field="1" count="1" selected="0">
            <x v="4"/>
          </reference>
        </references>
      </pivotArea>
    </chartFormat>
    <chartFormat chart="12" format="1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1FFA3A3-D70F-4D93-AC37-ACCB70DDE8A1}" autoFormatId="16" applyNumberFormats="0" applyBorderFormats="0" applyFontFormats="0" applyPatternFormats="0" applyAlignmentFormats="0" applyWidthHeightFormats="0">
  <queryTableRefresh nextId="12">
    <queryTableFields count="11">
      <queryTableField id="1" name="Job_ID" tableColumnId="1"/>
      <queryTableField id="2" name="Job_Title" tableColumnId="2"/>
      <queryTableField id="3" name="Company" tableColumnId="3"/>
      <queryTableField id="4" name="Location" tableColumnId="4"/>
      <queryTableField id="5" name="Experience" tableColumnId="5"/>
      <queryTableField id="6" name="Salary_INR" tableColumnId="6"/>
      <queryTableField id="7" name="Salary_Lakhs" tableColumnId="7"/>
      <queryTableField id="8" name="Job_Type" tableColumnId="8"/>
      <queryTableField id="9" name="Work_Mode" tableColumnId="9"/>
      <queryTableField id="10" name="Posted_Date" tableColumnId="10"/>
      <queryTableField id="11" name="skill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AA46961-1C70-4E23-878E-5ABD93C31D79}" autoFormatId="16" applyNumberFormats="0" applyBorderFormats="0" applyFontFormats="0" applyPatternFormats="0" applyAlignmentFormats="0" applyWidthHeightFormats="0">
  <queryTableRefresh nextId="14">
    <queryTableFields count="13">
      <queryTableField id="1" name="Job_ID" tableColumnId="1"/>
      <queryTableField id="2" name="Job_Title" tableColumnId="2"/>
      <queryTableField id="3" name="Company" tableColumnId="3"/>
      <queryTableField id="4" name="Location" tableColumnId="4"/>
      <queryTableField id="5" name="Experience" tableColumnId="5"/>
      <queryTableField id="6" name="Salary_INR" tableColumnId="6"/>
      <queryTableField id="13" dataBound="0" tableColumnId="13"/>
      <queryTableField id="7" name="Job_Type" tableColumnId="7"/>
      <queryTableField id="8" name="Work_Mode" tableColumnId="8"/>
      <queryTableField id="9" name="Skill_1" tableColumnId="9"/>
      <queryTableField id="10" name="Skill_2" tableColumnId="10"/>
      <queryTableField id="11" name="Skill_3" tableColumnId="11"/>
      <queryTableField id="12" name="Posted_Dat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B699629-87FB-4BC7-813A-F3A3FD786024}" sourceName="Job_Title">
  <pivotTables>
    <pivotTable tabId="4" name="PivotTable1"/>
    <pivotTable tabId="11" name="PivotTable5"/>
    <pivotTable tabId="10" name="PivotTable4"/>
    <pivotTable tabId="14" name="PivotTable8"/>
    <pivotTable tabId="13" name="PivotTable7"/>
    <pivotTable tabId="12" name="PivotTable6"/>
  </pivotTables>
  <data>
    <tabular pivotCacheId="924867077">
      <items count="10">
        <i x="9" s="1"/>
        <i x="8" s="1"/>
        <i x="5" s="1"/>
        <i x="7" s="1"/>
        <i x="4" s="1"/>
        <i x="1" s="1"/>
        <i x="6"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37713DB-30DA-4158-894E-EF1B20729413}" sourceName="Location">
  <pivotTables>
    <pivotTable tabId="10" name="PivotTable4"/>
    <pivotTable tabId="11" name="PivotTable5"/>
    <pivotTable tabId="4" name="PivotTable1"/>
    <pivotTable tabId="14" name="PivotTable8"/>
    <pivotTable tabId="13" name="PivotTable7"/>
    <pivotTable tabId="12" name="PivotTable6"/>
  </pivotTables>
  <data>
    <tabular pivotCacheId="924867077">
      <items count="10">
        <i x="5" s="1"/>
        <i x="2" s="1"/>
        <i x="4" s="1"/>
        <i x="6" s="1"/>
        <i x="1" s="1"/>
        <i x="8" s="1"/>
        <i x="0" s="1"/>
        <i x="7" s="1"/>
        <i x="3"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47CD2EF2-7138-487C-BE72-95E86C616B2B}" sourceName="Work_Mode">
  <pivotTables>
    <pivotTable tabId="12" name="PivotTable6"/>
    <pivotTable tabId="11" name="PivotTable5"/>
    <pivotTable tabId="4" name="PivotTable1"/>
    <pivotTable tabId="10" name="PivotTable4"/>
    <pivotTable tabId="14" name="PivotTable8"/>
    <pivotTable tabId="13" name="PivotTable7"/>
  </pivotTables>
  <data>
    <tabular pivotCacheId="92486707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17B0A9A2-B11B-4AAC-BA43-8CE9243404EA}" sourceName="Job_Type">
  <pivotTables>
    <pivotTable tabId="13" name="PivotTable7"/>
    <pivotTable tabId="11" name="PivotTable5"/>
    <pivotTable tabId="4" name="PivotTable1"/>
    <pivotTable tabId="10" name="PivotTable4"/>
    <pivotTable tabId="14" name="PivotTable8"/>
    <pivotTable tabId="12" name="PivotTable6"/>
  </pivotTables>
  <data>
    <tabular pivotCacheId="92486707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11E49B77-CF96-4621-8C78-B0BE7C300C5A}" sourceName="Experience">
  <pivotTables>
    <pivotTable tabId="11" name="PivotTable5"/>
    <pivotTable tabId="4" name="PivotTable1"/>
    <pivotTable tabId="10" name="PivotTable4"/>
    <pivotTable tabId="14" name="PivotTable8"/>
    <pivotTable tabId="13" name="PivotTable7"/>
    <pivotTable tabId="12" name="PivotTable6"/>
  </pivotTables>
  <data>
    <tabular pivotCacheId="924867077">
      <items count="5">
        <i x="2" s="1"/>
        <i x="0" s="1"/>
        <i x="4"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8A3AC554-00F5-4D97-BCF2-E7F0E77FBFC8}" cache="Slicer_Job_Title" caption="Job_Title" startItem="1" rowHeight="234950"/>
  <slicer name="Location 1" xr10:uid="{09192766-7103-42C4-BE31-ED13C3A52720}" cache="Slicer_Location" caption="Location" rowHeight="234950"/>
  <slicer name="Work_Mode" xr10:uid="{82855A15-88D9-4ACB-BD00-E6506BD8878B}" cache="Slicer_Work_Mode" caption="Work_Mode" rowHeight="234950"/>
  <slicer name="Job_Type" xr10:uid="{EC808DD0-5E76-47FC-8577-E0032BC010BF}" cache="Slicer_Job_Type" caption="Job_Type" rowHeight="234950"/>
  <slicer name="Experience" xr10:uid="{47090CD2-1311-400A-8ED0-9C0AA408E1DC}" cache="Slicer_Experience" caption="Experienc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207807-47F4-440F-A38B-8E7AAB3A83EA}" name="JobData_1" displayName="JobData_1" ref="A1:K1501" tableType="queryTable" totalsRowShown="0">
  <autoFilter ref="A1:K1501" xr:uid="{55207807-47F4-440F-A38B-8E7AAB3A83EA}"/>
  <tableColumns count="11">
    <tableColumn id="1" xr3:uid="{AB85D0E8-8B98-43A9-98E9-2FA57BA10ED7}" uniqueName="1" name="Job_ID" queryTableFieldId="1" dataDxfId="34"/>
    <tableColumn id="2" xr3:uid="{097C2684-DFC1-4C23-9F30-21227CC89FA8}" uniqueName="2" name="Job_Title" queryTableFieldId="2" dataDxfId="33"/>
    <tableColumn id="3" xr3:uid="{E0267420-DC3A-4D01-92A7-C3F8DAF23347}" uniqueName="3" name="Company" queryTableFieldId="3" dataDxfId="32"/>
    <tableColumn id="4" xr3:uid="{0CACEBF7-6B70-4C11-8009-6870B7F44C5C}" uniqueName="4" name="Location" queryTableFieldId="4" dataDxfId="31"/>
    <tableColumn id="5" xr3:uid="{950849AA-3F88-4BED-B6F9-05276CAA7B50}" uniqueName="5" name="Experience" queryTableFieldId="5" dataDxfId="30"/>
    <tableColumn id="6" xr3:uid="{1EB58A67-3C67-495A-A10D-4B16312B63B8}" uniqueName="6" name="Salary_INR" queryTableFieldId="6"/>
    <tableColumn id="7" xr3:uid="{09E49B42-FE7F-4A5A-B59E-737DA26FC0B3}" uniqueName="7" name="Salary_Lakhs" queryTableFieldId="7"/>
    <tableColumn id="8" xr3:uid="{A89C8E56-53B3-4A63-BDF8-74AE3AC9AF7C}" uniqueName="8" name="Job_Type" queryTableFieldId="8" dataDxfId="29"/>
    <tableColumn id="9" xr3:uid="{73D5E749-6AA0-4072-9471-C229F3714E69}" uniqueName="9" name="Work_Mode" queryTableFieldId="9" dataDxfId="28"/>
    <tableColumn id="10" xr3:uid="{0362ABA8-8B47-4DA9-82E6-3B4EAFBA32D9}" uniqueName="10" name="Posted_Date" queryTableFieldId="10" dataDxfId="27"/>
    <tableColumn id="11" xr3:uid="{CC954661-36FD-4B67-9876-851BA89B819B}" uniqueName="11" name="skills" queryTableFieldId="11"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C6EB5C-B1F6-4A87-B244-994886828124}" name="JobData" displayName="JobData" ref="A1:M501" tableType="queryTable" totalsRowShown="0">
  <autoFilter ref="A1:M501" xr:uid="{ADC6EB5C-B1F6-4A87-B244-994886828124}"/>
  <tableColumns count="13">
    <tableColumn id="1" xr3:uid="{EDA32E88-3991-4467-B109-84EB4CFE13BA}" uniqueName="1" name="Job_ID" queryTableFieldId="1" dataDxfId="25"/>
    <tableColumn id="2" xr3:uid="{4CE1668A-1B27-4881-851B-E0AA3789FCA8}" uniqueName="2" name="Job_Title" queryTableFieldId="2" dataDxfId="24"/>
    <tableColumn id="3" xr3:uid="{05F029E3-6141-42ED-B21D-847B8008EB7A}" uniqueName="3" name="Company" queryTableFieldId="3" dataDxfId="23"/>
    <tableColumn id="4" xr3:uid="{168C98A7-16E3-46EB-B74F-CFCA15CBA800}" uniqueName="4" name="Location" queryTableFieldId="4" dataDxfId="22"/>
    <tableColumn id="5" xr3:uid="{1AE5C423-328D-4AC1-88E5-047ACDED797D}" uniqueName="5" name="Experience" queryTableFieldId="5" dataDxfId="21"/>
    <tableColumn id="6" xr3:uid="{34DC56CA-7BB6-42F2-BB1A-3CD643E3B099}" uniqueName="6" name="Salary_INR" queryTableFieldId="6" dataCellStyle="Comma"/>
    <tableColumn id="13" xr3:uid="{4CB05FEE-DCCB-4434-9481-1B66649EC3BE}" uniqueName="13" name="Salary_Lakhs" queryTableFieldId="13" dataDxfId="20">
      <calculatedColumnFormula>F2/100000</calculatedColumnFormula>
    </tableColumn>
    <tableColumn id="7" xr3:uid="{EB2A2FEC-3555-4D0C-89FA-ECB80CB5E5D0}" uniqueName="7" name="Job_Type" queryTableFieldId="7" dataDxfId="19"/>
    <tableColumn id="8" xr3:uid="{13A820CF-3DF1-415E-B15D-94A5D3E77FFF}" uniqueName="8" name="Work_Mode" queryTableFieldId="8" dataDxfId="18"/>
    <tableColumn id="9" xr3:uid="{24CBD6FE-5508-480D-B922-3ADAAFB25FE2}" uniqueName="9" name="Skill_1" queryTableFieldId="9" dataDxfId="17"/>
    <tableColumn id="10" xr3:uid="{D4F6CE52-24F8-4394-88BF-DC36886A098E}" uniqueName="10" name="Skill_2" queryTableFieldId="10" dataDxfId="16"/>
    <tableColumn id="11" xr3:uid="{1E1AA460-4624-4140-A7E4-2BBFC5452CD6}" uniqueName="11" name="Skill_3" queryTableFieldId="11" dataDxfId="15"/>
    <tableColumn id="12" xr3:uid="{7C176EE8-A250-48AB-8E0F-3609DFA76B1A}" uniqueName="12" name="Posted_Date" queryTableFieldId="12" dataDxfId="14"/>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D2C0CD-FA5A-4F90-9383-662585D88A12}" name="Table1" displayName="Table1" ref="A1:L501" totalsRowShown="0" headerRowDxfId="13" dataDxfId="12">
  <autoFilter ref="A1:L501" xr:uid="{00000000-0009-0000-0000-000000000000}"/>
  <tableColumns count="12">
    <tableColumn id="1" xr3:uid="{84DBA867-45D1-4B87-A363-3859E360A433}" name="Job_ID" dataDxfId="11"/>
    <tableColumn id="2" xr3:uid="{2A1CE465-0E05-4C8A-9530-C078A7A1AB4D}" name="Job_Title" dataDxfId="10"/>
    <tableColumn id="3" xr3:uid="{A38F6953-E022-4401-8DA2-0CD113850DF1}" name="Company" dataDxfId="9"/>
    <tableColumn id="4" xr3:uid="{756F819D-44AF-45D5-8857-32C58CF5450A}" name="Location" dataDxfId="8"/>
    <tableColumn id="5" xr3:uid="{1758392F-E6D7-421D-9501-09C21646531A}" name="Experience" dataDxfId="7"/>
    <tableColumn id="6" xr3:uid="{4FE8C5B3-D372-456E-A938-CA5A1BB2BC83}" name="Salary_INR" dataDxfId="6"/>
    <tableColumn id="7" xr3:uid="{0D4B0C2D-9384-46CD-92F4-454EC99AB5FB}" name="Job_Type" dataDxfId="5"/>
    <tableColumn id="8" xr3:uid="{4C3B6E54-B1A5-42B7-A931-681B8C542736}" name="Work_Mode" dataDxfId="4"/>
    <tableColumn id="9" xr3:uid="{1DE42D3C-0189-4241-B151-A7FB4370B04F}" name="Skill_1" dataDxfId="3"/>
    <tableColumn id="10" xr3:uid="{E2DBFD03-8F3B-47D1-A7E3-5C14E89D2822}" name="Skill_2" dataDxfId="2"/>
    <tableColumn id="11" xr3:uid="{5AAEF063-EB84-4A20-893F-864AC58DF8CA}" name="Skill_3" dataDxfId="1"/>
    <tableColumn id="12" xr3:uid="{D9C6B79C-1846-4829-98B8-32795E95A5B9}" name="Posted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8344-258B-4564-AF2C-48F73421BF40}">
  <sheetPr codeName="Sheet5">
    <pageSetUpPr fitToPage="1"/>
  </sheetPr>
  <dimension ref="A1:AN49"/>
  <sheetViews>
    <sheetView showGridLines="0" tabSelected="1" topLeftCell="A5" zoomScale="32" zoomScaleNormal="57" workbookViewId="0">
      <selection activeCell="V23" sqref="V23"/>
    </sheetView>
  </sheetViews>
  <sheetFormatPr defaultRowHeight="14.4" x14ac:dyDescent="0.3"/>
  <cols>
    <col min="1" max="1" width="16.21875" bestFit="1" customWidth="1"/>
    <col min="2" max="2" width="7.109375" bestFit="1" customWidth="1"/>
    <col min="4" max="4" width="14" bestFit="1" customWidth="1"/>
    <col min="7" max="7" width="21.6640625" bestFit="1" customWidth="1"/>
    <col min="10" max="10" width="15.5546875" bestFit="1" customWidth="1"/>
    <col min="13" max="13" width="28.88671875" bestFit="1" customWidth="1"/>
    <col min="14" max="14" width="3.6640625" customWidth="1"/>
    <col min="15" max="15" width="22.6640625" bestFit="1" customWidth="1"/>
    <col min="16" max="16" width="4.5546875" customWidth="1"/>
    <col min="17" max="17" width="4.44140625" hidden="1" customWidth="1"/>
    <col min="18" max="18" width="14.44140625" customWidth="1"/>
    <col min="20" max="20" width="8.5546875" customWidth="1"/>
    <col min="23" max="23" width="24.33203125" customWidth="1"/>
    <col min="32" max="32" width="12.77734375" customWidth="1"/>
  </cols>
  <sheetData>
    <row r="1" spans="1:40" ht="19.2" customHeight="1" x14ac:dyDescent="0.3">
      <c r="A1" s="58" t="s">
        <v>1926</v>
      </c>
      <c r="B1" s="59"/>
      <c r="C1" s="59"/>
      <c r="D1" s="59"/>
      <c r="E1" s="59"/>
      <c r="F1" s="59"/>
      <c r="G1" s="59"/>
      <c r="H1" s="59"/>
      <c r="I1" s="59"/>
      <c r="J1" s="59"/>
      <c r="K1" s="59"/>
      <c r="L1" s="59"/>
      <c r="M1" s="59"/>
      <c r="N1" s="59"/>
      <c r="O1" s="59"/>
      <c r="P1" s="59"/>
      <c r="Q1" s="59"/>
      <c r="R1" s="59"/>
      <c r="S1" s="59"/>
      <c r="T1" s="59"/>
    </row>
    <row r="2" spans="1:40" x14ac:dyDescent="0.3">
      <c r="A2" s="59"/>
      <c r="B2" s="59"/>
      <c r="C2" s="59"/>
      <c r="D2" s="59"/>
      <c r="E2" s="59"/>
      <c r="F2" s="59"/>
      <c r="G2" s="59"/>
      <c r="H2" s="59"/>
      <c r="I2" s="59"/>
      <c r="J2" s="59"/>
      <c r="K2" s="59"/>
      <c r="L2" s="59"/>
      <c r="M2" s="59"/>
      <c r="N2" s="59"/>
      <c r="O2" s="59"/>
      <c r="P2" s="59"/>
      <c r="Q2" s="59"/>
      <c r="R2" s="59"/>
      <c r="S2" s="59"/>
      <c r="T2" s="59"/>
    </row>
    <row r="3" spans="1:40" ht="15.6" x14ac:dyDescent="0.3">
      <c r="A3" s="60" t="s">
        <v>1925</v>
      </c>
      <c r="B3" s="61"/>
      <c r="C3" s="61"/>
      <c r="D3" s="61"/>
      <c r="E3" s="61"/>
      <c r="F3" s="61"/>
      <c r="G3" s="61"/>
      <c r="H3" s="61"/>
      <c r="I3" s="61"/>
      <c r="J3" s="61"/>
      <c r="K3" s="61"/>
      <c r="L3" s="61"/>
      <c r="M3" s="61"/>
      <c r="N3" s="61"/>
      <c r="O3" s="61"/>
      <c r="P3" s="61"/>
      <c r="Q3" s="61"/>
      <c r="R3" s="61"/>
      <c r="S3" s="61"/>
      <c r="T3" s="61"/>
      <c r="U3" s="57"/>
      <c r="V3" s="57"/>
      <c r="W3" s="57"/>
      <c r="X3" s="57"/>
      <c r="Y3" s="57"/>
      <c r="Z3" s="57"/>
      <c r="AA3" s="57"/>
      <c r="AB3" s="57"/>
      <c r="AC3" s="57"/>
      <c r="AD3" s="57"/>
      <c r="AE3" s="57"/>
      <c r="AF3" s="57"/>
      <c r="AG3" s="57"/>
      <c r="AH3" s="57"/>
      <c r="AI3" s="57"/>
      <c r="AJ3" s="57"/>
      <c r="AK3" s="57"/>
      <c r="AL3" s="57"/>
      <c r="AM3" s="57"/>
      <c r="AN3" s="57"/>
    </row>
    <row r="4" spans="1:40" ht="15" thickBot="1" x14ac:dyDescent="0.35">
      <c r="U4" s="57"/>
      <c r="V4" s="57"/>
      <c r="W4" s="57"/>
      <c r="X4" s="57"/>
      <c r="Y4" s="57"/>
      <c r="Z4" s="57"/>
      <c r="AA4" s="57"/>
      <c r="AB4" s="57"/>
      <c r="AC4" s="57"/>
      <c r="AD4" s="57"/>
      <c r="AE4" s="57"/>
      <c r="AF4" s="57"/>
      <c r="AG4" s="57"/>
      <c r="AH4" s="57"/>
      <c r="AI4" s="57"/>
      <c r="AJ4" s="57"/>
      <c r="AK4" s="57"/>
      <c r="AL4" s="57"/>
      <c r="AM4" s="57"/>
      <c r="AN4" s="57"/>
    </row>
    <row r="5" spans="1:40" ht="25.8" x14ac:dyDescent="0.5">
      <c r="A5" s="47" t="s">
        <v>1928</v>
      </c>
      <c r="B5" s="47"/>
      <c r="C5" s="13"/>
      <c r="D5" s="49" t="s">
        <v>1921</v>
      </c>
      <c r="E5" s="49"/>
      <c r="F5" s="13"/>
      <c r="G5" s="52" t="s">
        <v>1929</v>
      </c>
      <c r="H5" s="52"/>
      <c r="I5" s="13"/>
      <c r="J5" s="43" t="s">
        <v>1922</v>
      </c>
      <c r="K5" s="43"/>
      <c r="L5" s="13"/>
      <c r="M5" s="26" t="s">
        <v>1923</v>
      </c>
      <c r="N5" s="11"/>
      <c r="O5" s="53" t="s">
        <v>1924</v>
      </c>
      <c r="P5" s="54"/>
      <c r="Q5" s="15"/>
      <c r="R5" s="15"/>
      <c r="S5" s="15"/>
      <c r="T5" s="16"/>
      <c r="AA5" s="63"/>
      <c r="AB5" s="56"/>
      <c r="AC5" s="14"/>
      <c r="AD5" s="14"/>
      <c r="AE5" s="14"/>
      <c r="AF5" s="14"/>
    </row>
    <row r="6" spans="1:40" ht="28.8" x14ac:dyDescent="0.5">
      <c r="A6" s="48">
        <v>500</v>
      </c>
      <c r="B6" s="48"/>
      <c r="C6" s="13"/>
      <c r="D6" s="50" t="s">
        <v>1927</v>
      </c>
      <c r="E6" s="50"/>
      <c r="F6" s="13"/>
      <c r="G6" s="62" t="s">
        <v>49</v>
      </c>
      <c r="H6" s="62"/>
      <c r="I6" s="13"/>
      <c r="J6" s="44" t="s">
        <v>45</v>
      </c>
      <c r="K6" s="44"/>
      <c r="L6" s="13"/>
      <c r="M6" s="28" t="s">
        <v>64</v>
      </c>
      <c r="N6" s="11"/>
      <c r="O6" s="55"/>
      <c r="P6" s="56"/>
      <c r="Q6" s="14"/>
      <c r="R6" s="14"/>
      <c r="S6" s="14"/>
      <c r="T6" s="17"/>
      <c r="AA6" s="56"/>
      <c r="AB6" s="56"/>
      <c r="AC6" s="14"/>
      <c r="AD6" s="14"/>
      <c r="AE6" s="14"/>
      <c r="AF6" s="14"/>
    </row>
    <row r="7" spans="1:40" ht="25.8" x14ac:dyDescent="0.4">
      <c r="A7" s="47"/>
      <c r="B7" s="47"/>
      <c r="C7" s="13"/>
      <c r="D7" s="51"/>
      <c r="E7" s="51"/>
      <c r="F7" s="13"/>
      <c r="G7" s="42"/>
      <c r="H7" s="42"/>
      <c r="I7" s="13"/>
      <c r="J7" s="45"/>
      <c r="K7" s="45"/>
      <c r="L7" s="13"/>
      <c r="M7" s="27"/>
      <c r="O7" s="25"/>
      <c r="T7" s="21"/>
      <c r="W7" s="10"/>
      <c r="Z7" s="10"/>
      <c r="AG7" s="14"/>
    </row>
    <row r="8" spans="1:40" x14ac:dyDescent="0.3">
      <c r="A8" s="46"/>
      <c r="B8" s="46"/>
      <c r="N8" s="12"/>
      <c r="O8" s="18"/>
      <c r="P8" s="14"/>
      <c r="Q8" s="14"/>
      <c r="R8" s="14"/>
      <c r="S8" s="14"/>
      <c r="T8" s="17"/>
      <c r="AA8" s="14"/>
      <c r="AB8" s="14"/>
      <c r="AC8" s="14"/>
      <c r="AD8" s="14"/>
      <c r="AE8" s="14"/>
      <c r="AF8" s="14"/>
    </row>
    <row r="9" spans="1:40" x14ac:dyDescent="0.3">
      <c r="A9" s="46"/>
      <c r="B9" s="46"/>
      <c r="N9" s="12"/>
      <c r="O9" s="18"/>
      <c r="P9" s="14"/>
      <c r="Q9" s="14"/>
      <c r="R9" s="14"/>
      <c r="S9" s="14"/>
      <c r="T9" s="17"/>
      <c r="AA9" s="14"/>
      <c r="AB9" s="14"/>
      <c r="AC9" s="14"/>
      <c r="AD9" s="14"/>
      <c r="AE9" s="14"/>
      <c r="AF9" s="14"/>
    </row>
    <row r="10" spans="1:40" x14ac:dyDescent="0.3">
      <c r="A10" s="46"/>
      <c r="B10" s="46"/>
      <c r="N10" s="12"/>
      <c r="O10" s="18"/>
      <c r="P10" s="14"/>
      <c r="Q10" s="14"/>
      <c r="R10" s="14"/>
      <c r="S10" s="14"/>
      <c r="T10" s="17"/>
      <c r="W10" s="9"/>
      <c r="AA10" s="14"/>
      <c r="AB10" s="14"/>
      <c r="AC10" s="14"/>
      <c r="AD10" s="14"/>
      <c r="AE10" s="14"/>
      <c r="AF10" s="14"/>
    </row>
    <row r="11" spans="1:40" x14ac:dyDescent="0.3">
      <c r="N11" s="12"/>
      <c r="O11" s="18"/>
      <c r="P11" s="14"/>
      <c r="Q11" s="14"/>
      <c r="R11" s="14"/>
      <c r="S11" s="14"/>
      <c r="T11" s="17"/>
      <c r="AA11" s="14"/>
      <c r="AB11" s="14"/>
      <c r="AC11" s="14"/>
      <c r="AD11" s="14"/>
      <c r="AE11" s="14"/>
      <c r="AF11" s="14"/>
    </row>
    <row r="12" spans="1:40" x14ac:dyDescent="0.3">
      <c r="N12" s="12"/>
      <c r="O12" s="18"/>
      <c r="P12" s="14"/>
      <c r="Q12" s="14"/>
      <c r="R12" s="14"/>
      <c r="S12" s="14"/>
      <c r="T12" s="17"/>
      <c r="AA12" s="14"/>
      <c r="AB12" s="14"/>
      <c r="AC12" s="14"/>
      <c r="AD12" s="14"/>
      <c r="AE12" s="14"/>
      <c r="AF12" s="14"/>
    </row>
    <row r="13" spans="1:40" x14ac:dyDescent="0.3">
      <c r="N13" s="12"/>
      <c r="O13" s="18"/>
      <c r="P13" s="14"/>
      <c r="Q13" s="14"/>
      <c r="R13" s="14"/>
      <c r="S13" s="14"/>
      <c r="T13" s="17"/>
      <c r="AA13" s="14"/>
      <c r="AB13" s="14"/>
      <c r="AC13" s="14"/>
      <c r="AD13" s="14"/>
      <c r="AE13" s="14"/>
      <c r="AF13" s="14"/>
    </row>
    <row r="14" spans="1:40" x14ac:dyDescent="0.3">
      <c r="N14" s="12"/>
      <c r="O14" s="18"/>
      <c r="P14" s="14"/>
      <c r="Q14" s="14"/>
      <c r="R14" s="14"/>
      <c r="S14" s="14"/>
      <c r="T14" s="17"/>
      <c r="AA14" s="14"/>
      <c r="AB14" s="14"/>
      <c r="AC14" s="14"/>
      <c r="AD14" s="14"/>
      <c r="AE14" s="14"/>
      <c r="AF14" s="14"/>
    </row>
    <row r="15" spans="1:40" x14ac:dyDescent="0.3">
      <c r="N15" s="12"/>
      <c r="O15" s="18"/>
      <c r="P15" s="14"/>
      <c r="Q15" s="14"/>
      <c r="R15" s="14"/>
      <c r="S15" s="14"/>
      <c r="T15" s="17"/>
      <c r="AA15" s="14"/>
      <c r="AB15" s="14"/>
      <c r="AC15" s="14"/>
      <c r="AD15" s="14"/>
      <c r="AE15" s="14"/>
      <c r="AF15" s="14"/>
    </row>
    <row r="16" spans="1:40" x14ac:dyDescent="0.3">
      <c r="N16" s="12"/>
      <c r="O16" s="18"/>
      <c r="P16" s="14"/>
      <c r="Q16" s="14"/>
      <c r="R16" s="14"/>
      <c r="S16" s="14"/>
      <c r="T16" s="17"/>
      <c r="AA16" s="14"/>
      <c r="AB16" s="14"/>
      <c r="AC16" s="14"/>
      <c r="AD16" s="14"/>
      <c r="AE16" s="14"/>
      <c r="AF16" s="14"/>
    </row>
    <row r="17" spans="14:32" x14ac:dyDescent="0.3">
      <c r="N17" s="12"/>
      <c r="O17" s="18"/>
      <c r="P17" s="14"/>
      <c r="Q17" s="14"/>
      <c r="R17" s="14"/>
      <c r="S17" s="14"/>
      <c r="T17" s="17"/>
      <c r="AA17" s="14"/>
      <c r="AB17" s="14"/>
      <c r="AC17" s="14"/>
      <c r="AD17" s="14"/>
      <c r="AE17" s="14"/>
      <c r="AF17" s="14"/>
    </row>
    <row r="18" spans="14:32" x14ac:dyDescent="0.3">
      <c r="N18" s="12"/>
      <c r="O18" s="18"/>
      <c r="P18" s="14"/>
      <c r="Q18" s="14"/>
      <c r="R18" s="14"/>
      <c r="S18" s="14"/>
      <c r="T18" s="17"/>
      <c r="AA18" s="14"/>
      <c r="AB18" s="14"/>
      <c r="AC18" s="14"/>
      <c r="AD18" s="14"/>
      <c r="AE18" s="14"/>
      <c r="AF18" s="14"/>
    </row>
    <row r="19" spans="14:32" x14ac:dyDescent="0.3">
      <c r="N19" s="12"/>
      <c r="O19" s="18"/>
      <c r="P19" s="14"/>
      <c r="Q19" s="14"/>
      <c r="R19" s="14"/>
      <c r="S19" s="14"/>
      <c r="T19" s="17"/>
      <c r="AA19" s="14"/>
      <c r="AB19" s="14"/>
      <c r="AC19" s="14"/>
      <c r="AD19" s="14"/>
      <c r="AE19" s="14"/>
      <c r="AF19" s="14"/>
    </row>
    <row r="20" spans="14:32" x14ac:dyDescent="0.3">
      <c r="N20" s="12"/>
      <c r="O20" s="18"/>
      <c r="P20" s="14"/>
      <c r="Q20" s="14"/>
      <c r="R20" s="14"/>
      <c r="S20" s="14"/>
      <c r="T20" s="17"/>
      <c r="AA20" s="14"/>
      <c r="AB20" s="14"/>
      <c r="AC20" s="14"/>
      <c r="AD20" s="14"/>
      <c r="AE20" s="14"/>
      <c r="AF20" s="14"/>
    </row>
    <row r="21" spans="14:32" x14ac:dyDescent="0.3">
      <c r="N21" s="12"/>
      <c r="O21" s="18"/>
      <c r="P21" s="14"/>
      <c r="Q21" s="14"/>
      <c r="R21" s="14"/>
      <c r="S21" s="14"/>
      <c r="T21" s="17"/>
      <c r="AA21" s="14"/>
      <c r="AB21" s="14"/>
      <c r="AC21" s="14"/>
      <c r="AD21" s="14"/>
      <c r="AE21" s="14"/>
      <c r="AF21" s="14"/>
    </row>
    <row r="22" spans="14:32" x14ac:dyDescent="0.3">
      <c r="N22" s="12"/>
      <c r="O22" s="18"/>
      <c r="P22" s="14"/>
      <c r="Q22" s="14"/>
      <c r="R22" s="14"/>
      <c r="S22" s="14"/>
      <c r="T22" s="17"/>
      <c r="AA22" s="14"/>
      <c r="AB22" s="14"/>
      <c r="AC22" s="14"/>
      <c r="AD22" s="14"/>
      <c r="AE22" s="14"/>
      <c r="AF22" s="14"/>
    </row>
    <row r="23" spans="14:32" x14ac:dyDescent="0.3">
      <c r="N23" s="12"/>
      <c r="O23" s="18"/>
      <c r="P23" s="14"/>
      <c r="Q23" s="14"/>
      <c r="R23" s="14"/>
      <c r="S23" s="14"/>
      <c r="T23" s="17"/>
      <c r="AA23" s="14"/>
      <c r="AB23" s="14"/>
      <c r="AC23" s="14"/>
      <c r="AD23" s="14"/>
      <c r="AE23" s="14"/>
      <c r="AF23" s="14"/>
    </row>
    <row r="24" spans="14:32" x14ac:dyDescent="0.3">
      <c r="N24" s="12"/>
      <c r="O24" s="18"/>
      <c r="P24" s="14"/>
      <c r="Q24" s="14"/>
      <c r="R24" s="14"/>
      <c r="S24" s="14"/>
      <c r="T24" s="17"/>
      <c r="AA24" s="14"/>
      <c r="AB24" s="14"/>
      <c r="AC24" s="14"/>
      <c r="AD24" s="14"/>
      <c r="AE24" s="14"/>
      <c r="AF24" s="14"/>
    </row>
    <row r="25" spans="14:32" x14ac:dyDescent="0.3">
      <c r="N25" s="12"/>
      <c r="O25" s="18"/>
      <c r="P25" s="14"/>
      <c r="Q25" s="14"/>
      <c r="R25" s="14"/>
      <c r="S25" s="14"/>
      <c r="T25" s="17"/>
      <c r="AA25" s="14"/>
      <c r="AB25" s="14"/>
      <c r="AC25" s="14"/>
      <c r="AD25" s="14"/>
      <c r="AE25" s="14"/>
      <c r="AF25" s="14"/>
    </row>
    <row r="26" spans="14:32" x14ac:dyDescent="0.3">
      <c r="N26" s="12"/>
      <c r="O26" s="18"/>
      <c r="P26" s="14"/>
      <c r="Q26" s="14"/>
      <c r="R26" s="14"/>
      <c r="S26" s="14"/>
      <c r="T26" s="17"/>
      <c r="AA26" s="14"/>
      <c r="AB26" s="14"/>
      <c r="AC26" s="14"/>
      <c r="AD26" s="14"/>
      <c r="AE26" s="14"/>
      <c r="AF26" s="14"/>
    </row>
    <row r="27" spans="14:32" x14ac:dyDescent="0.3">
      <c r="N27" s="12"/>
      <c r="O27" s="18"/>
      <c r="P27" s="14"/>
      <c r="Q27" s="14"/>
      <c r="R27" s="14"/>
      <c r="S27" s="14"/>
      <c r="T27" s="17"/>
      <c r="AA27" s="14"/>
      <c r="AB27" s="14"/>
      <c r="AC27" s="14"/>
      <c r="AD27" s="14"/>
      <c r="AE27" s="14"/>
      <c r="AF27" s="14"/>
    </row>
    <row r="28" spans="14:32" x14ac:dyDescent="0.3">
      <c r="N28" s="12"/>
      <c r="O28" s="18"/>
      <c r="P28" s="14"/>
      <c r="Q28" s="14"/>
      <c r="R28" s="14"/>
      <c r="S28" s="14"/>
      <c r="T28" s="17"/>
      <c r="AA28" s="14"/>
      <c r="AB28" s="14"/>
      <c r="AC28" s="14"/>
      <c r="AD28" s="14"/>
      <c r="AE28" s="14"/>
      <c r="AF28" s="14"/>
    </row>
    <row r="29" spans="14:32" x14ac:dyDescent="0.3">
      <c r="N29" s="12"/>
      <c r="O29" s="18"/>
      <c r="P29" s="14"/>
      <c r="Q29" s="14"/>
      <c r="R29" s="14"/>
      <c r="S29" s="14"/>
      <c r="T29" s="17"/>
      <c r="AA29" s="14"/>
      <c r="AB29" s="14"/>
      <c r="AC29" s="14"/>
      <c r="AD29" s="14"/>
      <c r="AE29" s="14"/>
      <c r="AF29" s="14"/>
    </row>
    <row r="30" spans="14:32" x14ac:dyDescent="0.3">
      <c r="N30" s="12"/>
      <c r="O30" s="18"/>
      <c r="P30" s="14"/>
      <c r="Q30" s="14"/>
      <c r="R30" s="14"/>
      <c r="S30" s="14"/>
      <c r="T30" s="17"/>
      <c r="AA30" s="14"/>
      <c r="AB30" s="14"/>
      <c r="AC30" s="14"/>
      <c r="AD30" s="14"/>
      <c r="AE30" s="14"/>
      <c r="AF30" s="14"/>
    </row>
    <row r="31" spans="14:32" x14ac:dyDescent="0.3">
      <c r="N31" s="12"/>
      <c r="O31" s="18"/>
      <c r="P31" s="14"/>
      <c r="Q31" s="14"/>
      <c r="R31" s="14"/>
      <c r="S31" s="14"/>
      <c r="T31" s="17"/>
      <c r="AA31" s="14"/>
      <c r="AB31" s="14"/>
      <c r="AC31" s="14"/>
      <c r="AD31" s="14"/>
      <c r="AE31" s="14"/>
      <c r="AF31" s="14"/>
    </row>
    <row r="32" spans="14:32" x14ac:dyDescent="0.3">
      <c r="N32" s="12"/>
      <c r="O32" s="18"/>
      <c r="P32" s="14"/>
      <c r="Q32" s="14"/>
      <c r="R32" s="14"/>
      <c r="S32" s="14"/>
      <c r="T32" s="17"/>
      <c r="AA32" s="14"/>
      <c r="AB32" s="14"/>
      <c r="AC32" s="14"/>
      <c r="AD32" s="14"/>
      <c r="AE32" s="14"/>
      <c r="AF32" s="14"/>
    </row>
    <row r="33" spans="14:32" x14ac:dyDescent="0.3">
      <c r="N33" s="12"/>
      <c r="O33" s="18"/>
      <c r="P33" s="14"/>
      <c r="Q33" s="14"/>
      <c r="R33" s="14"/>
      <c r="S33" s="14"/>
      <c r="T33" s="17"/>
      <c r="AA33" s="14"/>
      <c r="AB33" s="14"/>
      <c r="AC33" s="14"/>
      <c r="AD33" s="14"/>
      <c r="AE33" s="14"/>
      <c r="AF33" s="14"/>
    </row>
    <row r="34" spans="14:32" x14ac:dyDescent="0.3">
      <c r="N34" s="12"/>
      <c r="O34" s="18"/>
      <c r="P34" s="14"/>
      <c r="Q34" s="14"/>
      <c r="R34" s="14"/>
      <c r="S34" s="14"/>
      <c r="T34" s="17"/>
      <c r="U34" s="12"/>
      <c r="AA34" s="14"/>
      <c r="AB34" s="14"/>
      <c r="AC34" s="14"/>
      <c r="AD34" s="14"/>
      <c r="AE34" s="14"/>
      <c r="AF34" s="14"/>
    </row>
    <row r="35" spans="14:32" x14ac:dyDescent="0.3">
      <c r="N35" s="12"/>
      <c r="O35" s="22"/>
      <c r="P35" s="12"/>
      <c r="Q35" s="12"/>
      <c r="R35" s="12"/>
      <c r="S35" s="12"/>
      <c r="T35" s="21"/>
      <c r="AA35" s="12"/>
      <c r="AB35" s="12"/>
      <c r="AC35" s="12"/>
      <c r="AD35" s="12"/>
      <c r="AE35" s="12"/>
    </row>
    <row r="36" spans="14:32" x14ac:dyDescent="0.3">
      <c r="N36" s="12"/>
      <c r="O36" s="22"/>
      <c r="P36" s="12"/>
      <c r="Q36" s="12"/>
      <c r="R36" s="12"/>
      <c r="S36" s="12"/>
      <c r="T36" s="23"/>
      <c r="AA36" s="12"/>
      <c r="AB36" s="12"/>
      <c r="AC36" s="12"/>
      <c r="AD36" s="12"/>
      <c r="AE36" s="12"/>
      <c r="AF36" s="12"/>
    </row>
    <row r="37" spans="14:32" x14ac:dyDescent="0.3">
      <c r="N37" s="12"/>
      <c r="O37" s="22"/>
      <c r="P37" s="12"/>
      <c r="Q37" s="12"/>
      <c r="R37" s="12"/>
      <c r="S37" s="12"/>
      <c r="T37" s="23"/>
      <c r="AA37" s="12"/>
      <c r="AB37" s="12"/>
      <c r="AC37" s="12"/>
      <c r="AD37" s="12"/>
      <c r="AE37" s="12"/>
      <c r="AF37" s="12"/>
    </row>
    <row r="38" spans="14:32" ht="15" thickBot="1" x14ac:dyDescent="0.35">
      <c r="N38" s="12"/>
      <c r="O38" s="19"/>
      <c r="P38" s="20"/>
      <c r="Q38" s="20"/>
      <c r="R38" s="20"/>
      <c r="S38" s="20"/>
      <c r="T38" s="24"/>
      <c r="AA38" s="12"/>
      <c r="AB38" s="12"/>
      <c r="AC38" s="12"/>
      <c r="AD38" s="12"/>
      <c r="AE38" s="12"/>
      <c r="AF38" s="12"/>
    </row>
    <row r="39" spans="14:32" x14ac:dyDescent="0.3">
      <c r="N39" s="12"/>
      <c r="O39" s="12"/>
      <c r="P39" s="12"/>
      <c r="Q39" s="12"/>
      <c r="R39" s="12"/>
      <c r="S39" s="12"/>
      <c r="T39" s="12"/>
    </row>
    <row r="40" spans="14:32" x14ac:dyDescent="0.3">
      <c r="N40" s="12"/>
      <c r="P40" s="12"/>
      <c r="Q40" s="12"/>
      <c r="R40" s="12"/>
      <c r="S40" s="12"/>
      <c r="T40" s="12"/>
    </row>
    <row r="41" spans="14:32" x14ac:dyDescent="0.3">
      <c r="N41" s="12"/>
      <c r="O41" s="12"/>
      <c r="P41" s="12"/>
      <c r="Q41" s="12"/>
      <c r="R41" s="12"/>
      <c r="S41" s="12"/>
      <c r="T41" s="12"/>
    </row>
    <row r="42" spans="14:32" x14ac:dyDescent="0.3">
      <c r="N42" s="12"/>
      <c r="O42" s="12"/>
      <c r="P42" s="12"/>
      <c r="Q42" s="12"/>
      <c r="R42" s="12"/>
      <c r="S42" s="12"/>
      <c r="T42" s="12"/>
    </row>
    <row r="43" spans="14:32" x14ac:dyDescent="0.3">
      <c r="N43" s="12"/>
      <c r="O43" s="12"/>
      <c r="P43" s="12"/>
      <c r="Q43" s="12"/>
      <c r="R43" s="12"/>
      <c r="S43" s="12"/>
      <c r="T43" s="12"/>
    </row>
    <row r="44" spans="14:32" x14ac:dyDescent="0.3">
      <c r="N44" s="12"/>
      <c r="O44" s="12"/>
      <c r="P44" s="12"/>
      <c r="Q44" s="12"/>
      <c r="R44" s="12"/>
      <c r="S44" s="12"/>
      <c r="T44" s="12"/>
    </row>
    <row r="45" spans="14:32" x14ac:dyDescent="0.3">
      <c r="N45" s="12"/>
      <c r="O45" s="12"/>
      <c r="P45" s="12"/>
      <c r="Q45" s="12"/>
      <c r="R45" s="12"/>
      <c r="S45" s="12"/>
      <c r="T45" s="12"/>
    </row>
    <row r="46" spans="14:32" x14ac:dyDescent="0.3">
      <c r="N46" s="12"/>
      <c r="O46" s="12"/>
      <c r="P46" s="12"/>
      <c r="Q46" s="12"/>
      <c r="R46" s="12"/>
      <c r="S46" s="12"/>
      <c r="T46" s="12"/>
    </row>
    <row r="47" spans="14:32" x14ac:dyDescent="0.3">
      <c r="N47" s="12"/>
      <c r="O47" s="12"/>
      <c r="P47" s="12"/>
      <c r="Q47" s="12"/>
      <c r="R47" s="12"/>
      <c r="S47" s="12"/>
      <c r="T47" s="12"/>
    </row>
    <row r="48" spans="14:32" x14ac:dyDescent="0.3">
      <c r="N48" s="12"/>
      <c r="O48" s="12"/>
      <c r="P48" s="12"/>
      <c r="Q48" s="12"/>
      <c r="R48" s="12"/>
      <c r="S48" s="12"/>
      <c r="T48" s="12"/>
    </row>
    <row r="49" spans="14:20" x14ac:dyDescent="0.3">
      <c r="N49" s="12"/>
      <c r="O49" s="12"/>
      <c r="P49" s="12"/>
      <c r="Q49" s="12"/>
      <c r="R49" s="12"/>
      <c r="S49" s="12"/>
      <c r="T49" s="12"/>
    </row>
  </sheetData>
  <mergeCells count="18">
    <mergeCell ref="O5:P6"/>
    <mergeCell ref="U3:AN4"/>
    <mergeCell ref="A1:T2"/>
    <mergeCell ref="A3:T3"/>
    <mergeCell ref="G6:H6"/>
    <mergeCell ref="AA5:AB6"/>
    <mergeCell ref="G7:H7"/>
    <mergeCell ref="J5:K5"/>
    <mergeCell ref="J6:K6"/>
    <mergeCell ref="J7:K7"/>
    <mergeCell ref="A8:B10"/>
    <mergeCell ref="A5:B5"/>
    <mergeCell ref="A6:B6"/>
    <mergeCell ref="A7:B7"/>
    <mergeCell ref="D5:E5"/>
    <mergeCell ref="D6:E6"/>
    <mergeCell ref="D7:E7"/>
    <mergeCell ref="G5:H5"/>
  </mergeCells>
  <phoneticPr fontId="15" type="noConversion"/>
  <pageMargins left="0.25" right="0.25" top="0.75" bottom="0.75" header="0.3" footer="0.3"/>
  <pageSetup paperSize="9" scale="23"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C5FC-4307-4BAE-9740-FA8FB693596A}">
  <sheetPr codeName="Sheet6"/>
  <dimension ref="A1:A16"/>
  <sheetViews>
    <sheetView workbookViewId="0">
      <selection activeCell="F17" sqref="F17"/>
    </sheetView>
  </sheetViews>
  <sheetFormatPr defaultRowHeight="14.4" x14ac:dyDescent="0.3"/>
  <cols>
    <col min="1" max="1" width="103.88671875" bestFit="1" customWidth="1"/>
  </cols>
  <sheetData>
    <row r="1" spans="1:1" ht="18" x14ac:dyDescent="0.35">
      <c r="A1" s="41" t="s">
        <v>1930</v>
      </c>
    </row>
    <row r="2" spans="1:1" x14ac:dyDescent="0.3">
      <c r="A2" s="29" t="s">
        <v>1931</v>
      </c>
    </row>
    <row r="3" spans="1:1" x14ac:dyDescent="0.3">
      <c r="A3" s="29" t="s">
        <v>1932</v>
      </c>
    </row>
    <row r="4" spans="1:1" x14ac:dyDescent="0.3">
      <c r="A4" s="29" t="s">
        <v>1933</v>
      </c>
    </row>
    <row r="5" spans="1:1" x14ac:dyDescent="0.3">
      <c r="A5" s="29" t="s">
        <v>1934</v>
      </c>
    </row>
    <row r="6" spans="1:1" x14ac:dyDescent="0.3">
      <c r="A6" s="29" t="s">
        <v>1935</v>
      </c>
    </row>
    <row r="7" spans="1:1" x14ac:dyDescent="0.3">
      <c r="A7" s="29" t="s">
        <v>1936</v>
      </c>
    </row>
    <row r="8" spans="1:1" x14ac:dyDescent="0.3">
      <c r="A8" s="29" t="s">
        <v>1937</v>
      </c>
    </row>
    <row r="9" spans="1:1" x14ac:dyDescent="0.3">
      <c r="A9" s="29" t="s">
        <v>1938</v>
      </c>
    </row>
    <row r="11" spans="1:1" ht="18" x14ac:dyDescent="0.35">
      <c r="A11" s="40" t="s">
        <v>1939</v>
      </c>
    </row>
    <row r="12" spans="1:1" x14ac:dyDescent="0.3">
      <c r="A12" s="29" t="s">
        <v>1940</v>
      </c>
    </row>
    <row r="13" spans="1:1" x14ac:dyDescent="0.3">
      <c r="A13" s="29" t="s">
        <v>1941</v>
      </c>
    </row>
    <row r="14" spans="1:1" x14ac:dyDescent="0.3">
      <c r="A14" s="29" t="s">
        <v>1942</v>
      </c>
    </row>
    <row r="15" spans="1:1" x14ac:dyDescent="0.3">
      <c r="A15" s="29" t="s">
        <v>1943</v>
      </c>
    </row>
    <row r="16" spans="1:1" x14ac:dyDescent="0.3">
      <c r="A16" s="29" t="s">
        <v>1944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D1EA-26A6-4D3F-BD7D-A8A624478998}">
  <sheetPr codeName="Sheet3"/>
  <dimension ref="A1:B18"/>
  <sheetViews>
    <sheetView workbookViewId="0">
      <selection activeCell="I10" sqref="I10"/>
    </sheetView>
  </sheetViews>
  <sheetFormatPr defaultRowHeight="14.4" x14ac:dyDescent="0.3"/>
  <cols>
    <col min="1" max="1" width="23.33203125" bestFit="1" customWidth="1"/>
    <col min="2" max="2" width="11" bestFit="1" customWidth="1"/>
    <col min="3" max="3" width="4" bestFit="1" customWidth="1"/>
  </cols>
  <sheetData>
    <row r="1" spans="1:2" x14ac:dyDescent="0.3">
      <c r="A1" s="33" t="s">
        <v>1898</v>
      </c>
      <c r="B1" s="29"/>
    </row>
    <row r="2" spans="1:2" x14ac:dyDescent="0.3">
      <c r="A2" s="33">
        <f>COUNTA(JobData[Job_ID])</f>
        <v>500</v>
      </c>
      <c r="B2" s="29"/>
    </row>
    <row r="3" spans="1:2" x14ac:dyDescent="0.3">
      <c r="A3" s="31" t="s">
        <v>1899</v>
      </c>
      <c r="B3" s="29"/>
    </row>
    <row r="4" spans="1:2" x14ac:dyDescent="0.3">
      <c r="A4" s="31">
        <f>AVERAGE(JobData[Salary_Lakhs])</f>
        <v>12.978899999999994</v>
      </c>
      <c r="B4" s="29"/>
    </row>
    <row r="5" spans="1:2" x14ac:dyDescent="0.3">
      <c r="A5" s="30" t="s">
        <v>1900</v>
      </c>
      <c r="B5" s="30"/>
    </row>
    <row r="6" spans="1:2" x14ac:dyDescent="0.3">
      <c r="A6" s="30" t="s">
        <v>49</v>
      </c>
      <c r="B6" s="30">
        <v>63</v>
      </c>
    </row>
    <row r="7" spans="1:2" x14ac:dyDescent="0.3">
      <c r="A7" s="32" t="s">
        <v>1906</v>
      </c>
      <c r="B7" s="32" t="s">
        <v>45</v>
      </c>
    </row>
    <row r="8" spans="1:2" x14ac:dyDescent="0.3">
      <c r="A8" s="32" t="s">
        <v>1907</v>
      </c>
      <c r="B8" s="32">
        <v>149</v>
      </c>
    </row>
    <row r="9" spans="1:2" x14ac:dyDescent="0.3">
      <c r="A9" s="39" t="s">
        <v>1909</v>
      </c>
      <c r="B9" s="39" t="s">
        <v>64</v>
      </c>
    </row>
    <row r="10" spans="1:2" x14ac:dyDescent="0.3">
      <c r="A10" s="39" t="s">
        <v>1910</v>
      </c>
      <c r="B10" s="39">
        <v>64</v>
      </c>
    </row>
    <row r="11" spans="1:2" x14ac:dyDescent="0.3">
      <c r="A11" s="34" t="s">
        <v>1912</v>
      </c>
      <c r="B11" s="34" t="s">
        <v>1913</v>
      </c>
    </row>
    <row r="12" spans="1:2" x14ac:dyDescent="0.3">
      <c r="A12" s="34" t="s">
        <v>1910</v>
      </c>
      <c r="B12" s="34">
        <v>137</v>
      </c>
    </row>
    <row r="13" spans="1:2" x14ac:dyDescent="0.3">
      <c r="A13" s="35" t="s">
        <v>1915</v>
      </c>
      <c r="B13" s="36" t="s">
        <v>28</v>
      </c>
    </row>
    <row r="14" spans="1:2" x14ac:dyDescent="0.3">
      <c r="A14" s="35" t="s">
        <v>1916</v>
      </c>
      <c r="B14" s="36">
        <v>268</v>
      </c>
    </row>
    <row r="15" spans="1:2" x14ac:dyDescent="0.3">
      <c r="A15" s="37" t="s">
        <v>1918</v>
      </c>
      <c r="B15" s="37" t="s">
        <v>27</v>
      </c>
    </row>
    <row r="16" spans="1:2" x14ac:dyDescent="0.3">
      <c r="A16" s="37" t="s">
        <v>1910</v>
      </c>
      <c r="B16" s="37">
        <v>376</v>
      </c>
    </row>
    <row r="17" spans="1:2" x14ac:dyDescent="0.3">
      <c r="A17" s="38" t="s">
        <v>1920</v>
      </c>
      <c r="B17" s="38" t="s">
        <v>34</v>
      </c>
    </row>
    <row r="18" spans="1:2" x14ac:dyDescent="0.3">
      <c r="A18" s="38" t="s">
        <v>1921</v>
      </c>
      <c r="B18" s="38">
        <v>16.25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2AF4-BCA8-41C4-B0E2-92976CA923CF}">
  <sheetPr codeName="Sheet4"/>
  <dimension ref="A3:B14"/>
  <sheetViews>
    <sheetView workbookViewId="0">
      <selection activeCell="O5" sqref="O5:T39"/>
    </sheetView>
  </sheetViews>
  <sheetFormatPr defaultRowHeight="14.4" x14ac:dyDescent="0.3"/>
  <cols>
    <col min="1" max="1" width="22.88671875" bestFit="1" customWidth="1"/>
    <col min="2" max="2" width="16.33203125" bestFit="1" customWidth="1"/>
  </cols>
  <sheetData>
    <row r="3" spans="1:2" x14ac:dyDescent="0.3">
      <c r="A3" s="6" t="s">
        <v>1901</v>
      </c>
      <c r="B3" t="s">
        <v>1903</v>
      </c>
    </row>
    <row r="4" spans="1:2" x14ac:dyDescent="0.3">
      <c r="A4" s="7" t="s">
        <v>49</v>
      </c>
      <c r="B4">
        <v>51</v>
      </c>
    </row>
    <row r="5" spans="1:2" x14ac:dyDescent="0.3">
      <c r="A5" s="7" t="s">
        <v>75</v>
      </c>
      <c r="B5">
        <v>48</v>
      </c>
    </row>
    <row r="6" spans="1:2" x14ac:dyDescent="0.3">
      <c r="A6" s="7" t="s">
        <v>864</v>
      </c>
      <c r="B6">
        <v>48</v>
      </c>
    </row>
    <row r="7" spans="1:2" x14ac:dyDescent="0.3">
      <c r="A7" s="7" t="s">
        <v>42</v>
      </c>
      <c r="B7">
        <v>46</v>
      </c>
    </row>
    <row r="8" spans="1:2" x14ac:dyDescent="0.3">
      <c r="A8" s="7" t="s">
        <v>24</v>
      </c>
      <c r="B8">
        <v>45</v>
      </c>
    </row>
    <row r="9" spans="1:2" x14ac:dyDescent="0.3">
      <c r="A9" s="7" t="s">
        <v>960</v>
      </c>
      <c r="B9">
        <v>40</v>
      </c>
    </row>
    <row r="10" spans="1:2" x14ac:dyDescent="0.3">
      <c r="A10" s="7" t="s">
        <v>13</v>
      </c>
      <c r="B10">
        <v>39</v>
      </c>
    </row>
    <row r="11" spans="1:2" x14ac:dyDescent="0.3">
      <c r="A11" s="7" t="s">
        <v>62</v>
      </c>
      <c r="B11">
        <v>37</v>
      </c>
    </row>
    <row r="12" spans="1:2" x14ac:dyDescent="0.3">
      <c r="A12" s="7" t="s">
        <v>852</v>
      </c>
      <c r="B12">
        <v>36</v>
      </c>
    </row>
    <row r="13" spans="1:2" x14ac:dyDescent="0.3">
      <c r="A13" s="7" t="s">
        <v>996</v>
      </c>
      <c r="B13">
        <v>35</v>
      </c>
    </row>
    <row r="14" spans="1:2" x14ac:dyDescent="0.3">
      <c r="A14" s="7" t="s">
        <v>1902</v>
      </c>
      <c r="B14">
        <v>425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19CB1-A028-4CBE-AD48-3ACC76B60E4B}">
  <sheetPr codeName="Sheet9"/>
  <dimension ref="A3:B17"/>
  <sheetViews>
    <sheetView workbookViewId="0">
      <selection activeCell="K10" sqref="K10"/>
    </sheetView>
  </sheetViews>
  <sheetFormatPr defaultRowHeight="14.4" x14ac:dyDescent="0.3"/>
  <cols>
    <col min="1" max="1" width="15.44140625" bestFit="1" customWidth="1"/>
    <col min="2" max="2" width="12.6640625" bestFit="1" customWidth="1"/>
  </cols>
  <sheetData>
    <row r="3" spans="1:2" x14ac:dyDescent="0.3">
      <c r="A3" s="6" t="s">
        <v>1901</v>
      </c>
      <c r="B3" t="s">
        <v>1905</v>
      </c>
    </row>
    <row r="4" spans="1:2" x14ac:dyDescent="0.3">
      <c r="A4" s="7" t="s">
        <v>45</v>
      </c>
      <c r="B4">
        <v>149</v>
      </c>
    </row>
    <row r="5" spans="1:2" x14ac:dyDescent="0.3">
      <c r="A5" s="7" t="s">
        <v>846</v>
      </c>
      <c r="B5">
        <v>128</v>
      </c>
    </row>
    <row r="6" spans="1:2" x14ac:dyDescent="0.3">
      <c r="A6" s="7" t="s">
        <v>46</v>
      </c>
      <c r="B6">
        <v>114</v>
      </c>
    </row>
    <row r="7" spans="1:2" x14ac:dyDescent="0.3">
      <c r="A7" s="7" t="s">
        <v>20</v>
      </c>
      <c r="B7">
        <v>113</v>
      </c>
    </row>
    <row r="8" spans="1:2" x14ac:dyDescent="0.3">
      <c r="A8" s="7" t="s">
        <v>21</v>
      </c>
      <c r="B8">
        <v>110</v>
      </c>
    </row>
    <row r="9" spans="1:2" x14ac:dyDescent="0.3">
      <c r="A9" s="7" t="s">
        <v>54</v>
      </c>
      <c r="B9">
        <v>108</v>
      </c>
    </row>
    <row r="10" spans="1:2" x14ac:dyDescent="0.3">
      <c r="A10" s="7" t="s">
        <v>31</v>
      </c>
      <c r="B10">
        <v>108</v>
      </c>
    </row>
    <row r="11" spans="1:2" x14ac:dyDescent="0.3">
      <c r="A11" s="7" t="s">
        <v>878</v>
      </c>
      <c r="B11">
        <v>100</v>
      </c>
    </row>
    <row r="12" spans="1:2" x14ac:dyDescent="0.3">
      <c r="A12" s="7" t="s">
        <v>29</v>
      </c>
      <c r="B12">
        <v>100</v>
      </c>
    </row>
    <row r="13" spans="1:2" x14ac:dyDescent="0.3">
      <c r="A13" s="7" t="s">
        <v>854</v>
      </c>
      <c r="B13">
        <v>78</v>
      </c>
    </row>
    <row r="14" spans="1:2" x14ac:dyDescent="0.3">
      <c r="A14" s="7" t="s">
        <v>874</v>
      </c>
      <c r="B14">
        <v>77</v>
      </c>
    </row>
    <row r="15" spans="1:2" x14ac:dyDescent="0.3">
      <c r="A15" s="7" t="s">
        <v>937</v>
      </c>
      <c r="B15">
        <v>74</v>
      </c>
    </row>
    <row r="16" spans="1:2" x14ac:dyDescent="0.3">
      <c r="A16" s="7" t="s">
        <v>30</v>
      </c>
      <c r="B16">
        <v>67</v>
      </c>
    </row>
    <row r="17" spans="1:2" x14ac:dyDescent="0.3">
      <c r="A17" s="7" t="s">
        <v>1902</v>
      </c>
      <c r="B17">
        <v>1326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6DDCC-9830-41CF-AEF8-EFE295028F09}">
  <sheetPr codeName="Sheet10"/>
  <dimension ref="A3:B14"/>
  <sheetViews>
    <sheetView workbookViewId="0">
      <selection activeCell="M12" sqref="M12"/>
    </sheetView>
  </sheetViews>
  <sheetFormatPr defaultRowHeight="14.4" x14ac:dyDescent="0.3"/>
  <cols>
    <col min="1" max="1" width="12.5546875" bestFit="1" customWidth="1"/>
    <col min="2" max="2" width="16.109375" bestFit="1" customWidth="1"/>
  </cols>
  <sheetData>
    <row r="3" spans="1:2" x14ac:dyDescent="0.3">
      <c r="A3" s="6" t="s">
        <v>1901</v>
      </c>
      <c r="B3" t="s">
        <v>1908</v>
      </c>
    </row>
    <row r="4" spans="1:2" x14ac:dyDescent="0.3">
      <c r="A4" s="7" t="s">
        <v>64</v>
      </c>
      <c r="B4">
        <v>56</v>
      </c>
    </row>
    <row r="5" spans="1:2" x14ac:dyDescent="0.3">
      <c r="A5" s="7" t="s">
        <v>71</v>
      </c>
      <c r="B5">
        <v>47</v>
      </c>
    </row>
    <row r="6" spans="1:2" x14ac:dyDescent="0.3">
      <c r="A6" s="7" t="s">
        <v>26</v>
      </c>
      <c r="B6">
        <v>46</v>
      </c>
    </row>
    <row r="7" spans="1:2" x14ac:dyDescent="0.3">
      <c r="A7" s="7" t="s">
        <v>96</v>
      </c>
      <c r="B7">
        <v>43</v>
      </c>
    </row>
    <row r="8" spans="1:2" x14ac:dyDescent="0.3">
      <c r="A8" s="7" t="s">
        <v>76</v>
      </c>
      <c r="B8">
        <v>43</v>
      </c>
    </row>
    <row r="9" spans="1:2" x14ac:dyDescent="0.3">
      <c r="A9" s="7" t="s">
        <v>36</v>
      </c>
      <c r="B9">
        <v>43</v>
      </c>
    </row>
    <row r="10" spans="1:2" x14ac:dyDescent="0.3">
      <c r="A10" s="7" t="s">
        <v>15</v>
      </c>
      <c r="B10">
        <v>42</v>
      </c>
    </row>
    <row r="11" spans="1:2" x14ac:dyDescent="0.3">
      <c r="A11" s="7" t="s">
        <v>81</v>
      </c>
      <c r="B11">
        <v>36</v>
      </c>
    </row>
    <row r="12" spans="1:2" x14ac:dyDescent="0.3">
      <c r="A12" s="7" t="s">
        <v>51</v>
      </c>
      <c r="B12">
        <v>36</v>
      </c>
    </row>
    <row r="13" spans="1:2" x14ac:dyDescent="0.3">
      <c r="A13" s="7" t="s">
        <v>44</v>
      </c>
      <c r="B13">
        <v>33</v>
      </c>
    </row>
    <row r="14" spans="1:2" x14ac:dyDescent="0.3">
      <c r="A14" s="7" t="s">
        <v>1902</v>
      </c>
      <c r="B14">
        <v>425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0628-5244-4C0F-85BC-1385D45C124C}">
  <sheetPr codeName="Sheet11"/>
  <dimension ref="A3:B8"/>
  <sheetViews>
    <sheetView workbookViewId="0">
      <selection activeCell="L8" sqref="L8"/>
    </sheetView>
  </sheetViews>
  <sheetFormatPr defaultRowHeight="14.4" x14ac:dyDescent="0.3"/>
  <cols>
    <col min="1" max="1" width="12.5546875" bestFit="1" customWidth="1"/>
    <col min="2" max="2" width="18.109375" bestFit="1" customWidth="1"/>
  </cols>
  <sheetData>
    <row r="3" spans="1:2" x14ac:dyDescent="0.3">
      <c r="A3" s="6" t="s">
        <v>1901</v>
      </c>
      <c r="B3" t="s">
        <v>1911</v>
      </c>
    </row>
    <row r="4" spans="1:2" x14ac:dyDescent="0.3">
      <c r="A4" s="7" t="s">
        <v>52</v>
      </c>
      <c r="B4">
        <v>137</v>
      </c>
    </row>
    <row r="5" spans="1:2" x14ac:dyDescent="0.3">
      <c r="A5" s="7" t="s">
        <v>37</v>
      </c>
      <c r="B5">
        <v>108</v>
      </c>
    </row>
    <row r="6" spans="1:2" x14ac:dyDescent="0.3">
      <c r="A6" s="7" t="s">
        <v>16</v>
      </c>
      <c r="B6">
        <v>95</v>
      </c>
    </row>
    <row r="7" spans="1:2" x14ac:dyDescent="0.3">
      <c r="A7" s="7" t="s">
        <v>116</v>
      </c>
      <c r="B7">
        <v>85</v>
      </c>
    </row>
    <row r="8" spans="1:2" x14ac:dyDescent="0.3">
      <c r="A8" s="7" t="s">
        <v>1902</v>
      </c>
      <c r="B8">
        <v>425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3EF2-B438-4BB6-A5DA-9CE20BD80B54}">
  <sheetPr codeName="Sheet12"/>
  <dimension ref="A3:B7"/>
  <sheetViews>
    <sheetView workbookViewId="0">
      <selection activeCell="Y44" sqref="Y44"/>
    </sheetView>
  </sheetViews>
  <sheetFormatPr defaultRowHeight="14.4" x14ac:dyDescent="0.3"/>
  <cols>
    <col min="1" max="1" width="12.5546875" bestFit="1" customWidth="1"/>
    <col min="2" max="2" width="19.5546875" bestFit="1" customWidth="1"/>
  </cols>
  <sheetData>
    <row r="3" spans="1:2" x14ac:dyDescent="0.3">
      <c r="A3" s="6" t="s">
        <v>1901</v>
      </c>
      <c r="B3" t="s">
        <v>1914</v>
      </c>
    </row>
    <row r="4" spans="1:2" x14ac:dyDescent="0.3">
      <c r="A4" s="7" t="s">
        <v>28</v>
      </c>
      <c r="B4">
        <v>221</v>
      </c>
    </row>
    <row r="5" spans="1:2" x14ac:dyDescent="0.3">
      <c r="A5" s="7" t="s">
        <v>845</v>
      </c>
      <c r="B5">
        <v>142</v>
      </c>
    </row>
    <row r="6" spans="1:2" x14ac:dyDescent="0.3">
      <c r="A6" s="7" t="s">
        <v>59</v>
      </c>
      <c r="B6">
        <v>62</v>
      </c>
    </row>
    <row r="7" spans="1:2" x14ac:dyDescent="0.3">
      <c r="A7" s="7" t="s">
        <v>1902</v>
      </c>
      <c r="B7">
        <v>425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C8A6-AA46-4EF5-8811-466B71B46D3B}">
  <sheetPr codeName="Sheet13"/>
  <dimension ref="A3:B7"/>
  <sheetViews>
    <sheetView workbookViewId="0">
      <selection activeCell="L12" sqref="L12"/>
    </sheetView>
  </sheetViews>
  <sheetFormatPr defaultRowHeight="14.4" x14ac:dyDescent="0.3"/>
  <cols>
    <col min="1" max="1" width="12.5546875" bestFit="1" customWidth="1"/>
    <col min="2" max="2" width="16.88671875" bestFit="1" customWidth="1"/>
  </cols>
  <sheetData>
    <row r="3" spans="1:2" x14ac:dyDescent="0.3">
      <c r="A3" s="6" t="s">
        <v>1901</v>
      </c>
      <c r="B3" t="s">
        <v>1917</v>
      </c>
    </row>
    <row r="4" spans="1:2" x14ac:dyDescent="0.3">
      <c r="A4" s="7" t="s">
        <v>27</v>
      </c>
      <c r="B4">
        <v>313</v>
      </c>
    </row>
    <row r="5" spans="1:2" x14ac:dyDescent="0.3">
      <c r="A5" s="7" t="s">
        <v>17</v>
      </c>
      <c r="B5">
        <v>68</v>
      </c>
    </row>
    <row r="6" spans="1:2" x14ac:dyDescent="0.3">
      <c r="A6" s="7" t="s">
        <v>53</v>
      </c>
      <c r="B6">
        <v>44</v>
      </c>
    </row>
    <row r="7" spans="1:2" x14ac:dyDescent="0.3">
      <c r="A7" s="7" t="s">
        <v>1902</v>
      </c>
      <c r="B7">
        <v>425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6391-97A2-4285-B913-7A664B934E4B}">
  <sheetPr codeName="Sheet14"/>
  <dimension ref="A3:B14"/>
  <sheetViews>
    <sheetView workbookViewId="0">
      <selection activeCell="O11" sqref="O11"/>
    </sheetView>
  </sheetViews>
  <sheetFormatPr defaultRowHeight="14.4" x14ac:dyDescent="0.3"/>
  <cols>
    <col min="1" max="1" width="22.88671875" bestFit="1" customWidth="1"/>
    <col min="2" max="2" width="21.77734375" bestFit="1" customWidth="1"/>
  </cols>
  <sheetData>
    <row r="3" spans="1:2" x14ac:dyDescent="0.3">
      <c r="A3" s="6" t="s">
        <v>1901</v>
      </c>
      <c r="B3" t="s">
        <v>1919</v>
      </c>
    </row>
    <row r="4" spans="1:2" x14ac:dyDescent="0.3">
      <c r="A4" s="7" t="s">
        <v>852</v>
      </c>
      <c r="B4" s="5">
        <v>11.694444444444443</v>
      </c>
    </row>
    <row r="5" spans="1:2" x14ac:dyDescent="0.3">
      <c r="A5" s="7" t="s">
        <v>75</v>
      </c>
      <c r="B5" s="5">
        <v>10.828125000000002</v>
      </c>
    </row>
    <row r="6" spans="1:2" x14ac:dyDescent="0.3">
      <c r="A6" s="7" t="s">
        <v>960</v>
      </c>
      <c r="B6" s="5">
        <v>10.565000000000001</v>
      </c>
    </row>
    <row r="7" spans="1:2" x14ac:dyDescent="0.3">
      <c r="A7" s="7" t="s">
        <v>996</v>
      </c>
      <c r="B7" s="5">
        <v>10.172857142857145</v>
      </c>
    </row>
    <row r="8" spans="1:2" x14ac:dyDescent="0.3">
      <c r="A8" s="7" t="s">
        <v>49</v>
      </c>
      <c r="B8" s="5">
        <v>10.172549019607844</v>
      </c>
    </row>
    <row r="9" spans="1:2" x14ac:dyDescent="0.3">
      <c r="A9" s="7" t="s">
        <v>62</v>
      </c>
      <c r="B9" s="5">
        <v>9.9837837837837871</v>
      </c>
    </row>
    <row r="10" spans="1:2" x14ac:dyDescent="0.3">
      <c r="A10" s="7" t="s">
        <v>864</v>
      </c>
      <c r="B10" s="5">
        <v>9.6052083333333336</v>
      </c>
    </row>
    <row r="11" spans="1:2" x14ac:dyDescent="0.3">
      <c r="A11" s="7" t="s">
        <v>42</v>
      </c>
      <c r="B11" s="5">
        <v>9.4271739130434771</v>
      </c>
    </row>
    <row r="12" spans="1:2" x14ac:dyDescent="0.3">
      <c r="A12" s="7" t="s">
        <v>13</v>
      </c>
      <c r="B12" s="5">
        <v>8.838461538461539</v>
      </c>
    </row>
    <row r="13" spans="1:2" x14ac:dyDescent="0.3">
      <c r="A13" s="7" t="s">
        <v>24</v>
      </c>
      <c r="B13" s="5">
        <v>8.6466666666666665</v>
      </c>
    </row>
    <row r="14" spans="1:2" x14ac:dyDescent="0.3">
      <c r="A14" s="7" t="s">
        <v>1902</v>
      </c>
      <c r="B14" s="5">
        <v>9.9672941176470573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A3E3-CD66-4D80-87DC-66223A557BB2}">
  <sheetPr codeName="Sheet8"/>
  <dimension ref="A1:K1501"/>
  <sheetViews>
    <sheetView workbookViewId="0">
      <selection sqref="A1:K1501"/>
    </sheetView>
  </sheetViews>
  <sheetFormatPr defaultRowHeight="14.4" x14ac:dyDescent="0.3"/>
  <cols>
    <col min="2" max="2" width="22.88671875" bestFit="1" customWidth="1"/>
    <col min="3" max="3" width="24.21875" bestFit="1" customWidth="1"/>
    <col min="4" max="4" width="10.6640625" bestFit="1" customWidth="1"/>
    <col min="5" max="6" width="12.33203125" bestFit="1" customWidth="1"/>
    <col min="7" max="7" width="14.109375" bestFit="1" customWidth="1"/>
    <col min="8" max="8" width="11.21875" bestFit="1" customWidth="1"/>
    <col min="9" max="9" width="13.77734375" bestFit="1" customWidth="1"/>
    <col min="10" max="10" width="13.88671875" bestFit="1" customWidth="1"/>
    <col min="11" max="11" width="15.44140625" bestFit="1" customWidth="1"/>
  </cols>
  <sheetData>
    <row r="1" spans="1:11" x14ac:dyDescent="0.3">
      <c r="A1" t="s">
        <v>0</v>
      </c>
      <c r="B1" t="s">
        <v>1</v>
      </c>
      <c r="C1" t="s">
        <v>2</v>
      </c>
      <c r="D1" t="s">
        <v>3</v>
      </c>
      <c r="E1" t="s">
        <v>4</v>
      </c>
      <c r="F1" t="s">
        <v>5</v>
      </c>
      <c r="G1" t="s">
        <v>1897</v>
      </c>
      <c r="H1" t="s">
        <v>6</v>
      </c>
      <c r="I1" t="s">
        <v>7</v>
      </c>
      <c r="J1" t="s">
        <v>11</v>
      </c>
      <c r="K1" t="s">
        <v>1904</v>
      </c>
    </row>
    <row r="2" spans="1:11" x14ac:dyDescent="0.3">
      <c r="A2" t="s">
        <v>843</v>
      </c>
      <c r="B2" t="s">
        <v>13</v>
      </c>
      <c r="C2" t="s">
        <v>14</v>
      </c>
      <c r="D2" t="s">
        <v>15</v>
      </c>
      <c r="E2" t="s">
        <v>16</v>
      </c>
      <c r="F2">
        <v>1000000</v>
      </c>
      <c r="G2">
        <v>10</v>
      </c>
      <c r="H2" t="s">
        <v>17</v>
      </c>
      <c r="I2" t="s">
        <v>845</v>
      </c>
      <c r="J2" s="8">
        <v>46177</v>
      </c>
      <c r="K2" t="s">
        <v>846</v>
      </c>
    </row>
    <row r="3" spans="1:11" x14ac:dyDescent="0.3">
      <c r="A3" t="s">
        <v>843</v>
      </c>
      <c r="B3" t="s">
        <v>13</v>
      </c>
      <c r="C3" t="s">
        <v>14</v>
      </c>
      <c r="D3" t="s">
        <v>15</v>
      </c>
      <c r="E3" t="s">
        <v>16</v>
      </c>
      <c r="F3">
        <v>1000000</v>
      </c>
      <c r="G3">
        <v>10</v>
      </c>
      <c r="H3" t="s">
        <v>17</v>
      </c>
      <c r="I3" t="s">
        <v>845</v>
      </c>
      <c r="J3" s="8">
        <v>46177</v>
      </c>
      <c r="K3" t="s">
        <v>20</v>
      </c>
    </row>
    <row r="4" spans="1:11" x14ac:dyDescent="0.3">
      <c r="A4" t="s">
        <v>843</v>
      </c>
      <c r="B4" t="s">
        <v>13</v>
      </c>
      <c r="C4" t="s">
        <v>14</v>
      </c>
      <c r="D4" t="s">
        <v>15</v>
      </c>
      <c r="E4" t="s">
        <v>16</v>
      </c>
      <c r="F4">
        <v>1000000</v>
      </c>
      <c r="G4">
        <v>10</v>
      </c>
      <c r="H4" t="s">
        <v>17</v>
      </c>
      <c r="I4" t="s">
        <v>845</v>
      </c>
      <c r="J4" s="8">
        <v>46177</v>
      </c>
      <c r="K4" t="s">
        <v>21</v>
      </c>
    </row>
    <row r="5" spans="1:11" x14ac:dyDescent="0.3">
      <c r="A5" t="s">
        <v>848</v>
      </c>
      <c r="B5" t="s">
        <v>24</v>
      </c>
      <c r="C5" t="s">
        <v>25</v>
      </c>
      <c r="D5" t="s">
        <v>26</v>
      </c>
      <c r="E5" t="s">
        <v>16</v>
      </c>
      <c r="F5">
        <v>915000</v>
      </c>
      <c r="G5">
        <v>9.15</v>
      </c>
      <c r="H5" t="s">
        <v>27</v>
      </c>
      <c r="I5" t="s">
        <v>28</v>
      </c>
      <c r="J5" s="8">
        <v>46189</v>
      </c>
      <c r="K5" t="s">
        <v>29</v>
      </c>
    </row>
    <row r="6" spans="1:11" x14ac:dyDescent="0.3">
      <c r="A6" t="s">
        <v>848</v>
      </c>
      <c r="B6" t="s">
        <v>24</v>
      </c>
      <c r="C6" t="s">
        <v>25</v>
      </c>
      <c r="D6" t="s">
        <v>26</v>
      </c>
      <c r="E6" t="s">
        <v>16</v>
      </c>
      <c r="F6">
        <v>915000</v>
      </c>
      <c r="G6">
        <v>9.15</v>
      </c>
      <c r="H6" t="s">
        <v>27</v>
      </c>
      <c r="I6" t="s">
        <v>28</v>
      </c>
      <c r="J6" s="8">
        <v>46189</v>
      </c>
      <c r="K6" t="s">
        <v>30</v>
      </c>
    </row>
    <row r="7" spans="1:11" x14ac:dyDescent="0.3">
      <c r="A7" t="s">
        <v>848</v>
      </c>
      <c r="B7" t="s">
        <v>24</v>
      </c>
      <c r="C7" t="s">
        <v>25</v>
      </c>
      <c r="D7" t="s">
        <v>26</v>
      </c>
      <c r="E7" t="s">
        <v>16</v>
      </c>
      <c r="F7">
        <v>915000</v>
      </c>
      <c r="G7">
        <v>9.15</v>
      </c>
      <c r="H7" t="s">
        <v>27</v>
      </c>
      <c r="I7" t="s">
        <v>28</v>
      </c>
      <c r="J7" s="8">
        <v>46189</v>
      </c>
      <c r="K7" t="s">
        <v>31</v>
      </c>
    </row>
    <row r="8" spans="1:11" x14ac:dyDescent="0.3">
      <c r="A8" t="s">
        <v>851</v>
      </c>
      <c r="B8" t="s">
        <v>852</v>
      </c>
      <c r="C8" t="s">
        <v>35</v>
      </c>
      <c r="D8" t="s">
        <v>36</v>
      </c>
      <c r="E8" t="s">
        <v>37</v>
      </c>
      <c r="F8">
        <v>1625000</v>
      </c>
      <c r="G8">
        <v>16.25</v>
      </c>
      <c r="H8" t="s">
        <v>27</v>
      </c>
      <c r="I8" t="s">
        <v>28</v>
      </c>
      <c r="J8" s="8">
        <v>46046</v>
      </c>
      <c r="K8" t="s">
        <v>854</v>
      </c>
    </row>
    <row r="9" spans="1:11" x14ac:dyDescent="0.3">
      <c r="A9" t="s">
        <v>851</v>
      </c>
      <c r="B9" t="s">
        <v>852</v>
      </c>
      <c r="C9" t="s">
        <v>35</v>
      </c>
      <c r="D9" t="s">
        <v>36</v>
      </c>
      <c r="E9" t="s">
        <v>37</v>
      </c>
      <c r="F9">
        <v>1625000</v>
      </c>
      <c r="G9">
        <v>16.25</v>
      </c>
      <c r="H9" t="s">
        <v>27</v>
      </c>
      <c r="I9" t="s">
        <v>28</v>
      </c>
      <c r="J9" s="8">
        <v>46046</v>
      </c>
      <c r="K9" t="s">
        <v>39</v>
      </c>
    </row>
    <row r="10" spans="1:11" x14ac:dyDescent="0.3">
      <c r="A10" t="s">
        <v>851</v>
      </c>
      <c r="B10" t="s">
        <v>852</v>
      </c>
      <c r="C10" t="s">
        <v>35</v>
      </c>
      <c r="D10" t="s">
        <v>36</v>
      </c>
      <c r="E10" t="s">
        <v>37</v>
      </c>
      <c r="F10">
        <v>1625000</v>
      </c>
      <c r="G10">
        <v>16.25</v>
      </c>
      <c r="H10" t="s">
        <v>27</v>
      </c>
      <c r="I10" t="s">
        <v>28</v>
      </c>
      <c r="J10" s="8">
        <v>46046</v>
      </c>
      <c r="K10" t="s">
        <v>20</v>
      </c>
    </row>
    <row r="11" spans="1:11" x14ac:dyDescent="0.3">
      <c r="A11" t="s">
        <v>856</v>
      </c>
      <c r="B11" t="s">
        <v>42</v>
      </c>
      <c r="C11" t="s">
        <v>857</v>
      </c>
      <c r="D11" t="s">
        <v>44</v>
      </c>
      <c r="E11" t="s">
        <v>37</v>
      </c>
      <c r="F11">
        <v>1095000</v>
      </c>
      <c r="G11">
        <v>10.95</v>
      </c>
      <c r="H11" t="s">
        <v>27</v>
      </c>
      <c r="I11" t="s">
        <v>28</v>
      </c>
      <c r="J11" s="8">
        <v>46060</v>
      </c>
      <c r="K11" t="s">
        <v>45</v>
      </c>
    </row>
    <row r="12" spans="1:11" x14ac:dyDescent="0.3">
      <c r="A12" t="s">
        <v>856</v>
      </c>
      <c r="B12" t="s">
        <v>42</v>
      </c>
      <c r="C12" t="s">
        <v>857</v>
      </c>
      <c r="D12" t="s">
        <v>44</v>
      </c>
      <c r="E12" t="s">
        <v>37</v>
      </c>
      <c r="F12">
        <v>1095000</v>
      </c>
      <c r="G12">
        <v>10.95</v>
      </c>
      <c r="H12" t="s">
        <v>27</v>
      </c>
      <c r="I12" t="s">
        <v>28</v>
      </c>
      <c r="J12" s="8">
        <v>46060</v>
      </c>
      <c r="K12" t="s">
        <v>46</v>
      </c>
    </row>
    <row r="13" spans="1:11" x14ac:dyDescent="0.3">
      <c r="A13" t="s">
        <v>856</v>
      </c>
      <c r="B13" t="s">
        <v>42</v>
      </c>
      <c r="C13" t="s">
        <v>857</v>
      </c>
      <c r="D13" t="s">
        <v>44</v>
      </c>
      <c r="E13" t="s">
        <v>37</v>
      </c>
      <c r="F13">
        <v>1095000</v>
      </c>
      <c r="G13">
        <v>10.95</v>
      </c>
      <c r="H13" t="s">
        <v>27</v>
      </c>
      <c r="I13" t="s">
        <v>28</v>
      </c>
      <c r="J13" s="8">
        <v>46060</v>
      </c>
      <c r="K13" t="s">
        <v>29</v>
      </c>
    </row>
    <row r="14" spans="1:11" x14ac:dyDescent="0.3">
      <c r="A14" t="s">
        <v>860</v>
      </c>
      <c r="B14" t="s">
        <v>49</v>
      </c>
      <c r="C14" t="s">
        <v>50</v>
      </c>
      <c r="D14" t="s">
        <v>51</v>
      </c>
      <c r="E14" t="s">
        <v>52</v>
      </c>
      <c r="F14">
        <v>210000</v>
      </c>
      <c r="G14">
        <v>2.1</v>
      </c>
      <c r="H14" t="s">
        <v>53</v>
      </c>
      <c r="I14" t="s">
        <v>28</v>
      </c>
      <c r="J14" s="8">
        <v>46253</v>
      </c>
      <c r="K14" t="s">
        <v>854</v>
      </c>
    </row>
    <row r="15" spans="1:11" x14ac:dyDescent="0.3">
      <c r="A15" t="s">
        <v>860</v>
      </c>
      <c r="B15" t="s">
        <v>49</v>
      </c>
      <c r="C15" t="s">
        <v>50</v>
      </c>
      <c r="D15" t="s">
        <v>51</v>
      </c>
      <c r="E15" t="s">
        <v>52</v>
      </c>
      <c r="F15">
        <v>210000</v>
      </c>
      <c r="G15">
        <v>2.1</v>
      </c>
      <c r="H15" t="s">
        <v>53</v>
      </c>
      <c r="I15" t="s">
        <v>28</v>
      </c>
      <c r="J15" s="8">
        <v>46253</v>
      </c>
      <c r="K15" t="s">
        <v>846</v>
      </c>
    </row>
    <row r="16" spans="1:11" x14ac:dyDescent="0.3">
      <c r="A16" t="s">
        <v>860</v>
      </c>
      <c r="B16" t="s">
        <v>49</v>
      </c>
      <c r="C16" t="s">
        <v>50</v>
      </c>
      <c r="D16" t="s">
        <v>51</v>
      </c>
      <c r="E16" t="s">
        <v>52</v>
      </c>
      <c r="F16">
        <v>210000</v>
      </c>
      <c r="G16">
        <v>2.1</v>
      </c>
      <c r="H16" t="s">
        <v>53</v>
      </c>
      <c r="I16" t="s">
        <v>28</v>
      </c>
      <c r="J16" s="8">
        <v>46253</v>
      </c>
      <c r="K16" t="s">
        <v>54</v>
      </c>
    </row>
    <row r="17" spans="1:11" x14ac:dyDescent="0.3">
      <c r="A17" t="s">
        <v>863</v>
      </c>
      <c r="B17" t="s">
        <v>864</v>
      </c>
      <c r="C17" t="s">
        <v>865</v>
      </c>
      <c r="D17" t="s">
        <v>44</v>
      </c>
      <c r="E17" t="s">
        <v>16</v>
      </c>
      <c r="F17">
        <v>570000</v>
      </c>
      <c r="G17">
        <v>5.7</v>
      </c>
      <c r="H17" t="s">
        <v>27</v>
      </c>
      <c r="I17" t="s">
        <v>59</v>
      </c>
      <c r="J17" s="8">
        <v>46256</v>
      </c>
      <c r="K17" t="s">
        <v>46</v>
      </c>
    </row>
    <row r="18" spans="1:11" x14ac:dyDescent="0.3">
      <c r="A18" t="s">
        <v>863</v>
      </c>
      <c r="B18" t="s">
        <v>864</v>
      </c>
      <c r="C18" t="s">
        <v>865</v>
      </c>
      <c r="D18" t="s">
        <v>44</v>
      </c>
      <c r="E18" t="s">
        <v>16</v>
      </c>
      <c r="F18">
        <v>570000</v>
      </c>
      <c r="G18">
        <v>5.7</v>
      </c>
      <c r="H18" t="s">
        <v>27</v>
      </c>
      <c r="I18" t="s">
        <v>59</v>
      </c>
      <c r="J18" s="8">
        <v>46256</v>
      </c>
      <c r="K18" t="s">
        <v>846</v>
      </c>
    </row>
    <row r="19" spans="1:11" x14ac:dyDescent="0.3">
      <c r="A19" t="s">
        <v>863</v>
      </c>
      <c r="B19" t="s">
        <v>864</v>
      </c>
      <c r="C19" t="s">
        <v>865</v>
      </c>
      <c r="D19" t="s">
        <v>44</v>
      </c>
      <c r="E19" t="s">
        <v>16</v>
      </c>
      <c r="F19">
        <v>570000</v>
      </c>
      <c r="G19">
        <v>5.7</v>
      </c>
      <c r="H19" t="s">
        <v>27</v>
      </c>
      <c r="I19" t="s">
        <v>59</v>
      </c>
      <c r="J19" s="8">
        <v>46256</v>
      </c>
      <c r="K19" t="s">
        <v>854</v>
      </c>
    </row>
    <row r="20" spans="1:11" x14ac:dyDescent="0.3">
      <c r="A20" t="s">
        <v>868</v>
      </c>
      <c r="B20" t="s">
        <v>62</v>
      </c>
      <c r="C20" t="s">
        <v>63</v>
      </c>
      <c r="D20" t="s">
        <v>64</v>
      </c>
      <c r="E20" t="s">
        <v>16</v>
      </c>
      <c r="F20">
        <v>720000</v>
      </c>
      <c r="G20">
        <v>7.2</v>
      </c>
      <c r="H20" t="s">
        <v>27</v>
      </c>
      <c r="I20" t="s">
        <v>59</v>
      </c>
      <c r="J20" s="8">
        <v>46179</v>
      </c>
      <c r="K20" t="s">
        <v>30</v>
      </c>
    </row>
    <row r="21" spans="1:11" x14ac:dyDescent="0.3">
      <c r="A21" t="s">
        <v>868</v>
      </c>
      <c r="B21" t="s">
        <v>62</v>
      </c>
      <c r="C21" t="s">
        <v>63</v>
      </c>
      <c r="D21" t="s">
        <v>64</v>
      </c>
      <c r="E21" t="s">
        <v>16</v>
      </c>
      <c r="F21">
        <v>720000</v>
      </c>
      <c r="G21">
        <v>7.2</v>
      </c>
      <c r="H21" t="s">
        <v>27</v>
      </c>
      <c r="I21" t="s">
        <v>59</v>
      </c>
      <c r="J21" s="8">
        <v>46179</v>
      </c>
      <c r="K21" t="s">
        <v>846</v>
      </c>
    </row>
    <row r="22" spans="1:11" x14ac:dyDescent="0.3">
      <c r="A22" t="s">
        <v>868</v>
      </c>
      <c r="B22" t="s">
        <v>62</v>
      </c>
      <c r="C22" t="s">
        <v>63</v>
      </c>
      <c r="D22" t="s">
        <v>64</v>
      </c>
      <c r="E22" t="s">
        <v>16</v>
      </c>
      <c r="F22">
        <v>720000</v>
      </c>
      <c r="G22">
        <v>7.2</v>
      </c>
      <c r="H22" t="s">
        <v>27</v>
      </c>
      <c r="I22" t="s">
        <v>59</v>
      </c>
      <c r="J22" s="8">
        <v>46179</v>
      </c>
      <c r="K22" t="s">
        <v>20</v>
      </c>
    </row>
    <row r="23" spans="1:11" x14ac:dyDescent="0.3">
      <c r="A23" t="s">
        <v>871</v>
      </c>
      <c r="B23" t="s">
        <v>24</v>
      </c>
      <c r="C23" t="s">
        <v>872</v>
      </c>
      <c r="D23" t="s">
        <v>15</v>
      </c>
      <c r="E23" t="s">
        <v>16</v>
      </c>
      <c r="F23">
        <v>755000</v>
      </c>
      <c r="G23">
        <v>7.55</v>
      </c>
      <c r="H23" t="s">
        <v>27</v>
      </c>
      <c r="I23" t="s">
        <v>28</v>
      </c>
      <c r="J23" s="8">
        <v>46038</v>
      </c>
      <c r="K23" t="s">
        <v>874</v>
      </c>
    </row>
    <row r="24" spans="1:11" x14ac:dyDescent="0.3">
      <c r="A24" t="s">
        <v>871</v>
      </c>
      <c r="B24" t="s">
        <v>24</v>
      </c>
      <c r="C24" t="s">
        <v>872</v>
      </c>
      <c r="D24" t="s">
        <v>15</v>
      </c>
      <c r="E24" t="s">
        <v>16</v>
      </c>
      <c r="F24">
        <v>755000</v>
      </c>
      <c r="G24">
        <v>7.55</v>
      </c>
      <c r="H24" t="s">
        <v>27</v>
      </c>
      <c r="I24" t="s">
        <v>28</v>
      </c>
      <c r="J24" s="8">
        <v>46038</v>
      </c>
      <c r="K24" t="s">
        <v>46</v>
      </c>
    </row>
    <row r="25" spans="1:11" x14ac:dyDescent="0.3">
      <c r="A25" t="s">
        <v>871</v>
      </c>
      <c r="B25" t="s">
        <v>24</v>
      </c>
      <c r="C25" t="s">
        <v>872</v>
      </c>
      <c r="D25" t="s">
        <v>15</v>
      </c>
      <c r="E25" t="s">
        <v>16</v>
      </c>
      <c r="F25">
        <v>755000</v>
      </c>
      <c r="G25">
        <v>7.55</v>
      </c>
      <c r="H25" t="s">
        <v>27</v>
      </c>
      <c r="I25" t="s">
        <v>28</v>
      </c>
      <c r="J25" s="8">
        <v>46038</v>
      </c>
      <c r="K25" t="s">
        <v>846</v>
      </c>
    </row>
    <row r="26" spans="1:11" x14ac:dyDescent="0.3">
      <c r="A26" t="s">
        <v>876</v>
      </c>
      <c r="B26" t="s">
        <v>864</v>
      </c>
      <c r="C26" t="s">
        <v>35</v>
      </c>
      <c r="D26" t="s">
        <v>71</v>
      </c>
      <c r="E26" t="s">
        <v>37</v>
      </c>
      <c r="F26">
        <v>1845000</v>
      </c>
      <c r="G26">
        <v>18.45</v>
      </c>
      <c r="H26" t="s">
        <v>17</v>
      </c>
      <c r="I26" t="s">
        <v>28</v>
      </c>
      <c r="J26" s="8">
        <v>46151</v>
      </c>
      <c r="K26" t="s">
        <v>39</v>
      </c>
    </row>
    <row r="27" spans="1:11" x14ac:dyDescent="0.3">
      <c r="A27" t="s">
        <v>876</v>
      </c>
      <c r="B27" t="s">
        <v>864</v>
      </c>
      <c r="C27" t="s">
        <v>35</v>
      </c>
      <c r="D27" t="s">
        <v>71</v>
      </c>
      <c r="E27" t="s">
        <v>37</v>
      </c>
      <c r="F27">
        <v>1845000</v>
      </c>
      <c r="G27">
        <v>18.45</v>
      </c>
      <c r="H27" t="s">
        <v>17</v>
      </c>
      <c r="I27" t="s">
        <v>28</v>
      </c>
      <c r="J27" s="8">
        <v>46151</v>
      </c>
      <c r="K27" t="s">
        <v>878</v>
      </c>
    </row>
    <row r="28" spans="1:11" x14ac:dyDescent="0.3">
      <c r="A28" t="s">
        <v>876</v>
      </c>
      <c r="B28" t="s">
        <v>864</v>
      </c>
      <c r="C28" t="s">
        <v>35</v>
      </c>
      <c r="D28" t="s">
        <v>71</v>
      </c>
      <c r="E28" t="s">
        <v>37</v>
      </c>
      <c r="F28">
        <v>1845000</v>
      </c>
      <c r="G28">
        <v>18.45</v>
      </c>
      <c r="H28" t="s">
        <v>17</v>
      </c>
      <c r="I28" t="s">
        <v>28</v>
      </c>
      <c r="J28" s="8">
        <v>46151</v>
      </c>
      <c r="K28" t="s">
        <v>54</v>
      </c>
    </row>
    <row r="29" spans="1:11" x14ac:dyDescent="0.3">
      <c r="A29" t="s">
        <v>880</v>
      </c>
      <c r="B29" t="s">
        <v>75</v>
      </c>
      <c r="C29" t="s">
        <v>857</v>
      </c>
      <c r="D29" t="s">
        <v>76</v>
      </c>
      <c r="E29" t="s">
        <v>77</v>
      </c>
      <c r="F29">
        <v>2935000</v>
      </c>
      <c r="G29">
        <v>29.35</v>
      </c>
      <c r="H29" t="s">
        <v>27</v>
      </c>
      <c r="I29" t="s">
        <v>59</v>
      </c>
      <c r="J29" s="8">
        <v>46070</v>
      </c>
      <c r="K29" t="s">
        <v>54</v>
      </c>
    </row>
    <row r="30" spans="1:11" x14ac:dyDescent="0.3">
      <c r="A30" t="s">
        <v>880</v>
      </c>
      <c r="B30" t="s">
        <v>75</v>
      </c>
      <c r="C30" t="s">
        <v>857</v>
      </c>
      <c r="D30" t="s">
        <v>76</v>
      </c>
      <c r="E30" t="s">
        <v>77</v>
      </c>
      <c r="F30">
        <v>2935000</v>
      </c>
      <c r="G30">
        <v>29.35</v>
      </c>
      <c r="H30" t="s">
        <v>27</v>
      </c>
      <c r="I30" t="s">
        <v>59</v>
      </c>
      <c r="J30" s="8">
        <v>46070</v>
      </c>
      <c r="K30" t="s">
        <v>31</v>
      </c>
    </row>
    <row r="31" spans="1:11" x14ac:dyDescent="0.3">
      <c r="A31" t="s">
        <v>880</v>
      </c>
      <c r="B31" t="s">
        <v>75</v>
      </c>
      <c r="C31" t="s">
        <v>857</v>
      </c>
      <c r="D31" t="s">
        <v>76</v>
      </c>
      <c r="E31" t="s">
        <v>77</v>
      </c>
      <c r="F31">
        <v>2935000</v>
      </c>
      <c r="G31">
        <v>29.35</v>
      </c>
      <c r="H31" t="s">
        <v>27</v>
      </c>
      <c r="I31" t="s">
        <v>59</v>
      </c>
      <c r="J31" s="8">
        <v>46070</v>
      </c>
      <c r="K31" t="s">
        <v>878</v>
      </c>
    </row>
    <row r="32" spans="1:11" x14ac:dyDescent="0.3">
      <c r="A32" t="s">
        <v>883</v>
      </c>
      <c r="B32" t="s">
        <v>62</v>
      </c>
      <c r="C32" t="s">
        <v>80</v>
      </c>
      <c r="D32" t="s">
        <v>81</v>
      </c>
      <c r="E32" t="s">
        <v>77</v>
      </c>
      <c r="F32">
        <v>2105000</v>
      </c>
      <c r="G32">
        <v>21.05</v>
      </c>
      <c r="H32" t="s">
        <v>27</v>
      </c>
      <c r="I32" t="s">
        <v>28</v>
      </c>
      <c r="J32" s="8">
        <v>46184</v>
      </c>
      <c r="K32" t="s">
        <v>878</v>
      </c>
    </row>
    <row r="33" spans="1:11" x14ac:dyDescent="0.3">
      <c r="A33" t="s">
        <v>883</v>
      </c>
      <c r="B33" t="s">
        <v>62</v>
      </c>
      <c r="C33" t="s">
        <v>80</v>
      </c>
      <c r="D33" t="s">
        <v>81</v>
      </c>
      <c r="E33" t="s">
        <v>77</v>
      </c>
      <c r="F33">
        <v>2105000</v>
      </c>
      <c r="G33">
        <v>21.05</v>
      </c>
      <c r="H33" t="s">
        <v>27</v>
      </c>
      <c r="I33" t="s">
        <v>28</v>
      </c>
      <c r="J33" s="8">
        <v>46184</v>
      </c>
      <c r="K33" t="s">
        <v>30</v>
      </c>
    </row>
    <row r="34" spans="1:11" x14ac:dyDescent="0.3">
      <c r="A34" t="s">
        <v>883</v>
      </c>
      <c r="B34" t="s">
        <v>62</v>
      </c>
      <c r="C34" t="s">
        <v>80</v>
      </c>
      <c r="D34" t="s">
        <v>81</v>
      </c>
      <c r="E34" t="s">
        <v>77</v>
      </c>
      <c r="F34">
        <v>2105000</v>
      </c>
      <c r="G34">
        <v>21.05</v>
      </c>
      <c r="H34" t="s">
        <v>27</v>
      </c>
      <c r="I34" t="s">
        <v>28</v>
      </c>
      <c r="J34" s="8">
        <v>46184</v>
      </c>
      <c r="K34" t="s">
        <v>854</v>
      </c>
    </row>
    <row r="35" spans="1:11" x14ac:dyDescent="0.3">
      <c r="A35" t="s">
        <v>886</v>
      </c>
      <c r="B35" t="s">
        <v>13</v>
      </c>
      <c r="C35" t="s">
        <v>887</v>
      </c>
      <c r="D35" t="s">
        <v>76</v>
      </c>
      <c r="E35" t="s">
        <v>37</v>
      </c>
      <c r="F35">
        <v>1120000</v>
      </c>
      <c r="G35">
        <v>11.2</v>
      </c>
      <c r="H35" t="s">
        <v>17</v>
      </c>
      <c r="I35" t="s">
        <v>59</v>
      </c>
      <c r="J35" s="8">
        <v>46109</v>
      </c>
      <c r="K35" t="s">
        <v>21</v>
      </c>
    </row>
    <row r="36" spans="1:11" x14ac:dyDescent="0.3">
      <c r="A36" t="s">
        <v>886</v>
      </c>
      <c r="B36" t="s">
        <v>13</v>
      </c>
      <c r="C36" t="s">
        <v>887</v>
      </c>
      <c r="D36" t="s">
        <v>76</v>
      </c>
      <c r="E36" t="s">
        <v>37</v>
      </c>
      <c r="F36">
        <v>1120000</v>
      </c>
      <c r="G36">
        <v>11.2</v>
      </c>
      <c r="H36" t="s">
        <v>17</v>
      </c>
      <c r="I36" t="s">
        <v>59</v>
      </c>
      <c r="J36" s="8">
        <v>46109</v>
      </c>
      <c r="K36" t="s">
        <v>878</v>
      </c>
    </row>
    <row r="37" spans="1:11" x14ac:dyDescent="0.3">
      <c r="A37" t="s">
        <v>886</v>
      </c>
      <c r="B37" t="s">
        <v>13</v>
      </c>
      <c r="C37" t="s">
        <v>887</v>
      </c>
      <c r="D37" t="s">
        <v>76</v>
      </c>
      <c r="E37" t="s">
        <v>37</v>
      </c>
      <c r="F37">
        <v>1120000</v>
      </c>
      <c r="G37">
        <v>11.2</v>
      </c>
      <c r="H37" t="s">
        <v>17</v>
      </c>
      <c r="I37" t="s">
        <v>59</v>
      </c>
      <c r="J37" s="8">
        <v>46109</v>
      </c>
      <c r="K37" t="s">
        <v>46</v>
      </c>
    </row>
    <row r="38" spans="1:11" x14ac:dyDescent="0.3">
      <c r="A38" t="s">
        <v>890</v>
      </c>
      <c r="B38" t="s">
        <v>864</v>
      </c>
      <c r="C38" t="s">
        <v>87</v>
      </c>
      <c r="D38" t="s">
        <v>36</v>
      </c>
      <c r="E38" t="s">
        <v>52</v>
      </c>
      <c r="F38">
        <v>750000</v>
      </c>
      <c r="G38">
        <v>7.5</v>
      </c>
      <c r="H38" t="s">
        <v>17</v>
      </c>
      <c r="I38" t="s">
        <v>845</v>
      </c>
      <c r="J38" s="8">
        <v>46086</v>
      </c>
      <c r="K38" t="s">
        <v>30</v>
      </c>
    </row>
    <row r="39" spans="1:11" x14ac:dyDescent="0.3">
      <c r="A39" t="s">
        <v>890</v>
      </c>
      <c r="B39" t="s">
        <v>864</v>
      </c>
      <c r="C39" t="s">
        <v>87</v>
      </c>
      <c r="D39" t="s">
        <v>36</v>
      </c>
      <c r="E39" t="s">
        <v>52</v>
      </c>
      <c r="F39">
        <v>750000</v>
      </c>
      <c r="G39">
        <v>7.5</v>
      </c>
      <c r="H39" t="s">
        <v>17</v>
      </c>
      <c r="I39" t="s">
        <v>845</v>
      </c>
      <c r="J39" s="8">
        <v>46086</v>
      </c>
      <c r="K39" t="s">
        <v>878</v>
      </c>
    </row>
    <row r="40" spans="1:11" x14ac:dyDescent="0.3">
      <c r="A40" t="s">
        <v>890</v>
      </c>
      <c r="B40" t="s">
        <v>864</v>
      </c>
      <c r="C40" t="s">
        <v>87</v>
      </c>
      <c r="D40" t="s">
        <v>36</v>
      </c>
      <c r="E40" t="s">
        <v>52</v>
      </c>
      <c r="F40">
        <v>750000</v>
      </c>
      <c r="G40">
        <v>7.5</v>
      </c>
      <c r="H40" t="s">
        <v>17</v>
      </c>
      <c r="I40" t="s">
        <v>845</v>
      </c>
      <c r="J40" s="8">
        <v>46086</v>
      </c>
      <c r="K40" t="s">
        <v>31</v>
      </c>
    </row>
    <row r="41" spans="1:11" x14ac:dyDescent="0.3">
      <c r="A41" t="s">
        <v>893</v>
      </c>
      <c r="B41" t="s">
        <v>864</v>
      </c>
      <c r="C41" t="s">
        <v>90</v>
      </c>
      <c r="D41" t="s">
        <v>71</v>
      </c>
      <c r="E41" t="s">
        <v>52</v>
      </c>
      <c r="F41">
        <v>515000</v>
      </c>
      <c r="G41">
        <v>5.15</v>
      </c>
      <c r="H41" t="s">
        <v>27</v>
      </c>
      <c r="I41" t="s">
        <v>28</v>
      </c>
      <c r="J41" s="8">
        <v>46058</v>
      </c>
      <c r="K41" t="s">
        <v>20</v>
      </c>
    </row>
    <row r="42" spans="1:11" x14ac:dyDescent="0.3">
      <c r="A42" t="s">
        <v>893</v>
      </c>
      <c r="B42" t="s">
        <v>864</v>
      </c>
      <c r="C42" t="s">
        <v>90</v>
      </c>
      <c r="D42" t="s">
        <v>71</v>
      </c>
      <c r="E42" t="s">
        <v>52</v>
      </c>
      <c r="F42">
        <v>515000</v>
      </c>
      <c r="G42">
        <v>5.15</v>
      </c>
      <c r="H42" t="s">
        <v>27</v>
      </c>
      <c r="I42" t="s">
        <v>28</v>
      </c>
      <c r="J42" s="8">
        <v>46058</v>
      </c>
      <c r="K42" t="s">
        <v>878</v>
      </c>
    </row>
    <row r="43" spans="1:11" x14ac:dyDescent="0.3">
      <c r="A43" t="s">
        <v>893</v>
      </c>
      <c r="B43" t="s">
        <v>864</v>
      </c>
      <c r="C43" t="s">
        <v>90</v>
      </c>
      <c r="D43" t="s">
        <v>71</v>
      </c>
      <c r="E43" t="s">
        <v>52</v>
      </c>
      <c r="F43">
        <v>515000</v>
      </c>
      <c r="G43">
        <v>5.15</v>
      </c>
      <c r="H43" t="s">
        <v>27</v>
      </c>
      <c r="I43" t="s">
        <v>28</v>
      </c>
      <c r="J43" s="8">
        <v>46058</v>
      </c>
      <c r="K43" t="s">
        <v>874</v>
      </c>
    </row>
    <row r="44" spans="1:11" x14ac:dyDescent="0.3">
      <c r="A44" t="s">
        <v>896</v>
      </c>
      <c r="B44" t="s">
        <v>13</v>
      </c>
      <c r="C44" t="s">
        <v>93</v>
      </c>
      <c r="D44" t="s">
        <v>71</v>
      </c>
      <c r="E44" t="s">
        <v>37</v>
      </c>
      <c r="F44">
        <v>1400000</v>
      </c>
      <c r="G44">
        <v>14</v>
      </c>
      <c r="H44" t="s">
        <v>17</v>
      </c>
      <c r="I44" t="s">
        <v>845</v>
      </c>
      <c r="J44" s="8">
        <v>46177</v>
      </c>
      <c r="K44" t="s">
        <v>46</v>
      </c>
    </row>
    <row r="45" spans="1:11" x14ac:dyDescent="0.3">
      <c r="A45" t="s">
        <v>896</v>
      </c>
      <c r="B45" t="s">
        <v>13</v>
      </c>
      <c r="C45" t="s">
        <v>93</v>
      </c>
      <c r="D45" t="s">
        <v>71</v>
      </c>
      <c r="E45" t="s">
        <v>37</v>
      </c>
      <c r="F45">
        <v>1400000</v>
      </c>
      <c r="G45">
        <v>14</v>
      </c>
      <c r="H45" t="s">
        <v>17</v>
      </c>
      <c r="I45" t="s">
        <v>845</v>
      </c>
      <c r="J45" s="8">
        <v>46177</v>
      </c>
      <c r="K45" t="s">
        <v>54</v>
      </c>
    </row>
    <row r="46" spans="1:11" x14ac:dyDescent="0.3">
      <c r="A46" t="s">
        <v>896</v>
      </c>
      <c r="B46" t="s">
        <v>13</v>
      </c>
      <c r="C46" t="s">
        <v>93</v>
      </c>
      <c r="D46" t="s">
        <v>71</v>
      </c>
      <c r="E46" t="s">
        <v>37</v>
      </c>
      <c r="F46">
        <v>1400000</v>
      </c>
      <c r="G46">
        <v>14</v>
      </c>
      <c r="H46" t="s">
        <v>17</v>
      </c>
      <c r="I46" t="s">
        <v>845</v>
      </c>
      <c r="J46" s="8">
        <v>46177</v>
      </c>
      <c r="K46" t="s">
        <v>29</v>
      </c>
    </row>
    <row r="47" spans="1:11" x14ac:dyDescent="0.3">
      <c r="A47" t="s">
        <v>898</v>
      </c>
      <c r="B47" t="s">
        <v>49</v>
      </c>
      <c r="C47" t="s">
        <v>899</v>
      </c>
      <c r="D47" t="s">
        <v>96</v>
      </c>
      <c r="E47" t="s">
        <v>77</v>
      </c>
      <c r="F47">
        <v>3505000</v>
      </c>
      <c r="G47">
        <v>35.049999999999997</v>
      </c>
      <c r="H47" t="s">
        <v>17</v>
      </c>
      <c r="I47" t="s">
        <v>845</v>
      </c>
      <c r="J47" s="8">
        <v>46119</v>
      </c>
      <c r="K47" t="s">
        <v>874</v>
      </c>
    </row>
    <row r="48" spans="1:11" x14ac:dyDescent="0.3">
      <c r="A48" t="s">
        <v>898</v>
      </c>
      <c r="B48" t="s">
        <v>49</v>
      </c>
      <c r="C48" t="s">
        <v>899</v>
      </c>
      <c r="D48" t="s">
        <v>96</v>
      </c>
      <c r="E48" t="s">
        <v>77</v>
      </c>
      <c r="F48">
        <v>3505000</v>
      </c>
      <c r="G48">
        <v>35.049999999999997</v>
      </c>
      <c r="H48" t="s">
        <v>17</v>
      </c>
      <c r="I48" t="s">
        <v>845</v>
      </c>
      <c r="J48" s="8">
        <v>46119</v>
      </c>
      <c r="K48" t="s">
        <v>31</v>
      </c>
    </row>
    <row r="49" spans="1:11" x14ac:dyDescent="0.3">
      <c r="A49" t="s">
        <v>898</v>
      </c>
      <c r="B49" t="s">
        <v>49</v>
      </c>
      <c r="C49" t="s">
        <v>899</v>
      </c>
      <c r="D49" t="s">
        <v>96</v>
      </c>
      <c r="E49" t="s">
        <v>77</v>
      </c>
      <c r="F49">
        <v>3505000</v>
      </c>
      <c r="G49">
        <v>35.049999999999997</v>
      </c>
      <c r="H49" t="s">
        <v>17</v>
      </c>
      <c r="I49" t="s">
        <v>845</v>
      </c>
      <c r="J49" s="8">
        <v>46119</v>
      </c>
      <c r="K49" t="s">
        <v>846</v>
      </c>
    </row>
    <row r="50" spans="1:11" x14ac:dyDescent="0.3">
      <c r="A50" t="s">
        <v>902</v>
      </c>
      <c r="B50" t="s">
        <v>49</v>
      </c>
      <c r="C50" t="s">
        <v>99</v>
      </c>
      <c r="D50" t="s">
        <v>64</v>
      </c>
      <c r="E50" t="s">
        <v>37</v>
      </c>
      <c r="F50">
        <v>1445000</v>
      </c>
      <c r="G50">
        <v>14.45</v>
      </c>
      <c r="H50" t="s">
        <v>27</v>
      </c>
      <c r="I50" t="s">
        <v>28</v>
      </c>
      <c r="J50" s="8">
        <v>46228</v>
      </c>
      <c r="K50" t="s">
        <v>30</v>
      </c>
    </row>
    <row r="51" spans="1:11" x14ac:dyDescent="0.3">
      <c r="A51" t="s">
        <v>902</v>
      </c>
      <c r="B51" t="s">
        <v>49</v>
      </c>
      <c r="C51" t="s">
        <v>99</v>
      </c>
      <c r="D51" t="s">
        <v>64</v>
      </c>
      <c r="E51" t="s">
        <v>37</v>
      </c>
      <c r="F51">
        <v>1445000</v>
      </c>
      <c r="G51">
        <v>14.45</v>
      </c>
      <c r="H51" t="s">
        <v>27</v>
      </c>
      <c r="I51" t="s">
        <v>28</v>
      </c>
      <c r="J51" s="8">
        <v>46228</v>
      </c>
      <c r="K51" t="s">
        <v>878</v>
      </c>
    </row>
    <row r="52" spans="1:11" x14ac:dyDescent="0.3">
      <c r="A52" t="s">
        <v>902</v>
      </c>
      <c r="B52" t="s">
        <v>49</v>
      </c>
      <c r="C52" t="s">
        <v>99</v>
      </c>
      <c r="D52" t="s">
        <v>64</v>
      </c>
      <c r="E52" t="s">
        <v>37</v>
      </c>
      <c r="F52">
        <v>1445000</v>
      </c>
      <c r="G52">
        <v>14.45</v>
      </c>
      <c r="H52" t="s">
        <v>27</v>
      </c>
      <c r="I52" t="s">
        <v>28</v>
      </c>
      <c r="J52" s="8">
        <v>46228</v>
      </c>
      <c r="K52" t="s">
        <v>31</v>
      </c>
    </row>
    <row r="53" spans="1:11" x14ac:dyDescent="0.3">
      <c r="A53" t="s">
        <v>905</v>
      </c>
      <c r="B53" t="s">
        <v>852</v>
      </c>
      <c r="C53" t="s">
        <v>906</v>
      </c>
      <c r="D53" t="s">
        <v>36</v>
      </c>
      <c r="E53" t="s">
        <v>52</v>
      </c>
      <c r="F53">
        <v>435000</v>
      </c>
      <c r="G53">
        <v>4.3499999999999996</v>
      </c>
      <c r="H53" t="s">
        <v>27</v>
      </c>
      <c r="I53" t="s">
        <v>28</v>
      </c>
      <c r="J53" s="8">
        <v>46172</v>
      </c>
      <c r="K53" t="s">
        <v>908</v>
      </c>
    </row>
    <row r="54" spans="1:11" x14ac:dyDescent="0.3">
      <c r="A54" t="s">
        <v>905</v>
      </c>
      <c r="B54" t="s">
        <v>852</v>
      </c>
      <c r="C54" t="s">
        <v>906</v>
      </c>
      <c r="D54" t="s">
        <v>36</v>
      </c>
      <c r="E54" t="s">
        <v>52</v>
      </c>
      <c r="F54">
        <v>435000</v>
      </c>
      <c r="G54">
        <v>4.3499999999999996</v>
      </c>
      <c r="H54" t="s">
        <v>27</v>
      </c>
      <c r="I54" t="s">
        <v>28</v>
      </c>
      <c r="J54" s="8">
        <v>46172</v>
      </c>
      <c r="K54" t="s">
        <v>29</v>
      </c>
    </row>
    <row r="55" spans="1:11" x14ac:dyDescent="0.3">
      <c r="A55" t="s">
        <v>905</v>
      </c>
      <c r="B55" t="s">
        <v>852</v>
      </c>
      <c r="C55" t="s">
        <v>906</v>
      </c>
      <c r="D55" t="s">
        <v>36</v>
      </c>
      <c r="E55" t="s">
        <v>52</v>
      </c>
      <c r="F55">
        <v>435000</v>
      </c>
      <c r="G55">
        <v>4.3499999999999996</v>
      </c>
      <c r="H55" t="s">
        <v>27</v>
      </c>
      <c r="I55" t="s">
        <v>28</v>
      </c>
      <c r="J55" s="8">
        <v>46172</v>
      </c>
      <c r="K55" t="s">
        <v>54</v>
      </c>
    </row>
    <row r="56" spans="1:11" x14ac:dyDescent="0.3">
      <c r="A56" t="s">
        <v>910</v>
      </c>
      <c r="B56" t="s">
        <v>24</v>
      </c>
      <c r="C56" t="s">
        <v>106</v>
      </c>
      <c r="D56" t="s">
        <v>96</v>
      </c>
      <c r="E56" t="s">
        <v>37</v>
      </c>
      <c r="F56">
        <v>1415000</v>
      </c>
      <c r="G56">
        <v>14.15</v>
      </c>
      <c r="H56" t="s">
        <v>27</v>
      </c>
      <c r="I56" t="s">
        <v>845</v>
      </c>
      <c r="J56" s="8">
        <v>46096</v>
      </c>
      <c r="K56" t="s">
        <v>846</v>
      </c>
    </row>
    <row r="57" spans="1:11" x14ac:dyDescent="0.3">
      <c r="A57" t="s">
        <v>910</v>
      </c>
      <c r="B57" t="s">
        <v>24</v>
      </c>
      <c r="C57" t="s">
        <v>106</v>
      </c>
      <c r="D57" t="s">
        <v>96</v>
      </c>
      <c r="E57" t="s">
        <v>37</v>
      </c>
      <c r="F57">
        <v>1415000</v>
      </c>
      <c r="G57">
        <v>14.15</v>
      </c>
      <c r="H57" t="s">
        <v>27</v>
      </c>
      <c r="I57" t="s">
        <v>845</v>
      </c>
      <c r="J57" s="8">
        <v>46096</v>
      </c>
      <c r="K57" t="s">
        <v>20</v>
      </c>
    </row>
    <row r="58" spans="1:11" x14ac:dyDescent="0.3">
      <c r="A58" t="s">
        <v>910</v>
      </c>
      <c r="B58" t="s">
        <v>24</v>
      </c>
      <c r="C58" t="s">
        <v>106</v>
      </c>
      <c r="D58" t="s">
        <v>96</v>
      </c>
      <c r="E58" t="s">
        <v>37</v>
      </c>
      <c r="F58">
        <v>1415000</v>
      </c>
      <c r="G58">
        <v>14.15</v>
      </c>
      <c r="H58" t="s">
        <v>27</v>
      </c>
      <c r="I58" t="s">
        <v>845</v>
      </c>
      <c r="J58" s="8">
        <v>46096</v>
      </c>
      <c r="K58" t="s">
        <v>21</v>
      </c>
    </row>
    <row r="59" spans="1:11" x14ac:dyDescent="0.3">
      <c r="A59" t="s">
        <v>913</v>
      </c>
      <c r="B59" t="s">
        <v>864</v>
      </c>
      <c r="C59" t="s">
        <v>109</v>
      </c>
      <c r="D59" t="s">
        <v>64</v>
      </c>
      <c r="E59" t="s">
        <v>37</v>
      </c>
      <c r="F59">
        <v>1490000</v>
      </c>
      <c r="G59">
        <v>14.9</v>
      </c>
      <c r="H59" t="s">
        <v>27</v>
      </c>
      <c r="I59" t="s">
        <v>845</v>
      </c>
      <c r="J59" s="8">
        <v>46097</v>
      </c>
      <c r="K59" t="s">
        <v>878</v>
      </c>
    </row>
    <row r="60" spans="1:11" x14ac:dyDescent="0.3">
      <c r="A60" t="s">
        <v>913</v>
      </c>
      <c r="B60" t="s">
        <v>864</v>
      </c>
      <c r="C60" t="s">
        <v>109</v>
      </c>
      <c r="D60" t="s">
        <v>64</v>
      </c>
      <c r="E60" t="s">
        <v>37</v>
      </c>
      <c r="F60">
        <v>1490000</v>
      </c>
      <c r="G60">
        <v>14.9</v>
      </c>
      <c r="H60" t="s">
        <v>27</v>
      </c>
      <c r="I60" t="s">
        <v>845</v>
      </c>
      <c r="J60" s="8">
        <v>46097</v>
      </c>
      <c r="K60" t="s">
        <v>46</v>
      </c>
    </row>
    <row r="61" spans="1:11" x14ac:dyDescent="0.3">
      <c r="A61" t="s">
        <v>913</v>
      </c>
      <c r="B61" t="s">
        <v>864</v>
      </c>
      <c r="C61" t="s">
        <v>109</v>
      </c>
      <c r="D61" t="s">
        <v>64</v>
      </c>
      <c r="E61" t="s">
        <v>37</v>
      </c>
      <c r="F61">
        <v>1490000</v>
      </c>
      <c r="G61">
        <v>14.9</v>
      </c>
      <c r="H61" t="s">
        <v>27</v>
      </c>
      <c r="I61" t="s">
        <v>845</v>
      </c>
      <c r="J61" s="8">
        <v>46097</v>
      </c>
      <c r="K61" t="s">
        <v>54</v>
      </c>
    </row>
    <row r="62" spans="1:11" x14ac:dyDescent="0.3">
      <c r="A62" t="s">
        <v>916</v>
      </c>
      <c r="B62" t="s">
        <v>75</v>
      </c>
      <c r="C62" t="s">
        <v>112</v>
      </c>
      <c r="D62" t="s">
        <v>51</v>
      </c>
      <c r="E62" t="s">
        <v>16</v>
      </c>
      <c r="F62">
        <v>1095000</v>
      </c>
      <c r="G62">
        <v>10.95</v>
      </c>
      <c r="H62" t="s">
        <v>27</v>
      </c>
      <c r="I62" t="s">
        <v>845</v>
      </c>
      <c r="J62" s="8">
        <v>46173</v>
      </c>
      <c r="K62" t="s">
        <v>21</v>
      </c>
    </row>
    <row r="63" spans="1:11" x14ac:dyDescent="0.3">
      <c r="A63" t="s">
        <v>916</v>
      </c>
      <c r="B63" t="s">
        <v>75</v>
      </c>
      <c r="C63" t="s">
        <v>112</v>
      </c>
      <c r="D63" t="s">
        <v>51</v>
      </c>
      <c r="E63" t="s">
        <v>16</v>
      </c>
      <c r="F63">
        <v>1095000</v>
      </c>
      <c r="G63">
        <v>10.95</v>
      </c>
      <c r="H63" t="s">
        <v>27</v>
      </c>
      <c r="I63" t="s">
        <v>845</v>
      </c>
      <c r="J63" s="8">
        <v>46173</v>
      </c>
      <c r="K63" t="s">
        <v>878</v>
      </c>
    </row>
    <row r="64" spans="1:11" x14ac:dyDescent="0.3">
      <c r="A64" t="s">
        <v>916</v>
      </c>
      <c r="B64" t="s">
        <v>75</v>
      </c>
      <c r="C64" t="s">
        <v>112</v>
      </c>
      <c r="D64" t="s">
        <v>51</v>
      </c>
      <c r="E64" t="s">
        <v>16</v>
      </c>
      <c r="F64">
        <v>1095000</v>
      </c>
      <c r="G64">
        <v>10.95</v>
      </c>
      <c r="H64" t="s">
        <v>27</v>
      </c>
      <c r="I64" t="s">
        <v>845</v>
      </c>
      <c r="J64" s="8">
        <v>46173</v>
      </c>
      <c r="K64" t="s">
        <v>846</v>
      </c>
    </row>
    <row r="65" spans="1:11" x14ac:dyDescent="0.3">
      <c r="A65" t="s">
        <v>918</v>
      </c>
      <c r="B65" t="s">
        <v>49</v>
      </c>
      <c r="C65" t="s">
        <v>919</v>
      </c>
      <c r="D65" t="s">
        <v>76</v>
      </c>
      <c r="E65" t="s">
        <v>116</v>
      </c>
      <c r="F65">
        <v>1725000</v>
      </c>
      <c r="G65">
        <v>17.25</v>
      </c>
      <c r="H65" t="s">
        <v>27</v>
      </c>
      <c r="I65" t="s">
        <v>845</v>
      </c>
      <c r="J65" s="8">
        <v>46180</v>
      </c>
      <c r="K65" t="s">
        <v>31</v>
      </c>
    </row>
    <row r="66" spans="1:11" x14ac:dyDescent="0.3">
      <c r="A66" t="s">
        <v>918</v>
      </c>
      <c r="B66" t="s">
        <v>49</v>
      </c>
      <c r="C66" t="s">
        <v>919</v>
      </c>
      <c r="D66" t="s">
        <v>76</v>
      </c>
      <c r="E66" t="s">
        <v>116</v>
      </c>
      <c r="F66">
        <v>1725000</v>
      </c>
      <c r="G66">
        <v>17.25</v>
      </c>
      <c r="H66" t="s">
        <v>27</v>
      </c>
      <c r="I66" t="s">
        <v>845</v>
      </c>
      <c r="J66" s="8">
        <v>46180</v>
      </c>
      <c r="K66" t="s">
        <v>846</v>
      </c>
    </row>
    <row r="67" spans="1:11" x14ac:dyDescent="0.3">
      <c r="A67" t="s">
        <v>918</v>
      </c>
      <c r="B67" t="s">
        <v>49</v>
      </c>
      <c r="C67" t="s">
        <v>919</v>
      </c>
      <c r="D67" t="s">
        <v>76</v>
      </c>
      <c r="E67" t="s">
        <v>116</v>
      </c>
      <c r="F67">
        <v>1725000</v>
      </c>
      <c r="G67">
        <v>17.25</v>
      </c>
      <c r="H67" t="s">
        <v>27</v>
      </c>
      <c r="I67" t="s">
        <v>845</v>
      </c>
      <c r="J67" s="8">
        <v>46180</v>
      </c>
      <c r="K67" t="s">
        <v>21</v>
      </c>
    </row>
    <row r="68" spans="1:11" x14ac:dyDescent="0.3">
      <c r="A68" t="s">
        <v>922</v>
      </c>
      <c r="B68" t="s">
        <v>24</v>
      </c>
      <c r="C68" t="s">
        <v>119</v>
      </c>
      <c r="D68" t="s">
        <v>81</v>
      </c>
      <c r="E68" t="s">
        <v>116</v>
      </c>
      <c r="F68">
        <v>1005000</v>
      </c>
      <c r="G68">
        <v>10.050000000000001</v>
      </c>
      <c r="H68" t="s">
        <v>27</v>
      </c>
      <c r="I68" t="s">
        <v>28</v>
      </c>
      <c r="J68" s="8">
        <v>46180</v>
      </c>
      <c r="K68" t="s">
        <v>846</v>
      </c>
    </row>
    <row r="69" spans="1:11" x14ac:dyDescent="0.3">
      <c r="A69" t="s">
        <v>922</v>
      </c>
      <c r="B69" t="s">
        <v>24</v>
      </c>
      <c r="C69" t="s">
        <v>119</v>
      </c>
      <c r="D69" t="s">
        <v>81</v>
      </c>
      <c r="E69" t="s">
        <v>116</v>
      </c>
      <c r="F69">
        <v>1005000</v>
      </c>
      <c r="G69">
        <v>10.050000000000001</v>
      </c>
      <c r="H69" t="s">
        <v>27</v>
      </c>
      <c r="I69" t="s">
        <v>28</v>
      </c>
      <c r="J69" s="8">
        <v>46180</v>
      </c>
      <c r="K69" t="s">
        <v>30</v>
      </c>
    </row>
    <row r="70" spans="1:11" x14ac:dyDescent="0.3">
      <c r="A70" t="s">
        <v>922</v>
      </c>
      <c r="B70" t="s">
        <v>24</v>
      </c>
      <c r="C70" t="s">
        <v>119</v>
      </c>
      <c r="D70" t="s">
        <v>81</v>
      </c>
      <c r="E70" t="s">
        <v>116</v>
      </c>
      <c r="F70">
        <v>1005000</v>
      </c>
      <c r="G70">
        <v>10.050000000000001</v>
      </c>
      <c r="H70" t="s">
        <v>27</v>
      </c>
      <c r="I70" t="s">
        <v>28</v>
      </c>
      <c r="J70" s="8">
        <v>46180</v>
      </c>
      <c r="K70" t="s">
        <v>39</v>
      </c>
    </row>
    <row r="71" spans="1:11" x14ac:dyDescent="0.3">
      <c r="A71" t="s">
        <v>924</v>
      </c>
      <c r="B71" t="s">
        <v>864</v>
      </c>
      <c r="C71" t="s">
        <v>93</v>
      </c>
      <c r="D71" t="s">
        <v>64</v>
      </c>
      <c r="E71" t="s">
        <v>37</v>
      </c>
      <c r="F71">
        <v>1065000</v>
      </c>
      <c r="G71">
        <v>10.65</v>
      </c>
      <c r="H71" t="s">
        <v>27</v>
      </c>
      <c r="I71" t="s">
        <v>59</v>
      </c>
      <c r="J71" s="8">
        <v>46258</v>
      </c>
      <c r="K71" t="s">
        <v>45</v>
      </c>
    </row>
    <row r="72" spans="1:11" x14ac:dyDescent="0.3">
      <c r="A72" t="s">
        <v>924</v>
      </c>
      <c r="B72" t="s">
        <v>864</v>
      </c>
      <c r="C72" t="s">
        <v>93</v>
      </c>
      <c r="D72" t="s">
        <v>64</v>
      </c>
      <c r="E72" t="s">
        <v>37</v>
      </c>
      <c r="F72">
        <v>1065000</v>
      </c>
      <c r="G72">
        <v>10.65</v>
      </c>
      <c r="H72" t="s">
        <v>27</v>
      </c>
      <c r="I72" t="s">
        <v>59</v>
      </c>
      <c r="J72" s="8">
        <v>46258</v>
      </c>
      <c r="K72" t="s">
        <v>54</v>
      </c>
    </row>
    <row r="73" spans="1:11" x14ac:dyDescent="0.3">
      <c r="A73" t="s">
        <v>924</v>
      </c>
      <c r="B73" t="s">
        <v>864</v>
      </c>
      <c r="C73" t="s">
        <v>93</v>
      </c>
      <c r="D73" t="s">
        <v>64</v>
      </c>
      <c r="E73" t="s">
        <v>37</v>
      </c>
      <c r="F73">
        <v>1065000</v>
      </c>
      <c r="G73">
        <v>10.65</v>
      </c>
      <c r="H73" t="s">
        <v>27</v>
      </c>
      <c r="I73" t="s">
        <v>59</v>
      </c>
      <c r="J73" s="8">
        <v>46258</v>
      </c>
      <c r="K73" t="s">
        <v>31</v>
      </c>
    </row>
    <row r="74" spans="1:11" x14ac:dyDescent="0.3">
      <c r="A74" t="s">
        <v>927</v>
      </c>
      <c r="B74" t="s">
        <v>864</v>
      </c>
      <c r="C74" t="s">
        <v>123</v>
      </c>
      <c r="D74" t="s">
        <v>71</v>
      </c>
      <c r="E74" t="s">
        <v>16</v>
      </c>
      <c r="F74">
        <v>730000</v>
      </c>
      <c r="G74">
        <v>7.3</v>
      </c>
      <c r="H74" t="s">
        <v>27</v>
      </c>
      <c r="I74" t="s">
        <v>28</v>
      </c>
      <c r="J74" s="8">
        <v>46058</v>
      </c>
      <c r="K74" t="s">
        <v>45</v>
      </c>
    </row>
    <row r="75" spans="1:11" x14ac:dyDescent="0.3">
      <c r="A75" t="s">
        <v>927</v>
      </c>
      <c r="B75" t="s">
        <v>864</v>
      </c>
      <c r="C75" t="s">
        <v>123</v>
      </c>
      <c r="D75" t="s">
        <v>71</v>
      </c>
      <c r="E75" t="s">
        <v>16</v>
      </c>
      <c r="F75">
        <v>730000</v>
      </c>
      <c r="G75">
        <v>7.3</v>
      </c>
      <c r="H75" t="s">
        <v>27</v>
      </c>
      <c r="I75" t="s">
        <v>28</v>
      </c>
      <c r="J75" s="8">
        <v>46058</v>
      </c>
      <c r="K75" t="s">
        <v>846</v>
      </c>
    </row>
    <row r="76" spans="1:11" x14ac:dyDescent="0.3">
      <c r="A76" t="s">
        <v>927</v>
      </c>
      <c r="B76" t="s">
        <v>864</v>
      </c>
      <c r="C76" t="s">
        <v>123</v>
      </c>
      <c r="D76" t="s">
        <v>71</v>
      </c>
      <c r="E76" t="s">
        <v>16</v>
      </c>
      <c r="F76">
        <v>730000</v>
      </c>
      <c r="G76">
        <v>7.3</v>
      </c>
      <c r="H76" t="s">
        <v>27</v>
      </c>
      <c r="I76" t="s">
        <v>28</v>
      </c>
      <c r="J76" s="8">
        <v>46058</v>
      </c>
      <c r="K76" t="s">
        <v>54</v>
      </c>
    </row>
    <row r="77" spans="1:11" x14ac:dyDescent="0.3">
      <c r="A77" t="s">
        <v>929</v>
      </c>
      <c r="B77" t="s">
        <v>24</v>
      </c>
      <c r="C77" t="s">
        <v>125</v>
      </c>
      <c r="D77" t="s">
        <v>81</v>
      </c>
      <c r="E77" t="s">
        <v>77</v>
      </c>
      <c r="F77">
        <v>3415000</v>
      </c>
      <c r="G77">
        <v>34.15</v>
      </c>
      <c r="H77" t="s">
        <v>27</v>
      </c>
      <c r="I77" t="s">
        <v>845</v>
      </c>
      <c r="J77" s="8">
        <v>46202</v>
      </c>
      <c r="K77" t="s">
        <v>31</v>
      </c>
    </row>
    <row r="78" spans="1:11" x14ac:dyDescent="0.3">
      <c r="A78" t="s">
        <v>929</v>
      </c>
      <c r="B78" t="s">
        <v>24</v>
      </c>
      <c r="C78" t="s">
        <v>125</v>
      </c>
      <c r="D78" t="s">
        <v>81</v>
      </c>
      <c r="E78" t="s">
        <v>77</v>
      </c>
      <c r="F78">
        <v>3415000</v>
      </c>
      <c r="G78">
        <v>34.15</v>
      </c>
      <c r="H78" t="s">
        <v>27</v>
      </c>
      <c r="I78" t="s">
        <v>845</v>
      </c>
      <c r="J78" s="8">
        <v>46202</v>
      </c>
      <c r="K78" t="s">
        <v>908</v>
      </c>
    </row>
    <row r="79" spans="1:11" x14ac:dyDescent="0.3">
      <c r="A79" t="s">
        <v>929</v>
      </c>
      <c r="B79" t="s">
        <v>24</v>
      </c>
      <c r="C79" t="s">
        <v>125</v>
      </c>
      <c r="D79" t="s">
        <v>81</v>
      </c>
      <c r="E79" t="s">
        <v>77</v>
      </c>
      <c r="F79">
        <v>3415000</v>
      </c>
      <c r="G79">
        <v>34.15</v>
      </c>
      <c r="H79" t="s">
        <v>27</v>
      </c>
      <c r="I79" t="s">
        <v>845</v>
      </c>
      <c r="J79" s="8">
        <v>46202</v>
      </c>
      <c r="K79" t="s">
        <v>39</v>
      </c>
    </row>
    <row r="80" spans="1:11" x14ac:dyDescent="0.3">
      <c r="A80" t="s">
        <v>932</v>
      </c>
      <c r="B80" t="s">
        <v>42</v>
      </c>
      <c r="C80" t="s">
        <v>93</v>
      </c>
      <c r="D80" t="s">
        <v>15</v>
      </c>
      <c r="E80" t="s">
        <v>37</v>
      </c>
      <c r="F80">
        <v>1925000</v>
      </c>
      <c r="G80">
        <v>19.25</v>
      </c>
      <c r="H80" t="s">
        <v>27</v>
      </c>
      <c r="I80" t="s">
        <v>845</v>
      </c>
      <c r="J80" s="8">
        <v>46040</v>
      </c>
      <c r="K80" t="s">
        <v>21</v>
      </c>
    </row>
    <row r="81" spans="1:11" x14ac:dyDescent="0.3">
      <c r="A81" t="s">
        <v>932</v>
      </c>
      <c r="B81" t="s">
        <v>42</v>
      </c>
      <c r="C81" t="s">
        <v>93</v>
      </c>
      <c r="D81" t="s">
        <v>15</v>
      </c>
      <c r="E81" t="s">
        <v>37</v>
      </c>
      <c r="F81">
        <v>1925000</v>
      </c>
      <c r="G81">
        <v>19.25</v>
      </c>
      <c r="H81" t="s">
        <v>27</v>
      </c>
      <c r="I81" t="s">
        <v>845</v>
      </c>
      <c r="J81" s="8">
        <v>46040</v>
      </c>
      <c r="K81" t="s">
        <v>46</v>
      </c>
    </row>
    <row r="82" spans="1:11" x14ac:dyDescent="0.3">
      <c r="A82" t="s">
        <v>932</v>
      </c>
      <c r="B82" t="s">
        <v>42</v>
      </c>
      <c r="C82" t="s">
        <v>93</v>
      </c>
      <c r="D82" t="s">
        <v>15</v>
      </c>
      <c r="E82" t="s">
        <v>37</v>
      </c>
      <c r="F82">
        <v>1925000</v>
      </c>
      <c r="G82">
        <v>19.25</v>
      </c>
      <c r="H82" t="s">
        <v>27</v>
      </c>
      <c r="I82" t="s">
        <v>845</v>
      </c>
      <c r="J82" s="8">
        <v>46040</v>
      </c>
      <c r="K82" t="s">
        <v>20</v>
      </c>
    </row>
    <row r="83" spans="1:11" x14ac:dyDescent="0.3">
      <c r="A83" t="s">
        <v>935</v>
      </c>
      <c r="B83" t="s">
        <v>49</v>
      </c>
      <c r="C83" t="s">
        <v>130</v>
      </c>
      <c r="D83" t="s">
        <v>81</v>
      </c>
      <c r="E83" t="s">
        <v>77</v>
      </c>
      <c r="F83">
        <v>2980000</v>
      </c>
      <c r="G83">
        <v>29.8</v>
      </c>
      <c r="H83" t="s">
        <v>27</v>
      </c>
      <c r="I83" t="s">
        <v>59</v>
      </c>
      <c r="J83" s="8">
        <v>46191</v>
      </c>
      <c r="K83" t="s">
        <v>31</v>
      </c>
    </row>
    <row r="84" spans="1:11" x14ac:dyDescent="0.3">
      <c r="A84" t="s">
        <v>935</v>
      </c>
      <c r="B84" t="s">
        <v>49</v>
      </c>
      <c r="C84" t="s">
        <v>130</v>
      </c>
      <c r="D84" t="s">
        <v>81</v>
      </c>
      <c r="E84" t="s">
        <v>77</v>
      </c>
      <c r="F84">
        <v>2980000</v>
      </c>
      <c r="G84">
        <v>29.8</v>
      </c>
      <c r="H84" t="s">
        <v>27</v>
      </c>
      <c r="I84" t="s">
        <v>59</v>
      </c>
      <c r="J84" s="8">
        <v>46191</v>
      </c>
      <c r="K84" t="s">
        <v>937</v>
      </c>
    </row>
    <row r="85" spans="1:11" x14ac:dyDescent="0.3">
      <c r="A85" t="s">
        <v>935</v>
      </c>
      <c r="B85" t="s">
        <v>49</v>
      </c>
      <c r="C85" t="s">
        <v>130</v>
      </c>
      <c r="D85" t="s">
        <v>81</v>
      </c>
      <c r="E85" t="s">
        <v>77</v>
      </c>
      <c r="F85">
        <v>2980000</v>
      </c>
      <c r="G85">
        <v>29.8</v>
      </c>
      <c r="H85" t="s">
        <v>27</v>
      </c>
      <c r="I85" t="s">
        <v>59</v>
      </c>
      <c r="J85" s="8">
        <v>46191</v>
      </c>
      <c r="K85" t="s">
        <v>908</v>
      </c>
    </row>
    <row r="86" spans="1:11" x14ac:dyDescent="0.3">
      <c r="A86" t="s">
        <v>939</v>
      </c>
      <c r="B86" t="s">
        <v>852</v>
      </c>
      <c r="C86" t="s">
        <v>940</v>
      </c>
      <c r="D86" t="s">
        <v>26</v>
      </c>
      <c r="E86" t="s">
        <v>77</v>
      </c>
      <c r="F86">
        <v>2790000</v>
      </c>
      <c r="G86">
        <v>27.9</v>
      </c>
      <c r="H86" t="s">
        <v>27</v>
      </c>
      <c r="I86" t="s">
        <v>28</v>
      </c>
      <c r="J86" s="8">
        <v>46111</v>
      </c>
      <c r="K86" t="s">
        <v>20</v>
      </c>
    </row>
    <row r="87" spans="1:11" x14ac:dyDescent="0.3">
      <c r="A87" t="s">
        <v>939</v>
      </c>
      <c r="B87" t="s">
        <v>852</v>
      </c>
      <c r="C87" t="s">
        <v>940</v>
      </c>
      <c r="D87" t="s">
        <v>26</v>
      </c>
      <c r="E87" t="s">
        <v>77</v>
      </c>
      <c r="F87">
        <v>2790000</v>
      </c>
      <c r="G87">
        <v>27.9</v>
      </c>
      <c r="H87" t="s">
        <v>27</v>
      </c>
      <c r="I87" t="s">
        <v>28</v>
      </c>
      <c r="J87" s="8">
        <v>46111</v>
      </c>
      <c r="K87" t="s">
        <v>846</v>
      </c>
    </row>
    <row r="88" spans="1:11" x14ac:dyDescent="0.3">
      <c r="A88" t="s">
        <v>939</v>
      </c>
      <c r="B88" t="s">
        <v>852</v>
      </c>
      <c r="C88" t="s">
        <v>940</v>
      </c>
      <c r="D88" t="s">
        <v>26</v>
      </c>
      <c r="E88" t="s">
        <v>77</v>
      </c>
      <c r="F88">
        <v>2790000</v>
      </c>
      <c r="G88">
        <v>27.9</v>
      </c>
      <c r="H88" t="s">
        <v>27</v>
      </c>
      <c r="I88" t="s">
        <v>28</v>
      </c>
      <c r="J88" s="8">
        <v>46111</v>
      </c>
      <c r="K88" t="s">
        <v>908</v>
      </c>
    </row>
    <row r="89" spans="1:11" x14ac:dyDescent="0.3">
      <c r="A89" t="s">
        <v>943</v>
      </c>
      <c r="B89" t="s">
        <v>42</v>
      </c>
      <c r="C89" t="s">
        <v>87</v>
      </c>
      <c r="D89" t="s">
        <v>81</v>
      </c>
      <c r="E89" t="s">
        <v>116</v>
      </c>
      <c r="F89">
        <v>1485000</v>
      </c>
      <c r="G89">
        <v>14.85</v>
      </c>
      <c r="H89" t="s">
        <v>17</v>
      </c>
      <c r="I89" t="s">
        <v>28</v>
      </c>
      <c r="J89" s="8">
        <v>46126</v>
      </c>
      <c r="K89" t="s">
        <v>30</v>
      </c>
    </row>
    <row r="90" spans="1:11" x14ac:dyDescent="0.3">
      <c r="A90" t="s">
        <v>943</v>
      </c>
      <c r="B90" t="s">
        <v>42</v>
      </c>
      <c r="C90" t="s">
        <v>87</v>
      </c>
      <c r="D90" t="s">
        <v>81</v>
      </c>
      <c r="E90" t="s">
        <v>116</v>
      </c>
      <c r="F90">
        <v>1485000</v>
      </c>
      <c r="G90">
        <v>14.85</v>
      </c>
      <c r="H90" t="s">
        <v>17</v>
      </c>
      <c r="I90" t="s">
        <v>28</v>
      </c>
      <c r="J90" s="8">
        <v>46126</v>
      </c>
      <c r="K90" t="s">
        <v>21</v>
      </c>
    </row>
    <row r="91" spans="1:11" x14ac:dyDescent="0.3">
      <c r="A91" t="s">
        <v>943</v>
      </c>
      <c r="B91" t="s">
        <v>42</v>
      </c>
      <c r="C91" t="s">
        <v>87</v>
      </c>
      <c r="D91" t="s">
        <v>81</v>
      </c>
      <c r="E91" t="s">
        <v>116</v>
      </c>
      <c r="F91">
        <v>1485000</v>
      </c>
      <c r="G91">
        <v>14.85</v>
      </c>
      <c r="H91" t="s">
        <v>17</v>
      </c>
      <c r="I91" t="s">
        <v>28</v>
      </c>
      <c r="J91" s="8">
        <v>46126</v>
      </c>
      <c r="K91" t="s">
        <v>846</v>
      </c>
    </row>
    <row r="92" spans="1:11" x14ac:dyDescent="0.3">
      <c r="A92" t="s">
        <v>946</v>
      </c>
      <c r="B92" t="s">
        <v>62</v>
      </c>
      <c r="C92" t="s">
        <v>139</v>
      </c>
      <c r="D92" t="s">
        <v>64</v>
      </c>
      <c r="E92" t="s">
        <v>116</v>
      </c>
      <c r="F92">
        <v>1690000</v>
      </c>
      <c r="G92">
        <v>16.899999999999999</v>
      </c>
      <c r="H92" t="s">
        <v>17</v>
      </c>
      <c r="I92" t="s">
        <v>845</v>
      </c>
      <c r="J92" s="8">
        <v>46115</v>
      </c>
      <c r="K92" t="s">
        <v>39</v>
      </c>
    </row>
    <row r="93" spans="1:11" x14ac:dyDescent="0.3">
      <c r="A93" t="s">
        <v>946</v>
      </c>
      <c r="B93" t="s">
        <v>62</v>
      </c>
      <c r="C93" t="s">
        <v>139</v>
      </c>
      <c r="D93" t="s">
        <v>64</v>
      </c>
      <c r="E93" t="s">
        <v>116</v>
      </c>
      <c r="F93">
        <v>1690000</v>
      </c>
      <c r="G93">
        <v>16.899999999999999</v>
      </c>
      <c r="H93" t="s">
        <v>17</v>
      </c>
      <c r="I93" t="s">
        <v>845</v>
      </c>
      <c r="J93" s="8">
        <v>46115</v>
      </c>
      <c r="K93" t="s">
        <v>46</v>
      </c>
    </row>
    <row r="94" spans="1:11" x14ac:dyDescent="0.3">
      <c r="A94" t="s">
        <v>946</v>
      </c>
      <c r="B94" t="s">
        <v>62</v>
      </c>
      <c r="C94" t="s">
        <v>139</v>
      </c>
      <c r="D94" t="s">
        <v>64</v>
      </c>
      <c r="E94" t="s">
        <v>116</v>
      </c>
      <c r="F94">
        <v>1690000</v>
      </c>
      <c r="G94">
        <v>16.899999999999999</v>
      </c>
      <c r="H94" t="s">
        <v>17</v>
      </c>
      <c r="I94" t="s">
        <v>845</v>
      </c>
      <c r="J94" s="8">
        <v>46115</v>
      </c>
      <c r="K94" t="s">
        <v>30</v>
      </c>
    </row>
    <row r="95" spans="1:11" x14ac:dyDescent="0.3">
      <c r="A95" t="s">
        <v>949</v>
      </c>
      <c r="B95" t="s">
        <v>75</v>
      </c>
      <c r="C95" t="s">
        <v>87</v>
      </c>
      <c r="D95" t="s">
        <v>51</v>
      </c>
      <c r="E95" t="s">
        <v>52</v>
      </c>
      <c r="F95">
        <v>460000</v>
      </c>
      <c r="G95">
        <v>4.5999999999999996</v>
      </c>
      <c r="H95" t="s">
        <v>27</v>
      </c>
      <c r="I95" t="s">
        <v>845</v>
      </c>
      <c r="J95" s="8">
        <v>46178</v>
      </c>
      <c r="K95" t="s">
        <v>878</v>
      </c>
    </row>
    <row r="96" spans="1:11" x14ac:dyDescent="0.3">
      <c r="A96" t="s">
        <v>949</v>
      </c>
      <c r="B96" t="s">
        <v>75</v>
      </c>
      <c r="C96" t="s">
        <v>87</v>
      </c>
      <c r="D96" t="s">
        <v>51</v>
      </c>
      <c r="E96" t="s">
        <v>52</v>
      </c>
      <c r="F96">
        <v>460000</v>
      </c>
      <c r="G96">
        <v>4.5999999999999996</v>
      </c>
      <c r="H96" t="s">
        <v>27</v>
      </c>
      <c r="I96" t="s">
        <v>845</v>
      </c>
      <c r="J96" s="8">
        <v>46178</v>
      </c>
      <c r="K96" t="s">
        <v>846</v>
      </c>
    </row>
    <row r="97" spans="1:11" x14ac:dyDescent="0.3">
      <c r="A97" t="s">
        <v>949</v>
      </c>
      <c r="B97" t="s">
        <v>75</v>
      </c>
      <c r="C97" t="s">
        <v>87</v>
      </c>
      <c r="D97" t="s">
        <v>51</v>
      </c>
      <c r="E97" t="s">
        <v>52</v>
      </c>
      <c r="F97">
        <v>460000</v>
      </c>
      <c r="G97">
        <v>4.5999999999999996</v>
      </c>
      <c r="H97" t="s">
        <v>27</v>
      </c>
      <c r="I97" t="s">
        <v>845</v>
      </c>
      <c r="J97" s="8">
        <v>46178</v>
      </c>
      <c r="K97" t="s">
        <v>31</v>
      </c>
    </row>
    <row r="98" spans="1:11" x14ac:dyDescent="0.3">
      <c r="A98" t="s">
        <v>952</v>
      </c>
      <c r="B98" t="s">
        <v>75</v>
      </c>
      <c r="C98" t="s">
        <v>953</v>
      </c>
      <c r="D98" t="s">
        <v>81</v>
      </c>
      <c r="E98" t="s">
        <v>52</v>
      </c>
      <c r="F98">
        <v>415000</v>
      </c>
      <c r="G98">
        <v>4.1500000000000004</v>
      </c>
      <c r="H98" t="s">
        <v>53</v>
      </c>
      <c r="I98" t="s">
        <v>845</v>
      </c>
      <c r="J98" s="8">
        <v>46142</v>
      </c>
      <c r="K98" t="s">
        <v>29</v>
      </c>
    </row>
    <row r="99" spans="1:11" x14ac:dyDescent="0.3">
      <c r="A99" t="s">
        <v>952</v>
      </c>
      <c r="B99" t="s">
        <v>75</v>
      </c>
      <c r="C99" t="s">
        <v>953</v>
      </c>
      <c r="D99" t="s">
        <v>81</v>
      </c>
      <c r="E99" t="s">
        <v>52</v>
      </c>
      <c r="F99">
        <v>415000</v>
      </c>
      <c r="G99">
        <v>4.1500000000000004</v>
      </c>
      <c r="H99" t="s">
        <v>53</v>
      </c>
      <c r="I99" t="s">
        <v>845</v>
      </c>
      <c r="J99" s="8">
        <v>46142</v>
      </c>
      <c r="K99" t="s">
        <v>878</v>
      </c>
    </row>
    <row r="100" spans="1:11" x14ac:dyDescent="0.3">
      <c r="A100" t="s">
        <v>952</v>
      </c>
      <c r="B100" t="s">
        <v>75</v>
      </c>
      <c r="C100" t="s">
        <v>953</v>
      </c>
      <c r="D100" t="s">
        <v>81</v>
      </c>
      <c r="E100" t="s">
        <v>52</v>
      </c>
      <c r="F100">
        <v>415000</v>
      </c>
      <c r="G100">
        <v>4.1500000000000004</v>
      </c>
      <c r="H100" t="s">
        <v>53</v>
      </c>
      <c r="I100" t="s">
        <v>845</v>
      </c>
      <c r="J100" s="8">
        <v>46142</v>
      </c>
      <c r="K100" t="s">
        <v>846</v>
      </c>
    </row>
    <row r="101" spans="1:11" x14ac:dyDescent="0.3">
      <c r="A101" t="s">
        <v>956</v>
      </c>
      <c r="B101" t="s">
        <v>852</v>
      </c>
      <c r="C101" t="s">
        <v>899</v>
      </c>
      <c r="D101" t="s">
        <v>15</v>
      </c>
      <c r="E101" t="s">
        <v>37</v>
      </c>
      <c r="F101">
        <v>1685000</v>
      </c>
      <c r="G101">
        <v>16.850000000000001</v>
      </c>
      <c r="H101" t="s">
        <v>27</v>
      </c>
      <c r="I101" t="s">
        <v>59</v>
      </c>
      <c r="J101" s="8">
        <v>46232</v>
      </c>
      <c r="K101" t="s">
        <v>31</v>
      </c>
    </row>
    <row r="102" spans="1:11" x14ac:dyDescent="0.3">
      <c r="A102" t="s">
        <v>956</v>
      </c>
      <c r="B102" t="s">
        <v>852</v>
      </c>
      <c r="C102" t="s">
        <v>899</v>
      </c>
      <c r="D102" t="s">
        <v>15</v>
      </c>
      <c r="E102" t="s">
        <v>37</v>
      </c>
      <c r="F102">
        <v>1685000</v>
      </c>
      <c r="G102">
        <v>16.850000000000001</v>
      </c>
      <c r="H102" t="s">
        <v>27</v>
      </c>
      <c r="I102" t="s">
        <v>59</v>
      </c>
      <c r="J102" s="8">
        <v>46232</v>
      </c>
      <c r="K102" t="s">
        <v>39</v>
      </c>
    </row>
    <row r="103" spans="1:11" x14ac:dyDescent="0.3">
      <c r="A103" t="s">
        <v>956</v>
      </c>
      <c r="B103" t="s">
        <v>852</v>
      </c>
      <c r="C103" t="s">
        <v>899</v>
      </c>
      <c r="D103" t="s">
        <v>15</v>
      </c>
      <c r="E103" t="s">
        <v>37</v>
      </c>
      <c r="F103">
        <v>1685000</v>
      </c>
      <c r="G103">
        <v>16.850000000000001</v>
      </c>
      <c r="H103" t="s">
        <v>27</v>
      </c>
      <c r="I103" t="s">
        <v>59</v>
      </c>
      <c r="J103" s="8">
        <v>46232</v>
      </c>
      <c r="K103" t="s">
        <v>908</v>
      </c>
    </row>
    <row r="104" spans="1:11" x14ac:dyDescent="0.3">
      <c r="A104" t="s">
        <v>959</v>
      </c>
      <c r="B104" t="s">
        <v>960</v>
      </c>
      <c r="C104" t="s">
        <v>80</v>
      </c>
      <c r="D104" t="s">
        <v>76</v>
      </c>
      <c r="E104" t="s">
        <v>116</v>
      </c>
      <c r="F104">
        <v>1510000</v>
      </c>
      <c r="G104">
        <v>15.1</v>
      </c>
      <c r="H104" t="s">
        <v>17</v>
      </c>
      <c r="I104" t="s">
        <v>28</v>
      </c>
      <c r="J104" s="8">
        <v>46192</v>
      </c>
      <c r="K104" t="s">
        <v>46</v>
      </c>
    </row>
    <row r="105" spans="1:11" x14ac:dyDescent="0.3">
      <c r="A105" t="s">
        <v>959</v>
      </c>
      <c r="B105" t="s">
        <v>960</v>
      </c>
      <c r="C105" t="s">
        <v>80</v>
      </c>
      <c r="D105" t="s">
        <v>76</v>
      </c>
      <c r="E105" t="s">
        <v>116</v>
      </c>
      <c r="F105">
        <v>1510000</v>
      </c>
      <c r="G105">
        <v>15.1</v>
      </c>
      <c r="H105" t="s">
        <v>17</v>
      </c>
      <c r="I105" t="s">
        <v>28</v>
      </c>
      <c r="J105" s="8">
        <v>46192</v>
      </c>
      <c r="K105" t="s">
        <v>45</v>
      </c>
    </row>
    <row r="106" spans="1:11" x14ac:dyDescent="0.3">
      <c r="A106" t="s">
        <v>959</v>
      </c>
      <c r="B106" t="s">
        <v>960</v>
      </c>
      <c r="C106" t="s">
        <v>80</v>
      </c>
      <c r="D106" t="s">
        <v>76</v>
      </c>
      <c r="E106" t="s">
        <v>116</v>
      </c>
      <c r="F106">
        <v>1510000</v>
      </c>
      <c r="G106">
        <v>15.1</v>
      </c>
      <c r="H106" t="s">
        <v>17</v>
      </c>
      <c r="I106" t="s">
        <v>28</v>
      </c>
      <c r="J106" s="8">
        <v>46192</v>
      </c>
      <c r="K106" t="s">
        <v>908</v>
      </c>
    </row>
    <row r="107" spans="1:11" x14ac:dyDescent="0.3">
      <c r="A107" t="s">
        <v>963</v>
      </c>
      <c r="B107" t="s">
        <v>24</v>
      </c>
      <c r="C107" t="s">
        <v>152</v>
      </c>
      <c r="D107" t="s">
        <v>15</v>
      </c>
      <c r="E107" t="s">
        <v>37</v>
      </c>
      <c r="F107">
        <v>1990000</v>
      </c>
      <c r="G107">
        <v>19.899999999999999</v>
      </c>
      <c r="H107" t="s">
        <v>27</v>
      </c>
      <c r="I107" t="s">
        <v>59</v>
      </c>
      <c r="J107" s="8">
        <v>46089</v>
      </c>
      <c r="K107" t="s">
        <v>908</v>
      </c>
    </row>
    <row r="108" spans="1:11" x14ac:dyDescent="0.3">
      <c r="A108" t="s">
        <v>963</v>
      </c>
      <c r="B108" t="s">
        <v>24</v>
      </c>
      <c r="C108" t="s">
        <v>152</v>
      </c>
      <c r="D108" t="s">
        <v>15</v>
      </c>
      <c r="E108" t="s">
        <v>37</v>
      </c>
      <c r="F108">
        <v>1990000</v>
      </c>
      <c r="G108">
        <v>19.899999999999999</v>
      </c>
      <c r="H108" t="s">
        <v>27</v>
      </c>
      <c r="I108" t="s">
        <v>59</v>
      </c>
      <c r="J108" s="8">
        <v>46089</v>
      </c>
      <c r="K108" t="s">
        <v>46</v>
      </c>
    </row>
    <row r="109" spans="1:11" x14ac:dyDescent="0.3">
      <c r="A109" t="s">
        <v>963</v>
      </c>
      <c r="B109" t="s">
        <v>24</v>
      </c>
      <c r="C109" t="s">
        <v>152</v>
      </c>
      <c r="D109" t="s">
        <v>15</v>
      </c>
      <c r="E109" t="s">
        <v>37</v>
      </c>
      <c r="F109">
        <v>1990000</v>
      </c>
      <c r="G109">
        <v>19.899999999999999</v>
      </c>
      <c r="H109" t="s">
        <v>27</v>
      </c>
      <c r="I109" t="s">
        <v>59</v>
      </c>
      <c r="J109" s="8">
        <v>46089</v>
      </c>
      <c r="K109" t="s">
        <v>846</v>
      </c>
    </row>
    <row r="110" spans="1:11" x14ac:dyDescent="0.3">
      <c r="A110" t="s">
        <v>966</v>
      </c>
      <c r="B110" t="s">
        <v>42</v>
      </c>
      <c r="C110" t="s">
        <v>967</v>
      </c>
      <c r="D110" t="s">
        <v>76</v>
      </c>
      <c r="E110" t="s">
        <v>52</v>
      </c>
      <c r="F110">
        <v>390000</v>
      </c>
      <c r="G110">
        <v>3.9</v>
      </c>
      <c r="H110" t="s">
        <v>27</v>
      </c>
      <c r="I110" t="s">
        <v>845</v>
      </c>
      <c r="J110" s="8">
        <v>46166</v>
      </c>
      <c r="K110" t="s">
        <v>937</v>
      </c>
    </row>
    <row r="111" spans="1:11" x14ac:dyDescent="0.3">
      <c r="A111" t="s">
        <v>966</v>
      </c>
      <c r="B111" t="s">
        <v>42</v>
      </c>
      <c r="C111" t="s">
        <v>967</v>
      </c>
      <c r="D111" t="s">
        <v>76</v>
      </c>
      <c r="E111" t="s">
        <v>52</v>
      </c>
      <c r="F111">
        <v>390000</v>
      </c>
      <c r="G111">
        <v>3.9</v>
      </c>
      <c r="H111" t="s">
        <v>27</v>
      </c>
      <c r="I111" t="s">
        <v>845</v>
      </c>
      <c r="J111" s="8">
        <v>46166</v>
      </c>
      <c r="K111" t="s">
        <v>21</v>
      </c>
    </row>
    <row r="112" spans="1:11" x14ac:dyDescent="0.3">
      <c r="A112" t="s">
        <v>966</v>
      </c>
      <c r="B112" t="s">
        <v>42</v>
      </c>
      <c r="C112" t="s">
        <v>967</v>
      </c>
      <c r="D112" t="s">
        <v>76</v>
      </c>
      <c r="E112" t="s">
        <v>52</v>
      </c>
      <c r="F112">
        <v>390000</v>
      </c>
      <c r="G112">
        <v>3.9</v>
      </c>
      <c r="H112" t="s">
        <v>27</v>
      </c>
      <c r="I112" t="s">
        <v>845</v>
      </c>
      <c r="J112" s="8">
        <v>46166</v>
      </c>
      <c r="K112" t="s">
        <v>908</v>
      </c>
    </row>
    <row r="113" spans="1:11" x14ac:dyDescent="0.3">
      <c r="A113" t="s">
        <v>970</v>
      </c>
      <c r="B113" t="s">
        <v>42</v>
      </c>
      <c r="C113" t="s">
        <v>35</v>
      </c>
      <c r="D113" t="s">
        <v>51</v>
      </c>
      <c r="E113" t="s">
        <v>16</v>
      </c>
      <c r="F113">
        <v>690000</v>
      </c>
      <c r="G113">
        <v>6.9</v>
      </c>
      <c r="H113" t="s">
        <v>27</v>
      </c>
      <c r="I113" t="s">
        <v>59</v>
      </c>
      <c r="J113" s="8">
        <v>46024</v>
      </c>
      <c r="K113" t="s">
        <v>30</v>
      </c>
    </row>
    <row r="114" spans="1:11" x14ac:dyDescent="0.3">
      <c r="A114" t="s">
        <v>970</v>
      </c>
      <c r="B114" t="s">
        <v>42</v>
      </c>
      <c r="C114" t="s">
        <v>35</v>
      </c>
      <c r="D114" t="s">
        <v>51</v>
      </c>
      <c r="E114" t="s">
        <v>16</v>
      </c>
      <c r="F114">
        <v>690000</v>
      </c>
      <c r="G114">
        <v>6.9</v>
      </c>
      <c r="H114" t="s">
        <v>27</v>
      </c>
      <c r="I114" t="s">
        <v>59</v>
      </c>
      <c r="J114" s="8">
        <v>46024</v>
      </c>
      <c r="K114" t="s">
        <v>937</v>
      </c>
    </row>
    <row r="115" spans="1:11" x14ac:dyDescent="0.3">
      <c r="A115" t="s">
        <v>970</v>
      </c>
      <c r="B115" t="s">
        <v>42</v>
      </c>
      <c r="C115" t="s">
        <v>35</v>
      </c>
      <c r="D115" t="s">
        <v>51</v>
      </c>
      <c r="E115" t="s">
        <v>16</v>
      </c>
      <c r="F115">
        <v>690000</v>
      </c>
      <c r="G115">
        <v>6.9</v>
      </c>
      <c r="H115" t="s">
        <v>27</v>
      </c>
      <c r="I115" t="s">
        <v>59</v>
      </c>
      <c r="J115" s="8">
        <v>46024</v>
      </c>
      <c r="K115" t="s">
        <v>874</v>
      </c>
    </row>
    <row r="116" spans="1:11" x14ac:dyDescent="0.3">
      <c r="A116" t="s">
        <v>973</v>
      </c>
      <c r="B116" t="s">
        <v>75</v>
      </c>
      <c r="C116" t="s">
        <v>160</v>
      </c>
      <c r="D116" t="s">
        <v>81</v>
      </c>
      <c r="E116" t="s">
        <v>37</v>
      </c>
      <c r="F116">
        <v>1585000</v>
      </c>
      <c r="G116">
        <v>15.85</v>
      </c>
      <c r="H116" t="s">
        <v>27</v>
      </c>
      <c r="I116" t="s">
        <v>28</v>
      </c>
      <c r="J116" s="8">
        <v>46214</v>
      </c>
      <c r="K116" t="s">
        <v>846</v>
      </c>
    </row>
    <row r="117" spans="1:11" x14ac:dyDescent="0.3">
      <c r="A117" t="s">
        <v>973</v>
      </c>
      <c r="B117" t="s">
        <v>75</v>
      </c>
      <c r="C117" t="s">
        <v>160</v>
      </c>
      <c r="D117" t="s">
        <v>81</v>
      </c>
      <c r="E117" t="s">
        <v>37</v>
      </c>
      <c r="F117">
        <v>1585000</v>
      </c>
      <c r="G117">
        <v>15.85</v>
      </c>
      <c r="H117" t="s">
        <v>27</v>
      </c>
      <c r="I117" t="s">
        <v>28</v>
      </c>
      <c r="J117" s="8">
        <v>46214</v>
      </c>
      <c r="K117" t="s">
        <v>45</v>
      </c>
    </row>
    <row r="118" spans="1:11" x14ac:dyDescent="0.3">
      <c r="A118" t="s">
        <v>973</v>
      </c>
      <c r="B118" t="s">
        <v>75</v>
      </c>
      <c r="C118" t="s">
        <v>160</v>
      </c>
      <c r="D118" t="s">
        <v>81</v>
      </c>
      <c r="E118" t="s">
        <v>37</v>
      </c>
      <c r="F118">
        <v>1585000</v>
      </c>
      <c r="G118">
        <v>15.85</v>
      </c>
      <c r="H118" t="s">
        <v>27</v>
      </c>
      <c r="I118" t="s">
        <v>28</v>
      </c>
      <c r="J118" s="8">
        <v>46214</v>
      </c>
      <c r="K118" t="s">
        <v>31</v>
      </c>
    </row>
    <row r="119" spans="1:11" x14ac:dyDescent="0.3">
      <c r="A119" t="s">
        <v>976</v>
      </c>
      <c r="B119" t="s">
        <v>75</v>
      </c>
      <c r="C119" t="s">
        <v>163</v>
      </c>
      <c r="D119" t="s">
        <v>81</v>
      </c>
      <c r="E119" t="s">
        <v>37</v>
      </c>
      <c r="F119">
        <v>1360000</v>
      </c>
      <c r="G119">
        <v>13.6</v>
      </c>
      <c r="H119" t="s">
        <v>27</v>
      </c>
      <c r="I119" t="s">
        <v>845</v>
      </c>
      <c r="J119" s="8">
        <v>46196</v>
      </c>
      <c r="K119" t="s">
        <v>31</v>
      </c>
    </row>
    <row r="120" spans="1:11" x14ac:dyDescent="0.3">
      <c r="A120" t="s">
        <v>976</v>
      </c>
      <c r="B120" t="s">
        <v>75</v>
      </c>
      <c r="C120" t="s">
        <v>163</v>
      </c>
      <c r="D120" t="s">
        <v>81</v>
      </c>
      <c r="E120" t="s">
        <v>37</v>
      </c>
      <c r="F120">
        <v>1360000</v>
      </c>
      <c r="G120">
        <v>13.6</v>
      </c>
      <c r="H120" t="s">
        <v>27</v>
      </c>
      <c r="I120" t="s">
        <v>845</v>
      </c>
      <c r="J120" s="8">
        <v>46196</v>
      </c>
      <c r="K120" t="s">
        <v>46</v>
      </c>
    </row>
    <row r="121" spans="1:11" x14ac:dyDescent="0.3">
      <c r="A121" t="s">
        <v>976</v>
      </c>
      <c r="B121" t="s">
        <v>75</v>
      </c>
      <c r="C121" t="s">
        <v>163</v>
      </c>
      <c r="D121" t="s">
        <v>81</v>
      </c>
      <c r="E121" t="s">
        <v>37</v>
      </c>
      <c r="F121">
        <v>1360000</v>
      </c>
      <c r="G121">
        <v>13.6</v>
      </c>
      <c r="H121" t="s">
        <v>27</v>
      </c>
      <c r="I121" t="s">
        <v>845</v>
      </c>
      <c r="J121" s="8">
        <v>46196</v>
      </c>
      <c r="K121" t="s">
        <v>39</v>
      </c>
    </row>
    <row r="122" spans="1:11" x14ac:dyDescent="0.3">
      <c r="A122" t="s">
        <v>979</v>
      </c>
      <c r="B122" t="s">
        <v>62</v>
      </c>
      <c r="C122" t="s">
        <v>119</v>
      </c>
      <c r="D122" t="s">
        <v>51</v>
      </c>
      <c r="E122" t="s">
        <v>52</v>
      </c>
      <c r="F122">
        <v>430000</v>
      </c>
      <c r="G122">
        <v>4.3</v>
      </c>
      <c r="H122" t="s">
        <v>27</v>
      </c>
      <c r="I122" t="s">
        <v>28</v>
      </c>
      <c r="J122" s="8">
        <v>46185</v>
      </c>
      <c r="K122" t="s">
        <v>908</v>
      </c>
    </row>
    <row r="123" spans="1:11" x14ac:dyDescent="0.3">
      <c r="A123" t="s">
        <v>979</v>
      </c>
      <c r="B123" t="s">
        <v>62</v>
      </c>
      <c r="C123" t="s">
        <v>119</v>
      </c>
      <c r="D123" t="s">
        <v>51</v>
      </c>
      <c r="E123" t="s">
        <v>52</v>
      </c>
      <c r="F123">
        <v>430000</v>
      </c>
      <c r="G123">
        <v>4.3</v>
      </c>
      <c r="H123" t="s">
        <v>27</v>
      </c>
      <c r="I123" t="s">
        <v>28</v>
      </c>
      <c r="J123" s="8">
        <v>46185</v>
      </c>
      <c r="K123" t="s">
        <v>29</v>
      </c>
    </row>
    <row r="124" spans="1:11" x14ac:dyDescent="0.3">
      <c r="A124" t="s">
        <v>979</v>
      </c>
      <c r="B124" t="s">
        <v>62</v>
      </c>
      <c r="C124" t="s">
        <v>119</v>
      </c>
      <c r="D124" t="s">
        <v>51</v>
      </c>
      <c r="E124" t="s">
        <v>52</v>
      </c>
      <c r="F124">
        <v>430000</v>
      </c>
      <c r="G124">
        <v>4.3</v>
      </c>
      <c r="H124" t="s">
        <v>27</v>
      </c>
      <c r="I124" t="s">
        <v>28</v>
      </c>
      <c r="J124" s="8">
        <v>46185</v>
      </c>
      <c r="K124" t="s">
        <v>20</v>
      </c>
    </row>
    <row r="125" spans="1:11" x14ac:dyDescent="0.3">
      <c r="A125" t="s">
        <v>982</v>
      </c>
      <c r="B125" t="s">
        <v>852</v>
      </c>
      <c r="C125" t="s">
        <v>130</v>
      </c>
      <c r="D125" t="s">
        <v>76</v>
      </c>
      <c r="E125" t="s">
        <v>37</v>
      </c>
      <c r="F125">
        <v>2175000</v>
      </c>
      <c r="G125">
        <v>21.75</v>
      </c>
      <c r="H125" t="s">
        <v>27</v>
      </c>
      <c r="I125" t="s">
        <v>845</v>
      </c>
      <c r="J125" s="8">
        <v>46226</v>
      </c>
      <c r="K125" t="s">
        <v>46</v>
      </c>
    </row>
    <row r="126" spans="1:11" x14ac:dyDescent="0.3">
      <c r="A126" t="s">
        <v>982</v>
      </c>
      <c r="B126" t="s">
        <v>852</v>
      </c>
      <c r="C126" t="s">
        <v>130</v>
      </c>
      <c r="D126" t="s">
        <v>76</v>
      </c>
      <c r="E126" t="s">
        <v>37</v>
      </c>
      <c r="F126">
        <v>2175000</v>
      </c>
      <c r="G126">
        <v>21.75</v>
      </c>
      <c r="H126" t="s">
        <v>27</v>
      </c>
      <c r="I126" t="s">
        <v>845</v>
      </c>
      <c r="J126" s="8">
        <v>46226</v>
      </c>
      <c r="K126" t="s">
        <v>54</v>
      </c>
    </row>
    <row r="127" spans="1:11" x14ac:dyDescent="0.3">
      <c r="A127" t="s">
        <v>982</v>
      </c>
      <c r="B127" t="s">
        <v>852</v>
      </c>
      <c r="C127" t="s">
        <v>130</v>
      </c>
      <c r="D127" t="s">
        <v>76</v>
      </c>
      <c r="E127" t="s">
        <v>37</v>
      </c>
      <c r="F127">
        <v>2175000</v>
      </c>
      <c r="G127">
        <v>21.75</v>
      </c>
      <c r="H127" t="s">
        <v>27</v>
      </c>
      <c r="I127" t="s">
        <v>845</v>
      </c>
      <c r="J127" s="8">
        <v>46226</v>
      </c>
      <c r="K127" t="s">
        <v>854</v>
      </c>
    </row>
    <row r="128" spans="1:11" x14ac:dyDescent="0.3">
      <c r="A128" t="s">
        <v>985</v>
      </c>
      <c r="B128" t="s">
        <v>13</v>
      </c>
      <c r="C128" t="s">
        <v>130</v>
      </c>
      <c r="D128" t="s">
        <v>64</v>
      </c>
      <c r="E128" t="s">
        <v>52</v>
      </c>
      <c r="F128">
        <v>760000</v>
      </c>
      <c r="G128">
        <v>7.6</v>
      </c>
      <c r="H128" t="s">
        <v>27</v>
      </c>
      <c r="I128" t="s">
        <v>845</v>
      </c>
      <c r="J128" s="8">
        <v>46246</v>
      </c>
      <c r="K128" t="s">
        <v>854</v>
      </c>
    </row>
    <row r="129" spans="1:11" x14ac:dyDescent="0.3">
      <c r="A129" t="s">
        <v>985</v>
      </c>
      <c r="B129" t="s">
        <v>13</v>
      </c>
      <c r="C129" t="s">
        <v>130</v>
      </c>
      <c r="D129" t="s">
        <v>64</v>
      </c>
      <c r="E129" t="s">
        <v>52</v>
      </c>
      <c r="F129">
        <v>760000</v>
      </c>
      <c r="G129">
        <v>7.6</v>
      </c>
      <c r="H129" t="s">
        <v>27</v>
      </c>
      <c r="I129" t="s">
        <v>845</v>
      </c>
      <c r="J129" s="8">
        <v>46246</v>
      </c>
      <c r="K129" t="s">
        <v>21</v>
      </c>
    </row>
    <row r="130" spans="1:11" x14ac:dyDescent="0.3">
      <c r="A130" t="s">
        <v>985</v>
      </c>
      <c r="B130" t="s">
        <v>13</v>
      </c>
      <c r="C130" t="s">
        <v>130</v>
      </c>
      <c r="D130" t="s">
        <v>64</v>
      </c>
      <c r="E130" t="s">
        <v>52</v>
      </c>
      <c r="F130">
        <v>760000</v>
      </c>
      <c r="G130">
        <v>7.6</v>
      </c>
      <c r="H130" t="s">
        <v>27</v>
      </c>
      <c r="I130" t="s">
        <v>845</v>
      </c>
      <c r="J130" s="8">
        <v>46246</v>
      </c>
      <c r="K130" t="s">
        <v>54</v>
      </c>
    </row>
    <row r="131" spans="1:11" x14ac:dyDescent="0.3">
      <c r="A131" t="s">
        <v>988</v>
      </c>
      <c r="B131" t="s">
        <v>49</v>
      </c>
      <c r="C131" t="s">
        <v>172</v>
      </c>
      <c r="D131" t="s">
        <v>76</v>
      </c>
      <c r="E131" t="s">
        <v>52</v>
      </c>
      <c r="F131">
        <v>650000</v>
      </c>
      <c r="G131">
        <v>6.5</v>
      </c>
      <c r="H131" t="s">
        <v>17</v>
      </c>
      <c r="I131" t="s">
        <v>28</v>
      </c>
      <c r="J131" s="8">
        <v>46130</v>
      </c>
      <c r="K131" t="s">
        <v>937</v>
      </c>
    </row>
    <row r="132" spans="1:11" x14ac:dyDescent="0.3">
      <c r="A132" t="s">
        <v>988</v>
      </c>
      <c r="B132" t="s">
        <v>49</v>
      </c>
      <c r="C132" t="s">
        <v>172</v>
      </c>
      <c r="D132" t="s">
        <v>76</v>
      </c>
      <c r="E132" t="s">
        <v>52</v>
      </c>
      <c r="F132">
        <v>650000</v>
      </c>
      <c r="G132">
        <v>6.5</v>
      </c>
      <c r="H132" t="s">
        <v>17</v>
      </c>
      <c r="I132" t="s">
        <v>28</v>
      </c>
      <c r="J132" s="8">
        <v>46130</v>
      </c>
      <c r="K132" t="s">
        <v>54</v>
      </c>
    </row>
    <row r="133" spans="1:11" x14ac:dyDescent="0.3">
      <c r="A133" t="s">
        <v>988</v>
      </c>
      <c r="B133" t="s">
        <v>49</v>
      </c>
      <c r="C133" t="s">
        <v>172</v>
      </c>
      <c r="D133" t="s">
        <v>76</v>
      </c>
      <c r="E133" t="s">
        <v>52</v>
      </c>
      <c r="F133">
        <v>650000</v>
      </c>
      <c r="G133">
        <v>6.5</v>
      </c>
      <c r="H133" t="s">
        <v>17</v>
      </c>
      <c r="I133" t="s">
        <v>28</v>
      </c>
      <c r="J133" s="8">
        <v>46130</v>
      </c>
      <c r="K133" t="s">
        <v>31</v>
      </c>
    </row>
    <row r="134" spans="1:11" x14ac:dyDescent="0.3">
      <c r="A134" t="s">
        <v>991</v>
      </c>
      <c r="B134" t="s">
        <v>75</v>
      </c>
      <c r="C134" t="s">
        <v>992</v>
      </c>
      <c r="D134" t="s">
        <v>44</v>
      </c>
      <c r="E134" t="s">
        <v>77</v>
      </c>
      <c r="F134">
        <v>2660000</v>
      </c>
      <c r="G134">
        <v>26.6</v>
      </c>
      <c r="H134" t="s">
        <v>17</v>
      </c>
      <c r="I134" t="s">
        <v>59</v>
      </c>
      <c r="J134" s="8">
        <v>46186</v>
      </c>
      <c r="K134" t="s">
        <v>31</v>
      </c>
    </row>
    <row r="135" spans="1:11" x14ac:dyDescent="0.3">
      <c r="A135" t="s">
        <v>991</v>
      </c>
      <c r="B135" t="s">
        <v>75</v>
      </c>
      <c r="C135" t="s">
        <v>992</v>
      </c>
      <c r="D135" t="s">
        <v>44</v>
      </c>
      <c r="E135" t="s">
        <v>77</v>
      </c>
      <c r="F135">
        <v>2660000</v>
      </c>
      <c r="G135">
        <v>26.6</v>
      </c>
      <c r="H135" t="s">
        <v>17</v>
      </c>
      <c r="I135" t="s">
        <v>59</v>
      </c>
      <c r="J135" s="8">
        <v>46186</v>
      </c>
      <c r="K135" t="s">
        <v>20</v>
      </c>
    </row>
    <row r="136" spans="1:11" x14ac:dyDescent="0.3">
      <c r="A136" t="s">
        <v>991</v>
      </c>
      <c r="B136" t="s">
        <v>75</v>
      </c>
      <c r="C136" t="s">
        <v>992</v>
      </c>
      <c r="D136" t="s">
        <v>44</v>
      </c>
      <c r="E136" t="s">
        <v>77</v>
      </c>
      <c r="F136">
        <v>2660000</v>
      </c>
      <c r="G136">
        <v>26.6</v>
      </c>
      <c r="H136" t="s">
        <v>17</v>
      </c>
      <c r="I136" t="s">
        <v>59</v>
      </c>
      <c r="J136" s="8">
        <v>46186</v>
      </c>
      <c r="K136" t="s">
        <v>29</v>
      </c>
    </row>
    <row r="137" spans="1:11" x14ac:dyDescent="0.3">
      <c r="A137" t="s">
        <v>995</v>
      </c>
      <c r="B137" t="s">
        <v>996</v>
      </c>
      <c r="C137" t="s">
        <v>179</v>
      </c>
      <c r="D137" t="s">
        <v>96</v>
      </c>
      <c r="E137" t="s">
        <v>77</v>
      </c>
      <c r="F137">
        <v>3110000</v>
      </c>
      <c r="G137">
        <v>31.1</v>
      </c>
      <c r="H137" t="s">
        <v>27</v>
      </c>
      <c r="I137" t="s">
        <v>28</v>
      </c>
      <c r="J137" s="8">
        <v>46185</v>
      </c>
      <c r="K137" t="s">
        <v>20</v>
      </c>
    </row>
    <row r="138" spans="1:11" x14ac:dyDescent="0.3">
      <c r="A138" t="s">
        <v>995</v>
      </c>
      <c r="B138" t="s">
        <v>996</v>
      </c>
      <c r="C138" t="s">
        <v>179</v>
      </c>
      <c r="D138" t="s">
        <v>96</v>
      </c>
      <c r="E138" t="s">
        <v>77</v>
      </c>
      <c r="F138">
        <v>3110000</v>
      </c>
      <c r="G138">
        <v>31.1</v>
      </c>
      <c r="H138" t="s">
        <v>27</v>
      </c>
      <c r="I138" t="s">
        <v>28</v>
      </c>
      <c r="J138" s="8">
        <v>46185</v>
      </c>
      <c r="K138" t="s">
        <v>46</v>
      </c>
    </row>
    <row r="139" spans="1:11" x14ac:dyDescent="0.3">
      <c r="A139" t="s">
        <v>995</v>
      </c>
      <c r="B139" t="s">
        <v>996</v>
      </c>
      <c r="C139" t="s">
        <v>179</v>
      </c>
      <c r="D139" t="s">
        <v>96</v>
      </c>
      <c r="E139" t="s">
        <v>77</v>
      </c>
      <c r="F139">
        <v>3110000</v>
      </c>
      <c r="G139">
        <v>31.1</v>
      </c>
      <c r="H139" t="s">
        <v>27</v>
      </c>
      <c r="I139" t="s">
        <v>28</v>
      </c>
      <c r="J139" s="8">
        <v>46185</v>
      </c>
      <c r="K139" t="s">
        <v>937</v>
      </c>
    </row>
    <row r="140" spans="1:11" x14ac:dyDescent="0.3">
      <c r="A140" t="s">
        <v>998</v>
      </c>
      <c r="B140" t="s">
        <v>864</v>
      </c>
      <c r="C140" t="s">
        <v>999</v>
      </c>
      <c r="D140" t="s">
        <v>96</v>
      </c>
      <c r="E140" t="s">
        <v>37</v>
      </c>
      <c r="F140">
        <v>1405000</v>
      </c>
      <c r="G140">
        <v>14.05</v>
      </c>
      <c r="H140" t="s">
        <v>27</v>
      </c>
      <c r="I140" t="s">
        <v>28</v>
      </c>
      <c r="J140" s="8">
        <v>46174</v>
      </c>
      <c r="K140" t="s">
        <v>908</v>
      </c>
    </row>
    <row r="141" spans="1:11" x14ac:dyDescent="0.3">
      <c r="A141" t="s">
        <v>998</v>
      </c>
      <c r="B141" t="s">
        <v>864</v>
      </c>
      <c r="C141" t="s">
        <v>999</v>
      </c>
      <c r="D141" t="s">
        <v>96</v>
      </c>
      <c r="E141" t="s">
        <v>37</v>
      </c>
      <c r="F141">
        <v>1405000</v>
      </c>
      <c r="G141">
        <v>14.05</v>
      </c>
      <c r="H141" t="s">
        <v>27</v>
      </c>
      <c r="I141" t="s">
        <v>28</v>
      </c>
      <c r="J141" s="8">
        <v>46174</v>
      </c>
      <c r="K141" t="s">
        <v>878</v>
      </c>
    </row>
    <row r="142" spans="1:11" x14ac:dyDescent="0.3">
      <c r="A142" t="s">
        <v>998</v>
      </c>
      <c r="B142" t="s">
        <v>864</v>
      </c>
      <c r="C142" t="s">
        <v>999</v>
      </c>
      <c r="D142" t="s">
        <v>96</v>
      </c>
      <c r="E142" t="s">
        <v>37</v>
      </c>
      <c r="F142">
        <v>1405000</v>
      </c>
      <c r="G142">
        <v>14.05</v>
      </c>
      <c r="H142" t="s">
        <v>27</v>
      </c>
      <c r="I142" t="s">
        <v>28</v>
      </c>
      <c r="J142" s="8">
        <v>46174</v>
      </c>
      <c r="K142" t="s">
        <v>21</v>
      </c>
    </row>
    <row r="143" spans="1:11" x14ac:dyDescent="0.3">
      <c r="A143" t="s">
        <v>1002</v>
      </c>
      <c r="B143" t="s">
        <v>13</v>
      </c>
      <c r="C143" t="s">
        <v>119</v>
      </c>
      <c r="D143" t="s">
        <v>81</v>
      </c>
      <c r="E143" t="s">
        <v>52</v>
      </c>
      <c r="F143">
        <v>650000</v>
      </c>
      <c r="G143">
        <v>6.5</v>
      </c>
      <c r="H143" t="s">
        <v>27</v>
      </c>
      <c r="I143" t="s">
        <v>28</v>
      </c>
      <c r="J143" s="8">
        <v>46220</v>
      </c>
      <c r="K143" t="s">
        <v>29</v>
      </c>
    </row>
    <row r="144" spans="1:11" x14ac:dyDescent="0.3">
      <c r="A144" t="s">
        <v>1002</v>
      </c>
      <c r="B144" t="s">
        <v>13</v>
      </c>
      <c r="C144" t="s">
        <v>119</v>
      </c>
      <c r="D144" t="s">
        <v>81</v>
      </c>
      <c r="E144" t="s">
        <v>52</v>
      </c>
      <c r="F144">
        <v>650000</v>
      </c>
      <c r="G144">
        <v>6.5</v>
      </c>
      <c r="H144" t="s">
        <v>27</v>
      </c>
      <c r="I144" t="s">
        <v>28</v>
      </c>
      <c r="J144" s="8">
        <v>46220</v>
      </c>
      <c r="K144" t="s">
        <v>846</v>
      </c>
    </row>
    <row r="145" spans="1:11" x14ac:dyDescent="0.3">
      <c r="A145" t="s">
        <v>1002</v>
      </c>
      <c r="B145" t="s">
        <v>13</v>
      </c>
      <c r="C145" t="s">
        <v>119</v>
      </c>
      <c r="D145" t="s">
        <v>81</v>
      </c>
      <c r="E145" t="s">
        <v>52</v>
      </c>
      <c r="F145">
        <v>650000</v>
      </c>
      <c r="G145">
        <v>6.5</v>
      </c>
      <c r="H145" t="s">
        <v>27</v>
      </c>
      <c r="I145" t="s">
        <v>28</v>
      </c>
      <c r="J145" s="8">
        <v>46220</v>
      </c>
      <c r="K145" t="s">
        <v>54</v>
      </c>
    </row>
    <row r="146" spans="1:11" x14ac:dyDescent="0.3">
      <c r="A146" t="s">
        <v>1004</v>
      </c>
      <c r="B146" t="s">
        <v>24</v>
      </c>
      <c r="C146" t="s">
        <v>887</v>
      </c>
      <c r="D146" t="s">
        <v>36</v>
      </c>
      <c r="E146" t="s">
        <v>52</v>
      </c>
      <c r="F146">
        <v>660000</v>
      </c>
      <c r="G146">
        <v>6.6</v>
      </c>
      <c r="H146" t="s">
        <v>27</v>
      </c>
      <c r="I146" t="s">
        <v>59</v>
      </c>
      <c r="J146" s="8">
        <v>46217</v>
      </c>
      <c r="K146" t="s">
        <v>20</v>
      </c>
    </row>
    <row r="147" spans="1:11" x14ac:dyDescent="0.3">
      <c r="A147" t="s">
        <v>1004</v>
      </c>
      <c r="B147" t="s">
        <v>24</v>
      </c>
      <c r="C147" t="s">
        <v>887</v>
      </c>
      <c r="D147" t="s">
        <v>36</v>
      </c>
      <c r="E147" t="s">
        <v>52</v>
      </c>
      <c r="F147">
        <v>660000</v>
      </c>
      <c r="G147">
        <v>6.6</v>
      </c>
      <c r="H147" t="s">
        <v>27</v>
      </c>
      <c r="I147" t="s">
        <v>59</v>
      </c>
      <c r="J147" s="8">
        <v>46217</v>
      </c>
      <c r="K147" t="s">
        <v>854</v>
      </c>
    </row>
    <row r="148" spans="1:11" x14ac:dyDescent="0.3">
      <c r="A148" t="s">
        <v>1004</v>
      </c>
      <c r="B148" t="s">
        <v>24</v>
      </c>
      <c r="C148" t="s">
        <v>887</v>
      </c>
      <c r="D148" t="s">
        <v>36</v>
      </c>
      <c r="E148" t="s">
        <v>52</v>
      </c>
      <c r="F148">
        <v>660000</v>
      </c>
      <c r="G148">
        <v>6.6</v>
      </c>
      <c r="H148" t="s">
        <v>27</v>
      </c>
      <c r="I148" t="s">
        <v>59</v>
      </c>
      <c r="J148" s="8">
        <v>46217</v>
      </c>
      <c r="K148" t="s">
        <v>46</v>
      </c>
    </row>
    <row r="149" spans="1:11" x14ac:dyDescent="0.3">
      <c r="A149" t="s">
        <v>1007</v>
      </c>
      <c r="B149" t="s">
        <v>62</v>
      </c>
      <c r="C149" t="s">
        <v>188</v>
      </c>
      <c r="D149" t="s">
        <v>15</v>
      </c>
      <c r="E149" t="s">
        <v>77</v>
      </c>
      <c r="F149">
        <v>4190000</v>
      </c>
      <c r="G149">
        <v>41.9</v>
      </c>
      <c r="H149" t="s">
        <v>27</v>
      </c>
      <c r="I149" t="s">
        <v>28</v>
      </c>
      <c r="J149" s="8">
        <v>46075</v>
      </c>
      <c r="K149" t="s">
        <v>46</v>
      </c>
    </row>
    <row r="150" spans="1:11" x14ac:dyDescent="0.3">
      <c r="A150" t="s">
        <v>1007</v>
      </c>
      <c r="B150" t="s">
        <v>62</v>
      </c>
      <c r="C150" t="s">
        <v>188</v>
      </c>
      <c r="D150" t="s">
        <v>15</v>
      </c>
      <c r="E150" t="s">
        <v>77</v>
      </c>
      <c r="F150">
        <v>4190000</v>
      </c>
      <c r="G150">
        <v>41.9</v>
      </c>
      <c r="H150" t="s">
        <v>27</v>
      </c>
      <c r="I150" t="s">
        <v>28</v>
      </c>
      <c r="J150" s="8">
        <v>46075</v>
      </c>
      <c r="K150" t="s">
        <v>854</v>
      </c>
    </row>
    <row r="151" spans="1:11" x14ac:dyDescent="0.3">
      <c r="A151" t="s">
        <v>1007</v>
      </c>
      <c r="B151" t="s">
        <v>62</v>
      </c>
      <c r="C151" t="s">
        <v>188</v>
      </c>
      <c r="D151" t="s">
        <v>15</v>
      </c>
      <c r="E151" t="s">
        <v>77</v>
      </c>
      <c r="F151">
        <v>4190000</v>
      </c>
      <c r="G151">
        <v>41.9</v>
      </c>
      <c r="H151" t="s">
        <v>27</v>
      </c>
      <c r="I151" t="s">
        <v>28</v>
      </c>
      <c r="J151" s="8">
        <v>46075</v>
      </c>
      <c r="K151" t="s">
        <v>45</v>
      </c>
    </row>
    <row r="152" spans="1:11" x14ac:dyDescent="0.3">
      <c r="A152" t="s">
        <v>1010</v>
      </c>
      <c r="B152" t="s">
        <v>13</v>
      </c>
      <c r="C152" t="s">
        <v>191</v>
      </c>
      <c r="D152" t="s">
        <v>96</v>
      </c>
      <c r="E152" t="s">
        <v>116</v>
      </c>
      <c r="F152">
        <v>1045000</v>
      </c>
      <c r="G152">
        <v>10.45</v>
      </c>
      <c r="H152" t="s">
        <v>27</v>
      </c>
      <c r="I152" t="s">
        <v>28</v>
      </c>
      <c r="J152" s="8">
        <v>46107</v>
      </c>
      <c r="K152" t="s">
        <v>878</v>
      </c>
    </row>
    <row r="153" spans="1:11" x14ac:dyDescent="0.3">
      <c r="A153" t="s">
        <v>1010</v>
      </c>
      <c r="B153" t="s">
        <v>13</v>
      </c>
      <c r="C153" t="s">
        <v>191</v>
      </c>
      <c r="D153" t="s">
        <v>96</v>
      </c>
      <c r="E153" t="s">
        <v>116</v>
      </c>
      <c r="F153">
        <v>1045000</v>
      </c>
      <c r="G153">
        <v>10.45</v>
      </c>
      <c r="H153" t="s">
        <v>27</v>
      </c>
      <c r="I153" t="s">
        <v>28</v>
      </c>
      <c r="J153" s="8">
        <v>46107</v>
      </c>
      <c r="K153" t="s">
        <v>30</v>
      </c>
    </row>
    <row r="154" spans="1:11" x14ac:dyDescent="0.3">
      <c r="A154" t="s">
        <v>1010</v>
      </c>
      <c r="B154" t="s">
        <v>13</v>
      </c>
      <c r="C154" t="s">
        <v>191</v>
      </c>
      <c r="D154" t="s">
        <v>96</v>
      </c>
      <c r="E154" t="s">
        <v>116</v>
      </c>
      <c r="F154">
        <v>1045000</v>
      </c>
      <c r="G154">
        <v>10.45</v>
      </c>
      <c r="H154" t="s">
        <v>27</v>
      </c>
      <c r="I154" t="s">
        <v>28</v>
      </c>
      <c r="J154" s="8">
        <v>46107</v>
      </c>
      <c r="K154" t="s">
        <v>21</v>
      </c>
    </row>
    <row r="155" spans="1:11" x14ac:dyDescent="0.3">
      <c r="A155" t="s">
        <v>1013</v>
      </c>
      <c r="B155" t="s">
        <v>960</v>
      </c>
      <c r="C155" t="s">
        <v>194</v>
      </c>
      <c r="D155" t="s">
        <v>64</v>
      </c>
      <c r="E155" t="s">
        <v>37</v>
      </c>
      <c r="F155">
        <v>1990000</v>
      </c>
      <c r="G155">
        <v>19.899999999999999</v>
      </c>
      <c r="H155" t="s">
        <v>27</v>
      </c>
      <c r="I155" t="s">
        <v>28</v>
      </c>
      <c r="J155" s="8">
        <v>46130</v>
      </c>
      <c r="K155" t="s">
        <v>29</v>
      </c>
    </row>
    <row r="156" spans="1:11" x14ac:dyDescent="0.3">
      <c r="A156" t="s">
        <v>1013</v>
      </c>
      <c r="B156" t="s">
        <v>960</v>
      </c>
      <c r="C156" t="s">
        <v>194</v>
      </c>
      <c r="D156" t="s">
        <v>64</v>
      </c>
      <c r="E156" t="s">
        <v>37</v>
      </c>
      <c r="F156">
        <v>1990000</v>
      </c>
      <c r="G156">
        <v>19.899999999999999</v>
      </c>
      <c r="H156" t="s">
        <v>27</v>
      </c>
      <c r="I156" t="s">
        <v>28</v>
      </c>
      <c r="J156" s="8">
        <v>46130</v>
      </c>
      <c r="K156" t="s">
        <v>46</v>
      </c>
    </row>
    <row r="157" spans="1:11" x14ac:dyDescent="0.3">
      <c r="A157" t="s">
        <v>1013</v>
      </c>
      <c r="B157" t="s">
        <v>960</v>
      </c>
      <c r="C157" t="s">
        <v>194</v>
      </c>
      <c r="D157" t="s">
        <v>64</v>
      </c>
      <c r="E157" t="s">
        <v>37</v>
      </c>
      <c r="F157">
        <v>1990000</v>
      </c>
      <c r="G157">
        <v>19.899999999999999</v>
      </c>
      <c r="H157" t="s">
        <v>27</v>
      </c>
      <c r="I157" t="s">
        <v>28</v>
      </c>
      <c r="J157" s="8">
        <v>46130</v>
      </c>
      <c r="K157" t="s">
        <v>878</v>
      </c>
    </row>
    <row r="158" spans="1:11" x14ac:dyDescent="0.3">
      <c r="A158" t="s">
        <v>1014</v>
      </c>
      <c r="B158" t="s">
        <v>996</v>
      </c>
      <c r="C158" t="s">
        <v>106</v>
      </c>
      <c r="D158" t="s">
        <v>64</v>
      </c>
      <c r="E158" t="s">
        <v>116</v>
      </c>
      <c r="F158">
        <v>1175000</v>
      </c>
      <c r="G158">
        <v>11.75</v>
      </c>
      <c r="H158" t="s">
        <v>17</v>
      </c>
      <c r="I158" t="s">
        <v>28</v>
      </c>
      <c r="J158" s="8">
        <v>46024</v>
      </c>
      <c r="K158" t="s">
        <v>29</v>
      </c>
    </row>
    <row r="159" spans="1:11" x14ac:dyDescent="0.3">
      <c r="A159" t="s">
        <v>1014</v>
      </c>
      <c r="B159" t="s">
        <v>996</v>
      </c>
      <c r="C159" t="s">
        <v>106</v>
      </c>
      <c r="D159" t="s">
        <v>64</v>
      </c>
      <c r="E159" t="s">
        <v>116</v>
      </c>
      <c r="F159">
        <v>1175000</v>
      </c>
      <c r="G159">
        <v>11.75</v>
      </c>
      <c r="H159" t="s">
        <v>17</v>
      </c>
      <c r="I159" t="s">
        <v>28</v>
      </c>
      <c r="J159" s="8">
        <v>46024</v>
      </c>
      <c r="K159" t="s">
        <v>20</v>
      </c>
    </row>
    <row r="160" spans="1:11" x14ac:dyDescent="0.3">
      <c r="A160" t="s">
        <v>1014</v>
      </c>
      <c r="B160" t="s">
        <v>996</v>
      </c>
      <c r="C160" t="s">
        <v>106</v>
      </c>
      <c r="D160" t="s">
        <v>64</v>
      </c>
      <c r="E160" t="s">
        <v>116</v>
      </c>
      <c r="F160">
        <v>1175000</v>
      </c>
      <c r="G160">
        <v>11.75</v>
      </c>
      <c r="H160" t="s">
        <v>17</v>
      </c>
      <c r="I160" t="s">
        <v>28</v>
      </c>
      <c r="J160" s="8">
        <v>46024</v>
      </c>
      <c r="K160" t="s">
        <v>874</v>
      </c>
    </row>
    <row r="161" spans="1:11" x14ac:dyDescent="0.3">
      <c r="A161" t="s">
        <v>1016</v>
      </c>
      <c r="B161" t="s">
        <v>75</v>
      </c>
      <c r="C161" t="s">
        <v>90</v>
      </c>
      <c r="D161" t="s">
        <v>51</v>
      </c>
      <c r="E161" t="s">
        <v>37</v>
      </c>
      <c r="F161">
        <v>1265000</v>
      </c>
      <c r="G161">
        <v>12.65</v>
      </c>
      <c r="H161" t="s">
        <v>27</v>
      </c>
      <c r="I161" t="s">
        <v>59</v>
      </c>
      <c r="J161" s="8">
        <v>46221</v>
      </c>
      <c r="K161" t="s">
        <v>54</v>
      </c>
    </row>
    <row r="162" spans="1:11" x14ac:dyDescent="0.3">
      <c r="A162" t="s">
        <v>1016</v>
      </c>
      <c r="B162" t="s">
        <v>75</v>
      </c>
      <c r="C162" t="s">
        <v>90</v>
      </c>
      <c r="D162" t="s">
        <v>51</v>
      </c>
      <c r="E162" t="s">
        <v>37</v>
      </c>
      <c r="F162">
        <v>1265000</v>
      </c>
      <c r="G162">
        <v>12.65</v>
      </c>
      <c r="H162" t="s">
        <v>27</v>
      </c>
      <c r="I162" t="s">
        <v>59</v>
      </c>
      <c r="J162" s="8">
        <v>46221</v>
      </c>
      <c r="K162" t="s">
        <v>45</v>
      </c>
    </row>
    <row r="163" spans="1:11" x14ac:dyDescent="0.3">
      <c r="A163" t="s">
        <v>1016</v>
      </c>
      <c r="B163" t="s">
        <v>75</v>
      </c>
      <c r="C163" t="s">
        <v>90</v>
      </c>
      <c r="D163" t="s">
        <v>51</v>
      </c>
      <c r="E163" t="s">
        <v>37</v>
      </c>
      <c r="F163">
        <v>1265000</v>
      </c>
      <c r="G163">
        <v>12.65</v>
      </c>
      <c r="H163" t="s">
        <v>27</v>
      </c>
      <c r="I163" t="s">
        <v>59</v>
      </c>
      <c r="J163" s="8">
        <v>46221</v>
      </c>
      <c r="K163" t="s">
        <v>937</v>
      </c>
    </row>
    <row r="164" spans="1:11" x14ac:dyDescent="0.3">
      <c r="A164" t="s">
        <v>1019</v>
      </c>
      <c r="B164" t="s">
        <v>75</v>
      </c>
      <c r="C164" t="s">
        <v>139</v>
      </c>
      <c r="D164" t="s">
        <v>15</v>
      </c>
      <c r="E164" t="s">
        <v>77</v>
      </c>
      <c r="F164">
        <v>2825000</v>
      </c>
      <c r="G164">
        <v>28.25</v>
      </c>
      <c r="H164" t="s">
        <v>27</v>
      </c>
      <c r="I164" t="s">
        <v>28</v>
      </c>
      <c r="J164" s="8">
        <v>46237</v>
      </c>
      <c r="K164" t="s">
        <v>39</v>
      </c>
    </row>
    <row r="165" spans="1:11" x14ac:dyDescent="0.3">
      <c r="A165" t="s">
        <v>1019</v>
      </c>
      <c r="B165" t="s">
        <v>75</v>
      </c>
      <c r="C165" t="s">
        <v>139</v>
      </c>
      <c r="D165" t="s">
        <v>15</v>
      </c>
      <c r="E165" t="s">
        <v>77</v>
      </c>
      <c r="F165">
        <v>2825000</v>
      </c>
      <c r="G165">
        <v>28.25</v>
      </c>
      <c r="H165" t="s">
        <v>27</v>
      </c>
      <c r="I165" t="s">
        <v>28</v>
      </c>
      <c r="J165" s="8">
        <v>46237</v>
      </c>
      <c r="K165" t="s">
        <v>21</v>
      </c>
    </row>
    <row r="166" spans="1:11" x14ac:dyDescent="0.3">
      <c r="A166" t="s">
        <v>1019</v>
      </c>
      <c r="B166" t="s">
        <v>75</v>
      </c>
      <c r="C166" t="s">
        <v>139</v>
      </c>
      <c r="D166" t="s">
        <v>15</v>
      </c>
      <c r="E166" t="s">
        <v>77</v>
      </c>
      <c r="F166">
        <v>2825000</v>
      </c>
      <c r="G166">
        <v>28.25</v>
      </c>
      <c r="H166" t="s">
        <v>27</v>
      </c>
      <c r="I166" t="s">
        <v>28</v>
      </c>
      <c r="J166" s="8">
        <v>46237</v>
      </c>
      <c r="K166" t="s">
        <v>854</v>
      </c>
    </row>
    <row r="167" spans="1:11" x14ac:dyDescent="0.3">
      <c r="A167" t="s">
        <v>1022</v>
      </c>
      <c r="B167" t="s">
        <v>996</v>
      </c>
      <c r="C167" t="s">
        <v>160</v>
      </c>
      <c r="D167" t="s">
        <v>26</v>
      </c>
      <c r="E167" t="s">
        <v>37</v>
      </c>
      <c r="F167">
        <v>1035000</v>
      </c>
      <c r="G167">
        <v>10.35</v>
      </c>
      <c r="H167" t="s">
        <v>27</v>
      </c>
      <c r="I167" t="s">
        <v>28</v>
      </c>
      <c r="J167" s="8">
        <v>46055</v>
      </c>
      <c r="K167" t="s">
        <v>39</v>
      </c>
    </row>
    <row r="168" spans="1:11" x14ac:dyDescent="0.3">
      <c r="A168" t="s">
        <v>1022</v>
      </c>
      <c r="B168" t="s">
        <v>996</v>
      </c>
      <c r="C168" t="s">
        <v>160</v>
      </c>
      <c r="D168" t="s">
        <v>26</v>
      </c>
      <c r="E168" t="s">
        <v>37</v>
      </c>
      <c r="F168">
        <v>1035000</v>
      </c>
      <c r="G168">
        <v>10.35</v>
      </c>
      <c r="H168" t="s">
        <v>27</v>
      </c>
      <c r="I168" t="s">
        <v>28</v>
      </c>
      <c r="J168" s="8">
        <v>46055</v>
      </c>
      <c r="K168" t="s">
        <v>874</v>
      </c>
    </row>
    <row r="169" spans="1:11" x14ac:dyDescent="0.3">
      <c r="A169" t="s">
        <v>1022</v>
      </c>
      <c r="B169" t="s">
        <v>996</v>
      </c>
      <c r="C169" t="s">
        <v>160</v>
      </c>
      <c r="D169" t="s">
        <v>26</v>
      </c>
      <c r="E169" t="s">
        <v>37</v>
      </c>
      <c r="F169">
        <v>1035000</v>
      </c>
      <c r="G169">
        <v>10.35</v>
      </c>
      <c r="H169" t="s">
        <v>27</v>
      </c>
      <c r="I169" t="s">
        <v>28</v>
      </c>
      <c r="J169" s="8">
        <v>46055</v>
      </c>
      <c r="K169" t="s">
        <v>54</v>
      </c>
    </row>
    <row r="170" spans="1:11" x14ac:dyDescent="0.3">
      <c r="A170" t="s">
        <v>1025</v>
      </c>
      <c r="B170" t="s">
        <v>75</v>
      </c>
      <c r="C170" t="s">
        <v>940</v>
      </c>
      <c r="D170" t="s">
        <v>64</v>
      </c>
      <c r="E170" t="s">
        <v>116</v>
      </c>
      <c r="F170">
        <v>1760000</v>
      </c>
      <c r="G170">
        <v>17.600000000000001</v>
      </c>
      <c r="H170" t="s">
        <v>27</v>
      </c>
      <c r="I170" t="s">
        <v>28</v>
      </c>
      <c r="J170" s="8">
        <v>46188</v>
      </c>
      <c r="K170" t="s">
        <v>30</v>
      </c>
    </row>
    <row r="171" spans="1:11" x14ac:dyDescent="0.3">
      <c r="A171" t="s">
        <v>1025</v>
      </c>
      <c r="B171" t="s">
        <v>75</v>
      </c>
      <c r="C171" t="s">
        <v>940</v>
      </c>
      <c r="D171" t="s">
        <v>64</v>
      </c>
      <c r="E171" t="s">
        <v>116</v>
      </c>
      <c r="F171">
        <v>1760000</v>
      </c>
      <c r="G171">
        <v>17.600000000000001</v>
      </c>
      <c r="H171" t="s">
        <v>27</v>
      </c>
      <c r="I171" t="s">
        <v>28</v>
      </c>
      <c r="J171" s="8">
        <v>46188</v>
      </c>
      <c r="K171" t="s">
        <v>874</v>
      </c>
    </row>
    <row r="172" spans="1:11" x14ac:dyDescent="0.3">
      <c r="A172" t="s">
        <v>1025</v>
      </c>
      <c r="B172" t="s">
        <v>75</v>
      </c>
      <c r="C172" t="s">
        <v>940</v>
      </c>
      <c r="D172" t="s">
        <v>64</v>
      </c>
      <c r="E172" t="s">
        <v>116</v>
      </c>
      <c r="F172">
        <v>1760000</v>
      </c>
      <c r="G172">
        <v>17.600000000000001</v>
      </c>
      <c r="H172" t="s">
        <v>27</v>
      </c>
      <c r="I172" t="s">
        <v>28</v>
      </c>
      <c r="J172" s="8">
        <v>46188</v>
      </c>
      <c r="K172" t="s">
        <v>45</v>
      </c>
    </row>
    <row r="173" spans="1:11" x14ac:dyDescent="0.3">
      <c r="A173" t="s">
        <v>1028</v>
      </c>
      <c r="B173" t="s">
        <v>75</v>
      </c>
      <c r="C173" t="s">
        <v>205</v>
      </c>
      <c r="D173" t="s">
        <v>15</v>
      </c>
      <c r="E173" t="s">
        <v>77</v>
      </c>
      <c r="F173">
        <v>4270000</v>
      </c>
      <c r="G173">
        <v>42.7</v>
      </c>
      <c r="H173" t="s">
        <v>27</v>
      </c>
      <c r="I173" t="s">
        <v>28</v>
      </c>
      <c r="J173" s="8">
        <v>46176</v>
      </c>
      <c r="K173" t="s">
        <v>937</v>
      </c>
    </row>
    <row r="174" spans="1:11" x14ac:dyDescent="0.3">
      <c r="A174" t="s">
        <v>1028</v>
      </c>
      <c r="B174" t="s">
        <v>75</v>
      </c>
      <c r="C174" t="s">
        <v>205</v>
      </c>
      <c r="D174" t="s">
        <v>15</v>
      </c>
      <c r="E174" t="s">
        <v>77</v>
      </c>
      <c r="F174">
        <v>4270000</v>
      </c>
      <c r="G174">
        <v>42.7</v>
      </c>
      <c r="H174" t="s">
        <v>27</v>
      </c>
      <c r="I174" t="s">
        <v>28</v>
      </c>
      <c r="J174" s="8">
        <v>46176</v>
      </c>
      <c r="K174" t="s">
        <v>45</v>
      </c>
    </row>
    <row r="175" spans="1:11" x14ac:dyDescent="0.3">
      <c r="A175" t="s">
        <v>1028</v>
      </c>
      <c r="B175" t="s">
        <v>75</v>
      </c>
      <c r="C175" t="s">
        <v>205</v>
      </c>
      <c r="D175" t="s">
        <v>15</v>
      </c>
      <c r="E175" t="s">
        <v>77</v>
      </c>
      <c r="F175">
        <v>4270000</v>
      </c>
      <c r="G175">
        <v>42.7</v>
      </c>
      <c r="H175" t="s">
        <v>27</v>
      </c>
      <c r="I175" t="s">
        <v>28</v>
      </c>
      <c r="J175" s="8">
        <v>46176</v>
      </c>
      <c r="K175" t="s">
        <v>21</v>
      </c>
    </row>
    <row r="176" spans="1:11" x14ac:dyDescent="0.3">
      <c r="A176" t="s">
        <v>1031</v>
      </c>
      <c r="B176" t="s">
        <v>62</v>
      </c>
      <c r="C176" t="s">
        <v>1032</v>
      </c>
      <c r="D176" t="s">
        <v>51</v>
      </c>
      <c r="E176" t="s">
        <v>16</v>
      </c>
      <c r="F176">
        <v>635000</v>
      </c>
      <c r="G176">
        <v>6.35</v>
      </c>
      <c r="H176" t="s">
        <v>27</v>
      </c>
      <c r="I176" t="s">
        <v>28</v>
      </c>
      <c r="J176" s="8">
        <v>46031</v>
      </c>
      <c r="K176" t="s">
        <v>846</v>
      </c>
    </row>
    <row r="177" spans="1:11" x14ac:dyDescent="0.3">
      <c r="A177" t="s">
        <v>1031</v>
      </c>
      <c r="B177" t="s">
        <v>62</v>
      </c>
      <c r="C177" t="s">
        <v>1032</v>
      </c>
      <c r="D177" t="s">
        <v>51</v>
      </c>
      <c r="E177" t="s">
        <v>16</v>
      </c>
      <c r="F177">
        <v>635000</v>
      </c>
      <c r="G177">
        <v>6.35</v>
      </c>
      <c r="H177" t="s">
        <v>27</v>
      </c>
      <c r="I177" t="s">
        <v>28</v>
      </c>
      <c r="J177" s="8">
        <v>46031</v>
      </c>
      <c r="K177" t="s">
        <v>908</v>
      </c>
    </row>
    <row r="178" spans="1:11" x14ac:dyDescent="0.3">
      <c r="A178" t="s">
        <v>1031</v>
      </c>
      <c r="B178" t="s">
        <v>62</v>
      </c>
      <c r="C178" t="s">
        <v>1032</v>
      </c>
      <c r="D178" t="s">
        <v>51</v>
      </c>
      <c r="E178" t="s">
        <v>16</v>
      </c>
      <c r="F178">
        <v>635000</v>
      </c>
      <c r="G178">
        <v>6.35</v>
      </c>
      <c r="H178" t="s">
        <v>27</v>
      </c>
      <c r="I178" t="s">
        <v>28</v>
      </c>
      <c r="J178" s="8">
        <v>46031</v>
      </c>
      <c r="K178" t="s">
        <v>854</v>
      </c>
    </row>
    <row r="179" spans="1:11" x14ac:dyDescent="0.3">
      <c r="A179" t="s">
        <v>1035</v>
      </c>
      <c r="B179" t="s">
        <v>42</v>
      </c>
      <c r="C179" t="s">
        <v>211</v>
      </c>
      <c r="D179" t="s">
        <v>44</v>
      </c>
      <c r="E179" t="s">
        <v>52</v>
      </c>
      <c r="F179">
        <v>290000</v>
      </c>
      <c r="G179">
        <v>2.9</v>
      </c>
      <c r="H179" t="s">
        <v>53</v>
      </c>
      <c r="I179" t="s">
        <v>28</v>
      </c>
      <c r="J179" s="8">
        <v>46194</v>
      </c>
      <c r="K179" t="s">
        <v>31</v>
      </c>
    </row>
    <row r="180" spans="1:11" x14ac:dyDescent="0.3">
      <c r="A180" t="s">
        <v>1035</v>
      </c>
      <c r="B180" t="s">
        <v>42</v>
      </c>
      <c r="C180" t="s">
        <v>211</v>
      </c>
      <c r="D180" t="s">
        <v>44</v>
      </c>
      <c r="E180" t="s">
        <v>52</v>
      </c>
      <c r="F180">
        <v>290000</v>
      </c>
      <c r="G180">
        <v>2.9</v>
      </c>
      <c r="H180" t="s">
        <v>53</v>
      </c>
      <c r="I180" t="s">
        <v>28</v>
      </c>
      <c r="J180" s="8">
        <v>46194</v>
      </c>
      <c r="K180" t="s">
        <v>45</v>
      </c>
    </row>
    <row r="181" spans="1:11" x14ac:dyDescent="0.3">
      <c r="A181" t="s">
        <v>1035</v>
      </c>
      <c r="B181" t="s">
        <v>42</v>
      </c>
      <c r="C181" t="s">
        <v>211</v>
      </c>
      <c r="D181" t="s">
        <v>44</v>
      </c>
      <c r="E181" t="s">
        <v>52</v>
      </c>
      <c r="F181">
        <v>290000</v>
      </c>
      <c r="G181">
        <v>2.9</v>
      </c>
      <c r="H181" t="s">
        <v>53</v>
      </c>
      <c r="I181" t="s">
        <v>28</v>
      </c>
      <c r="J181" s="8">
        <v>46194</v>
      </c>
      <c r="K181" t="s">
        <v>20</v>
      </c>
    </row>
    <row r="182" spans="1:11" x14ac:dyDescent="0.3">
      <c r="A182" t="s">
        <v>1038</v>
      </c>
      <c r="B182" t="s">
        <v>24</v>
      </c>
      <c r="C182" t="s">
        <v>214</v>
      </c>
      <c r="D182" t="s">
        <v>26</v>
      </c>
      <c r="E182" t="s">
        <v>52</v>
      </c>
      <c r="F182">
        <v>310000</v>
      </c>
      <c r="G182">
        <v>3.1</v>
      </c>
      <c r="H182" t="s">
        <v>53</v>
      </c>
      <c r="I182" t="s">
        <v>845</v>
      </c>
      <c r="J182" s="8">
        <v>46193</v>
      </c>
      <c r="K182" t="s">
        <v>30</v>
      </c>
    </row>
    <row r="183" spans="1:11" x14ac:dyDescent="0.3">
      <c r="A183" t="s">
        <v>1038</v>
      </c>
      <c r="B183" t="s">
        <v>24</v>
      </c>
      <c r="C183" t="s">
        <v>214</v>
      </c>
      <c r="D183" t="s">
        <v>26</v>
      </c>
      <c r="E183" t="s">
        <v>52</v>
      </c>
      <c r="F183">
        <v>310000</v>
      </c>
      <c r="G183">
        <v>3.1</v>
      </c>
      <c r="H183" t="s">
        <v>53</v>
      </c>
      <c r="I183" t="s">
        <v>845</v>
      </c>
      <c r="J183" s="8">
        <v>46193</v>
      </c>
      <c r="K183" t="s">
        <v>937</v>
      </c>
    </row>
    <row r="184" spans="1:11" x14ac:dyDescent="0.3">
      <c r="A184" t="s">
        <v>1038</v>
      </c>
      <c r="B184" t="s">
        <v>24</v>
      </c>
      <c r="C184" t="s">
        <v>214</v>
      </c>
      <c r="D184" t="s">
        <v>26</v>
      </c>
      <c r="E184" t="s">
        <v>52</v>
      </c>
      <c r="F184">
        <v>310000</v>
      </c>
      <c r="G184">
        <v>3.1</v>
      </c>
      <c r="H184" t="s">
        <v>53</v>
      </c>
      <c r="I184" t="s">
        <v>845</v>
      </c>
      <c r="J184" s="8">
        <v>46193</v>
      </c>
      <c r="K184" t="s">
        <v>31</v>
      </c>
    </row>
    <row r="185" spans="1:11" x14ac:dyDescent="0.3">
      <c r="A185" t="s">
        <v>1041</v>
      </c>
      <c r="B185" t="s">
        <v>960</v>
      </c>
      <c r="C185" t="s">
        <v>217</v>
      </c>
      <c r="D185" t="s">
        <v>64</v>
      </c>
      <c r="E185" t="s">
        <v>77</v>
      </c>
      <c r="F185">
        <v>4355000</v>
      </c>
      <c r="G185">
        <v>43.55</v>
      </c>
      <c r="H185" t="s">
        <v>27</v>
      </c>
      <c r="I185" t="s">
        <v>28</v>
      </c>
      <c r="J185" s="8">
        <v>46068</v>
      </c>
      <c r="K185" t="s">
        <v>937</v>
      </c>
    </row>
    <row r="186" spans="1:11" x14ac:dyDescent="0.3">
      <c r="A186" t="s">
        <v>1041</v>
      </c>
      <c r="B186" t="s">
        <v>960</v>
      </c>
      <c r="C186" t="s">
        <v>217</v>
      </c>
      <c r="D186" t="s">
        <v>64</v>
      </c>
      <c r="E186" t="s">
        <v>77</v>
      </c>
      <c r="F186">
        <v>4355000</v>
      </c>
      <c r="G186">
        <v>43.55</v>
      </c>
      <c r="H186" t="s">
        <v>27</v>
      </c>
      <c r="I186" t="s">
        <v>28</v>
      </c>
      <c r="J186" s="8">
        <v>46068</v>
      </c>
      <c r="K186" t="s">
        <v>29</v>
      </c>
    </row>
    <row r="187" spans="1:11" x14ac:dyDescent="0.3">
      <c r="A187" t="s">
        <v>1041</v>
      </c>
      <c r="B187" t="s">
        <v>960</v>
      </c>
      <c r="C187" t="s">
        <v>217</v>
      </c>
      <c r="D187" t="s">
        <v>64</v>
      </c>
      <c r="E187" t="s">
        <v>77</v>
      </c>
      <c r="F187">
        <v>4355000</v>
      </c>
      <c r="G187">
        <v>43.55</v>
      </c>
      <c r="H187" t="s">
        <v>27</v>
      </c>
      <c r="I187" t="s">
        <v>28</v>
      </c>
      <c r="J187" s="8">
        <v>46068</v>
      </c>
      <c r="K187" t="s">
        <v>31</v>
      </c>
    </row>
    <row r="188" spans="1:11" x14ac:dyDescent="0.3">
      <c r="A188" t="s">
        <v>1044</v>
      </c>
      <c r="B188" t="s">
        <v>49</v>
      </c>
      <c r="C188" t="s">
        <v>220</v>
      </c>
      <c r="D188" t="s">
        <v>71</v>
      </c>
      <c r="E188" t="s">
        <v>37</v>
      </c>
      <c r="F188">
        <v>1180000</v>
      </c>
      <c r="G188">
        <v>11.8</v>
      </c>
      <c r="H188" t="s">
        <v>27</v>
      </c>
      <c r="I188" t="s">
        <v>28</v>
      </c>
      <c r="J188" s="8">
        <v>46155</v>
      </c>
      <c r="K188" t="s">
        <v>45</v>
      </c>
    </row>
    <row r="189" spans="1:11" x14ac:dyDescent="0.3">
      <c r="A189" t="s">
        <v>1044</v>
      </c>
      <c r="B189" t="s">
        <v>49</v>
      </c>
      <c r="C189" t="s">
        <v>220</v>
      </c>
      <c r="D189" t="s">
        <v>71</v>
      </c>
      <c r="E189" t="s">
        <v>37</v>
      </c>
      <c r="F189">
        <v>1180000</v>
      </c>
      <c r="G189">
        <v>11.8</v>
      </c>
      <c r="H189" t="s">
        <v>27</v>
      </c>
      <c r="I189" t="s">
        <v>28</v>
      </c>
      <c r="J189" s="8">
        <v>46155</v>
      </c>
      <c r="K189" t="s">
        <v>21</v>
      </c>
    </row>
    <row r="190" spans="1:11" x14ac:dyDescent="0.3">
      <c r="A190" t="s">
        <v>1044</v>
      </c>
      <c r="B190" t="s">
        <v>49</v>
      </c>
      <c r="C190" t="s">
        <v>220</v>
      </c>
      <c r="D190" t="s">
        <v>71</v>
      </c>
      <c r="E190" t="s">
        <v>37</v>
      </c>
      <c r="F190">
        <v>1180000</v>
      </c>
      <c r="G190">
        <v>11.8</v>
      </c>
      <c r="H190" t="s">
        <v>27</v>
      </c>
      <c r="I190" t="s">
        <v>28</v>
      </c>
      <c r="J190" s="8">
        <v>46155</v>
      </c>
      <c r="K190" t="s">
        <v>846</v>
      </c>
    </row>
    <row r="191" spans="1:11" x14ac:dyDescent="0.3">
      <c r="A191" t="s">
        <v>1047</v>
      </c>
      <c r="B191" t="s">
        <v>62</v>
      </c>
      <c r="C191" t="s">
        <v>14</v>
      </c>
      <c r="D191" t="s">
        <v>64</v>
      </c>
      <c r="E191" t="s">
        <v>116</v>
      </c>
      <c r="F191">
        <v>1265000</v>
      </c>
      <c r="G191">
        <v>12.65</v>
      </c>
      <c r="H191" t="s">
        <v>27</v>
      </c>
      <c r="I191" t="s">
        <v>845</v>
      </c>
      <c r="J191" s="8">
        <v>46198</v>
      </c>
      <c r="K191" t="s">
        <v>30</v>
      </c>
    </row>
    <row r="192" spans="1:11" x14ac:dyDescent="0.3">
      <c r="A192" t="s">
        <v>1047</v>
      </c>
      <c r="B192" t="s">
        <v>62</v>
      </c>
      <c r="C192" t="s">
        <v>14</v>
      </c>
      <c r="D192" t="s">
        <v>64</v>
      </c>
      <c r="E192" t="s">
        <v>116</v>
      </c>
      <c r="F192">
        <v>1265000</v>
      </c>
      <c r="G192">
        <v>12.65</v>
      </c>
      <c r="H192" t="s">
        <v>27</v>
      </c>
      <c r="I192" t="s">
        <v>845</v>
      </c>
      <c r="J192" s="8">
        <v>46198</v>
      </c>
      <c r="K192" t="s">
        <v>39</v>
      </c>
    </row>
    <row r="193" spans="1:11" x14ac:dyDescent="0.3">
      <c r="A193" t="s">
        <v>1047</v>
      </c>
      <c r="B193" t="s">
        <v>62</v>
      </c>
      <c r="C193" t="s">
        <v>14</v>
      </c>
      <c r="D193" t="s">
        <v>64</v>
      </c>
      <c r="E193" t="s">
        <v>116</v>
      </c>
      <c r="F193">
        <v>1265000</v>
      </c>
      <c r="G193">
        <v>12.65</v>
      </c>
      <c r="H193" t="s">
        <v>27</v>
      </c>
      <c r="I193" t="s">
        <v>845</v>
      </c>
      <c r="J193" s="8">
        <v>46198</v>
      </c>
      <c r="K193" t="s">
        <v>46</v>
      </c>
    </row>
    <row r="194" spans="1:11" x14ac:dyDescent="0.3">
      <c r="A194" t="s">
        <v>1049</v>
      </c>
      <c r="B194" t="s">
        <v>864</v>
      </c>
      <c r="C194" t="s">
        <v>999</v>
      </c>
      <c r="D194" t="s">
        <v>71</v>
      </c>
      <c r="E194" t="s">
        <v>16</v>
      </c>
      <c r="F194">
        <v>925000</v>
      </c>
      <c r="G194">
        <v>9.25</v>
      </c>
      <c r="H194" t="s">
        <v>27</v>
      </c>
      <c r="I194" t="s">
        <v>845</v>
      </c>
      <c r="J194" s="8">
        <v>46210</v>
      </c>
      <c r="K194" t="s">
        <v>846</v>
      </c>
    </row>
    <row r="195" spans="1:11" x14ac:dyDescent="0.3">
      <c r="A195" t="s">
        <v>1049</v>
      </c>
      <c r="B195" t="s">
        <v>864</v>
      </c>
      <c r="C195" t="s">
        <v>999</v>
      </c>
      <c r="D195" t="s">
        <v>71</v>
      </c>
      <c r="E195" t="s">
        <v>16</v>
      </c>
      <c r="F195">
        <v>925000</v>
      </c>
      <c r="G195">
        <v>9.25</v>
      </c>
      <c r="H195" t="s">
        <v>27</v>
      </c>
      <c r="I195" t="s">
        <v>845</v>
      </c>
      <c r="J195" s="8">
        <v>46210</v>
      </c>
      <c r="K195" t="s">
        <v>21</v>
      </c>
    </row>
    <row r="196" spans="1:11" x14ac:dyDescent="0.3">
      <c r="A196" t="s">
        <v>1049</v>
      </c>
      <c r="B196" t="s">
        <v>864</v>
      </c>
      <c r="C196" t="s">
        <v>999</v>
      </c>
      <c r="D196" t="s">
        <v>71</v>
      </c>
      <c r="E196" t="s">
        <v>16</v>
      </c>
      <c r="F196">
        <v>925000</v>
      </c>
      <c r="G196">
        <v>9.25</v>
      </c>
      <c r="H196" t="s">
        <v>27</v>
      </c>
      <c r="I196" t="s">
        <v>845</v>
      </c>
      <c r="J196" s="8">
        <v>46210</v>
      </c>
      <c r="K196" t="s">
        <v>39</v>
      </c>
    </row>
    <row r="197" spans="1:11" x14ac:dyDescent="0.3">
      <c r="A197" t="s">
        <v>1052</v>
      </c>
      <c r="B197" t="s">
        <v>62</v>
      </c>
      <c r="C197" t="s">
        <v>227</v>
      </c>
      <c r="D197" t="s">
        <v>36</v>
      </c>
      <c r="E197" t="s">
        <v>37</v>
      </c>
      <c r="F197">
        <v>1125000</v>
      </c>
      <c r="G197">
        <v>11.25</v>
      </c>
      <c r="H197" t="s">
        <v>27</v>
      </c>
      <c r="I197" t="s">
        <v>845</v>
      </c>
      <c r="J197" s="8">
        <v>46181</v>
      </c>
      <c r="K197" t="s">
        <v>29</v>
      </c>
    </row>
    <row r="198" spans="1:11" x14ac:dyDescent="0.3">
      <c r="A198" t="s">
        <v>1052</v>
      </c>
      <c r="B198" t="s">
        <v>62</v>
      </c>
      <c r="C198" t="s">
        <v>227</v>
      </c>
      <c r="D198" t="s">
        <v>36</v>
      </c>
      <c r="E198" t="s">
        <v>37</v>
      </c>
      <c r="F198">
        <v>1125000</v>
      </c>
      <c r="G198">
        <v>11.25</v>
      </c>
      <c r="H198" t="s">
        <v>27</v>
      </c>
      <c r="I198" t="s">
        <v>845</v>
      </c>
      <c r="J198" s="8">
        <v>46181</v>
      </c>
      <c r="K198" t="s">
        <v>46</v>
      </c>
    </row>
    <row r="199" spans="1:11" x14ac:dyDescent="0.3">
      <c r="A199" t="s">
        <v>1052</v>
      </c>
      <c r="B199" t="s">
        <v>62</v>
      </c>
      <c r="C199" t="s">
        <v>227</v>
      </c>
      <c r="D199" t="s">
        <v>36</v>
      </c>
      <c r="E199" t="s">
        <v>37</v>
      </c>
      <c r="F199">
        <v>1125000</v>
      </c>
      <c r="G199">
        <v>11.25</v>
      </c>
      <c r="H199" t="s">
        <v>27</v>
      </c>
      <c r="I199" t="s">
        <v>845</v>
      </c>
      <c r="J199" s="8">
        <v>46181</v>
      </c>
      <c r="K199" t="s">
        <v>45</v>
      </c>
    </row>
    <row r="200" spans="1:11" x14ac:dyDescent="0.3">
      <c r="A200" t="s">
        <v>1055</v>
      </c>
      <c r="B200" t="s">
        <v>960</v>
      </c>
      <c r="C200" t="s">
        <v>152</v>
      </c>
      <c r="D200" t="s">
        <v>26</v>
      </c>
      <c r="E200" t="s">
        <v>116</v>
      </c>
      <c r="F200">
        <v>1155000</v>
      </c>
      <c r="G200">
        <v>11.55</v>
      </c>
      <c r="H200" t="s">
        <v>17</v>
      </c>
      <c r="I200" t="s">
        <v>28</v>
      </c>
      <c r="J200" s="8">
        <v>46211</v>
      </c>
      <c r="K200" t="s">
        <v>39</v>
      </c>
    </row>
    <row r="201" spans="1:11" x14ac:dyDescent="0.3">
      <c r="A201" t="s">
        <v>1055</v>
      </c>
      <c r="B201" t="s">
        <v>960</v>
      </c>
      <c r="C201" t="s">
        <v>152</v>
      </c>
      <c r="D201" t="s">
        <v>26</v>
      </c>
      <c r="E201" t="s">
        <v>116</v>
      </c>
      <c r="F201">
        <v>1155000</v>
      </c>
      <c r="G201">
        <v>11.55</v>
      </c>
      <c r="H201" t="s">
        <v>17</v>
      </c>
      <c r="I201" t="s">
        <v>28</v>
      </c>
      <c r="J201" s="8">
        <v>46211</v>
      </c>
      <c r="K201" t="s">
        <v>878</v>
      </c>
    </row>
    <row r="202" spans="1:11" x14ac:dyDescent="0.3">
      <c r="A202" t="s">
        <v>1055</v>
      </c>
      <c r="B202" t="s">
        <v>960</v>
      </c>
      <c r="C202" t="s">
        <v>152</v>
      </c>
      <c r="D202" t="s">
        <v>26</v>
      </c>
      <c r="E202" t="s">
        <v>116</v>
      </c>
      <c r="F202">
        <v>1155000</v>
      </c>
      <c r="G202">
        <v>11.55</v>
      </c>
      <c r="H202" t="s">
        <v>17</v>
      </c>
      <c r="I202" t="s">
        <v>28</v>
      </c>
      <c r="J202" s="8">
        <v>46211</v>
      </c>
      <c r="K202" t="s">
        <v>20</v>
      </c>
    </row>
    <row r="203" spans="1:11" x14ac:dyDescent="0.3">
      <c r="A203" t="s">
        <v>1058</v>
      </c>
      <c r="B203" t="s">
        <v>62</v>
      </c>
      <c r="C203" t="s">
        <v>227</v>
      </c>
      <c r="D203" t="s">
        <v>81</v>
      </c>
      <c r="E203" t="s">
        <v>37</v>
      </c>
      <c r="F203">
        <v>2005000</v>
      </c>
      <c r="G203">
        <v>20.05</v>
      </c>
      <c r="H203" t="s">
        <v>27</v>
      </c>
      <c r="I203" t="s">
        <v>845</v>
      </c>
      <c r="J203" s="8">
        <v>46188</v>
      </c>
      <c r="K203" t="s">
        <v>45</v>
      </c>
    </row>
    <row r="204" spans="1:11" x14ac:dyDescent="0.3">
      <c r="A204" t="s">
        <v>1058</v>
      </c>
      <c r="B204" t="s">
        <v>62</v>
      </c>
      <c r="C204" t="s">
        <v>227</v>
      </c>
      <c r="D204" t="s">
        <v>81</v>
      </c>
      <c r="E204" t="s">
        <v>37</v>
      </c>
      <c r="F204">
        <v>2005000</v>
      </c>
      <c r="G204">
        <v>20.05</v>
      </c>
      <c r="H204" t="s">
        <v>27</v>
      </c>
      <c r="I204" t="s">
        <v>845</v>
      </c>
      <c r="J204" s="8">
        <v>46188</v>
      </c>
      <c r="K204" t="s">
        <v>30</v>
      </c>
    </row>
    <row r="205" spans="1:11" x14ac:dyDescent="0.3">
      <c r="A205" t="s">
        <v>1058</v>
      </c>
      <c r="B205" t="s">
        <v>62</v>
      </c>
      <c r="C205" t="s">
        <v>227</v>
      </c>
      <c r="D205" t="s">
        <v>81</v>
      </c>
      <c r="E205" t="s">
        <v>37</v>
      </c>
      <c r="F205">
        <v>2005000</v>
      </c>
      <c r="G205">
        <v>20.05</v>
      </c>
      <c r="H205" t="s">
        <v>27</v>
      </c>
      <c r="I205" t="s">
        <v>845</v>
      </c>
      <c r="J205" s="8">
        <v>46188</v>
      </c>
      <c r="K205" t="s">
        <v>854</v>
      </c>
    </row>
    <row r="206" spans="1:11" x14ac:dyDescent="0.3">
      <c r="A206" t="s">
        <v>1060</v>
      </c>
      <c r="B206" t="s">
        <v>62</v>
      </c>
      <c r="C206" t="s">
        <v>220</v>
      </c>
      <c r="D206" t="s">
        <v>71</v>
      </c>
      <c r="E206" t="s">
        <v>52</v>
      </c>
      <c r="F206">
        <v>405000</v>
      </c>
      <c r="G206">
        <v>4.05</v>
      </c>
      <c r="H206" t="s">
        <v>53</v>
      </c>
      <c r="I206" t="s">
        <v>28</v>
      </c>
      <c r="J206" s="8">
        <v>46169</v>
      </c>
      <c r="K206" t="s">
        <v>29</v>
      </c>
    </row>
    <row r="207" spans="1:11" x14ac:dyDescent="0.3">
      <c r="A207" t="s">
        <v>1060</v>
      </c>
      <c r="B207" t="s">
        <v>62</v>
      </c>
      <c r="C207" t="s">
        <v>220</v>
      </c>
      <c r="D207" t="s">
        <v>71</v>
      </c>
      <c r="E207" t="s">
        <v>52</v>
      </c>
      <c r="F207">
        <v>405000</v>
      </c>
      <c r="G207">
        <v>4.05</v>
      </c>
      <c r="H207" t="s">
        <v>53</v>
      </c>
      <c r="I207" t="s">
        <v>28</v>
      </c>
      <c r="J207" s="8">
        <v>46169</v>
      </c>
      <c r="K207" t="s">
        <v>874</v>
      </c>
    </row>
    <row r="208" spans="1:11" x14ac:dyDescent="0.3">
      <c r="A208" t="s">
        <v>1060</v>
      </c>
      <c r="B208" t="s">
        <v>62</v>
      </c>
      <c r="C208" t="s">
        <v>220</v>
      </c>
      <c r="D208" t="s">
        <v>71</v>
      </c>
      <c r="E208" t="s">
        <v>52</v>
      </c>
      <c r="F208">
        <v>405000</v>
      </c>
      <c r="G208">
        <v>4.05</v>
      </c>
      <c r="H208" t="s">
        <v>53</v>
      </c>
      <c r="I208" t="s">
        <v>28</v>
      </c>
      <c r="J208" s="8">
        <v>46169</v>
      </c>
      <c r="K208" t="s">
        <v>20</v>
      </c>
    </row>
    <row r="209" spans="1:11" x14ac:dyDescent="0.3">
      <c r="A209" t="s">
        <v>1063</v>
      </c>
      <c r="B209" t="s">
        <v>75</v>
      </c>
      <c r="C209" t="s">
        <v>205</v>
      </c>
      <c r="D209" t="s">
        <v>64</v>
      </c>
      <c r="E209" t="s">
        <v>16</v>
      </c>
      <c r="F209">
        <v>760000</v>
      </c>
      <c r="G209">
        <v>7.6</v>
      </c>
      <c r="H209" t="s">
        <v>17</v>
      </c>
      <c r="I209" t="s">
        <v>845</v>
      </c>
      <c r="J209" s="8">
        <v>46104</v>
      </c>
      <c r="K209" t="s">
        <v>846</v>
      </c>
    </row>
    <row r="210" spans="1:11" x14ac:dyDescent="0.3">
      <c r="A210" t="s">
        <v>1063</v>
      </c>
      <c r="B210" t="s">
        <v>75</v>
      </c>
      <c r="C210" t="s">
        <v>205</v>
      </c>
      <c r="D210" t="s">
        <v>64</v>
      </c>
      <c r="E210" t="s">
        <v>16</v>
      </c>
      <c r="F210">
        <v>760000</v>
      </c>
      <c r="G210">
        <v>7.6</v>
      </c>
      <c r="H210" t="s">
        <v>17</v>
      </c>
      <c r="I210" t="s">
        <v>845</v>
      </c>
      <c r="J210" s="8">
        <v>46104</v>
      </c>
      <c r="K210" t="s">
        <v>29</v>
      </c>
    </row>
    <row r="211" spans="1:11" x14ac:dyDescent="0.3">
      <c r="A211" t="s">
        <v>1063</v>
      </c>
      <c r="B211" t="s">
        <v>75</v>
      </c>
      <c r="C211" t="s">
        <v>205</v>
      </c>
      <c r="D211" t="s">
        <v>64</v>
      </c>
      <c r="E211" t="s">
        <v>16</v>
      </c>
      <c r="F211">
        <v>760000</v>
      </c>
      <c r="G211">
        <v>7.6</v>
      </c>
      <c r="H211" t="s">
        <v>17</v>
      </c>
      <c r="I211" t="s">
        <v>845</v>
      </c>
      <c r="J211" s="8">
        <v>46104</v>
      </c>
      <c r="K211" t="s">
        <v>46</v>
      </c>
    </row>
    <row r="212" spans="1:11" x14ac:dyDescent="0.3">
      <c r="A212" t="s">
        <v>1065</v>
      </c>
      <c r="B212" t="s">
        <v>62</v>
      </c>
      <c r="C212" t="s">
        <v>237</v>
      </c>
      <c r="D212" t="s">
        <v>81</v>
      </c>
      <c r="E212" t="s">
        <v>52</v>
      </c>
      <c r="F212">
        <v>525000</v>
      </c>
      <c r="G212">
        <v>5.25</v>
      </c>
      <c r="H212" t="s">
        <v>27</v>
      </c>
      <c r="I212" t="s">
        <v>845</v>
      </c>
      <c r="J212" s="8">
        <v>46184</v>
      </c>
      <c r="K212" t="s">
        <v>846</v>
      </c>
    </row>
    <row r="213" spans="1:11" x14ac:dyDescent="0.3">
      <c r="A213" t="s">
        <v>1065</v>
      </c>
      <c r="B213" t="s">
        <v>62</v>
      </c>
      <c r="C213" t="s">
        <v>237</v>
      </c>
      <c r="D213" t="s">
        <v>81</v>
      </c>
      <c r="E213" t="s">
        <v>52</v>
      </c>
      <c r="F213">
        <v>525000</v>
      </c>
      <c r="G213">
        <v>5.25</v>
      </c>
      <c r="H213" t="s">
        <v>27</v>
      </c>
      <c r="I213" t="s">
        <v>845</v>
      </c>
      <c r="J213" s="8">
        <v>46184</v>
      </c>
      <c r="K213" t="s">
        <v>20</v>
      </c>
    </row>
    <row r="214" spans="1:11" x14ac:dyDescent="0.3">
      <c r="A214" t="s">
        <v>1065</v>
      </c>
      <c r="B214" t="s">
        <v>62</v>
      </c>
      <c r="C214" t="s">
        <v>237</v>
      </c>
      <c r="D214" t="s">
        <v>81</v>
      </c>
      <c r="E214" t="s">
        <v>52</v>
      </c>
      <c r="F214">
        <v>525000</v>
      </c>
      <c r="G214">
        <v>5.25</v>
      </c>
      <c r="H214" t="s">
        <v>27</v>
      </c>
      <c r="I214" t="s">
        <v>845</v>
      </c>
      <c r="J214" s="8">
        <v>46184</v>
      </c>
      <c r="K214" t="s">
        <v>46</v>
      </c>
    </row>
    <row r="215" spans="1:11" x14ac:dyDescent="0.3">
      <c r="A215" t="s">
        <v>1067</v>
      </c>
      <c r="B215" t="s">
        <v>996</v>
      </c>
      <c r="C215" t="s">
        <v>220</v>
      </c>
      <c r="D215" t="s">
        <v>64</v>
      </c>
      <c r="E215" t="s">
        <v>37</v>
      </c>
      <c r="F215">
        <v>1145000</v>
      </c>
      <c r="G215">
        <v>11.45</v>
      </c>
      <c r="H215" t="s">
        <v>27</v>
      </c>
      <c r="I215" t="s">
        <v>28</v>
      </c>
      <c r="J215" s="8">
        <v>46184</v>
      </c>
      <c r="K215" t="s">
        <v>46</v>
      </c>
    </row>
    <row r="216" spans="1:11" x14ac:dyDescent="0.3">
      <c r="A216" t="s">
        <v>1067</v>
      </c>
      <c r="B216" t="s">
        <v>996</v>
      </c>
      <c r="C216" t="s">
        <v>220</v>
      </c>
      <c r="D216" t="s">
        <v>64</v>
      </c>
      <c r="E216" t="s">
        <v>37</v>
      </c>
      <c r="F216">
        <v>1145000</v>
      </c>
      <c r="G216">
        <v>11.45</v>
      </c>
      <c r="H216" t="s">
        <v>27</v>
      </c>
      <c r="I216" t="s">
        <v>28</v>
      </c>
      <c r="J216" s="8">
        <v>46184</v>
      </c>
      <c r="K216" t="s">
        <v>937</v>
      </c>
    </row>
    <row r="217" spans="1:11" x14ac:dyDescent="0.3">
      <c r="A217" t="s">
        <v>1067</v>
      </c>
      <c r="B217" t="s">
        <v>996</v>
      </c>
      <c r="C217" t="s">
        <v>220</v>
      </c>
      <c r="D217" t="s">
        <v>64</v>
      </c>
      <c r="E217" t="s">
        <v>37</v>
      </c>
      <c r="F217">
        <v>1145000</v>
      </c>
      <c r="G217">
        <v>11.45</v>
      </c>
      <c r="H217" t="s">
        <v>27</v>
      </c>
      <c r="I217" t="s">
        <v>28</v>
      </c>
      <c r="J217" s="8">
        <v>46184</v>
      </c>
      <c r="K217" t="s">
        <v>39</v>
      </c>
    </row>
    <row r="218" spans="1:11" x14ac:dyDescent="0.3">
      <c r="A218" t="s">
        <v>1069</v>
      </c>
      <c r="B218" t="s">
        <v>996</v>
      </c>
      <c r="C218" t="s">
        <v>899</v>
      </c>
      <c r="D218" t="s">
        <v>81</v>
      </c>
      <c r="E218" t="s">
        <v>116</v>
      </c>
      <c r="F218">
        <v>1025000</v>
      </c>
      <c r="G218">
        <v>10.25</v>
      </c>
      <c r="H218" t="s">
        <v>17</v>
      </c>
      <c r="I218" t="s">
        <v>28</v>
      </c>
      <c r="J218" s="8">
        <v>46098</v>
      </c>
      <c r="K218" t="s">
        <v>29</v>
      </c>
    </row>
    <row r="219" spans="1:11" x14ac:dyDescent="0.3">
      <c r="A219" t="s">
        <v>1069</v>
      </c>
      <c r="B219" t="s">
        <v>996</v>
      </c>
      <c r="C219" t="s">
        <v>899</v>
      </c>
      <c r="D219" t="s">
        <v>81</v>
      </c>
      <c r="E219" t="s">
        <v>116</v>
      </c>
      <c r="F219">
        <v>1025000</v>
      </c>
      <c r="G219">
        <v>10.25</v>
      </c>
      <c r="H219" t="s">
        <v>17</v>
      </c>
      <c r="I219" t="s">
        <v>28</v>
      </c>
      <c r="J219" s="8">
        <v>46098</v>
      </c>
      <c r="K219" t="s">
        <v>54</v>
      </c>
    </row>
    <row r="220" spans="1:11" x14ac:dyDescent="0.3">
      <c r="A220" t="s">
        <v>1069</v>
      </c>
      <c r="B220" t="s">
        <v>996</v>
      </c>
      <c r="C220" t="s">
        <v>899</v>
      </c>
      <c r="D220" t="s">
        <v>81</v>
      </c>
      <c r="E220" t="s">
        <v>116</v>
      </c>
      <c r="F220">
        <v>1025000</v>
      </c>
      <c r="G220">
        <v>10.25</v>
      </c>
      <c r="H220" t="s">
        <v>17</v>
      </c>
      <c r="I220" t="s">
        <v>28</v>
      </c>
      <c r="J220" s="8">
        <v>46098</v>
      </c>
      <c r="K220" t="s">
        <v>908</v>
      </c>
    </row>
    <row r="221" spans="1:11" x14ac:dyDescent="0.3">
      <c r="A221" t="s">
        <v>1072</v>
      </c>
      <c r="B221" t="s">
        <v>852</v>
      </c>
      <c r="C221" t="s">
        <v>242</v>
      </c>
      <c r="D221" t="s">
        <v>26</v>
      </c>
      <c r="E221" t="s">
        <v>77</v>
      </c>
      <c r="F221">
        <v>2635000</v>
      </c>
      <c r="G221">
        <v>26.35</v>
      </c>
      <c r="H221" t="s">
        <v>27</v>
      </c>
      <c r="I221" t="s">
        <v>28</v>
      </c>
      <c r="J221" s="8">
        <v>46037</v>
      </c>
      <c r="K221" t="s">
        <v>908</v>
      </c>
    </row>
    <row r="222" spans="1:11" x14ac:dyDescent="0.3">
      <c r="A222" t="s">
        <v>1072</v>
      </c>
      <c r="B222" t="s">
        <v>852</v>
      </c>
      <c r="C222" t="s">
        <v>242</v>
      </c>
      <c r="D222" t="s">
        <v>26</v>
      </c>
      <c r="E222" t="s">
        <v>77</v>
      </c>
      <c r="F222">
        <v>2635000</v>
      </c>
      <c r="G222">
        <v>26.35</v>
      </c>
      <c r="H222" t="s">
        <v>27</v>
      </c>
      <c r="I222" t="s">
        <v>28</v>
      </c>
      <c r="J222" s="8">
        <v>46037</v>
      </c>
      <c r="K222" t="s">
        <v>31</v>
      </c>
    </row>
    <row r="223" spans="1:11" x14ac:dyDescent="0.3">
      <c r="A223" t="s">
        <v>1072</v>
      </c>
      <c r="B223" t="s">
        <v>852</v>
      </c>
      <c r="C223" t="s">
        <v>242</v>
      </c>
      <c r="D223" t="s">
        <v>26</v>
      </c>
      <c r="E223" t="s">
        <v>77</v>
      </c>
      <c r="F223">
        <v>2635000</v>
      </c>
      <c r="G223">
        <v>26.35</v>
      </c>
      <c r="H223" t="s">
        <v>27</v>
      </c>
      <c r="I223" t="s">
        <v>28</v>
      </c>
      <c r="J223" s="8">
        <v>46037</v>
      </c>
      <c r="K223" t="s">
        <v>39</v>
      </c>
    </row>
    <row r="224" spans="1:11" x14ac:dyDescent="0.3">
      <c r="A224" t="s">
        <v>1075</v>
      </c>
      <c r="B224" t="s">
        <v>996</v>
      </c>
      <c r="C224" t="s">
        <v>106</v>
      </c>
      <c r="D224" t="s">
        <v>71</v>
      </c>
      <c r="E224" t="s">
        <v>77</v>
      </c>
      <c r="F224">
        <v>2240000</v>
      </c>
      <c r="G224">
        <v>22.4</v>
      </c>
      <c r="H224" t="s">
        <v>27</v>
      </c>
      <c r="I224" t="s">
        <v>59</v>
      </c>
      <c r="J224" s="8">
        <v>46079</v>
      </c>
      <c r="K224" t="s">
        <v>20</v>
      </c>
    </row>
    <row r="225" spans="1:11" x14ac:dyDescent="0.3">
      <c r="A225" t="s">
        <v>1075</v>
      </c>
      <c r="B225" t="s">
        <v>996</v>
      </c>
      <c r="C225" t="s">
        <v>106</v>
      </c>
      <c r="D225" t="s">
        <v>71</v>
      </c>
      <c r="E225" t="s">
        <v>77</v>
      </c>
      <c r="F225">
        <v>2240000</v>
      </c>
      <c r="G225">
        <v>22.4</v>
      </c>
      <c r="H225" t="s">
        <v>27</v>
      </c>
      <c r="I225" t="s">
        <v>59</v>
      </c>
      <c r="J225" s="8">
        <v>46079</v>
      </c>
      <c r="K225" t="s">
        <v>46</v>
      </c>
    </row>
    <row r="226" spans="1:11" x14ac:dyDescent="0.3">
      <c r="A226" t="s">
        <v>1075</v>
      </c>
      <c r="B226" t="s">
        <v>996</v>
      </c>
      <c r="C226" t="s">
        <v>106</v>
      </c>
      <c r="D226" t="s">
        <v>71</v>
      </c>
      <c r="E226" t="s">
        <v>77</v>
      </c>
      <c r="F226">
        <v>2240000</v>
      </c>
      <c r="G226">
        <v>22.4</v>
      </c>
      <c r="H226" t="s">
        <v>27</v>
      </c>
      <c r="I226" t="s">
        <v>59</v>
      </c>
      <c r="J226" s="8">
        <v>46079</v>
      </c>
      <c r="K226" t="s">
        <v>854</v>
      </c>
    </row>
    <row r="227" spans="1:11" x14ac:dyDescent="0.3">
      <c r="A227" t="s">
        <v>1078</v>
      </c>
      <c r="B227" t="s">
        <v>75</v>
      </c>
      <c r="C227" t="s">
        <v>967</v>
      </c>
      <c r="D227" t="s">
        <v>51</v>
      </c>
      <c r="E227" t="s">
        <v>37</v>
      </c>
      <c r="F227">
        <v>1410000</v>
      </c>
      <c r="G227">
        <v>14.1</v>
      </c>
      <c r="H227" t="s">
        <v>17</v>
      </c>
      <c r="I227" t="s">
        <v>28</v>
      </c>
      <c r="J227" s="8">
        <v>46244</v>
      </c>
      <c r="K227" t="s">
        <v>31</v>
      </c>
    </row>
    <row r="228" spans="1:11" x14ac:dyDescent="0.3">
      <c r="A228" t="s">
        <v>1078</v>
      </c>
      <c r="B228" t="s">
        <v>75</v>
      </c>
      <c r="C228" t="s">
        <v>967</v>
      </c>
      <c r="D228" t="s">
        <v>51</v>
      </c>
      <c r="E228" t="s">
        <v>37</v>
      </c>
      <c r="F228">
        <v>1410000</v>
      </c>
      <c r="G228">
        <v>14.1</v>
      </c>
      <c r="H228" t="s">
        <v>17</v>
      </c>
      <c r="I228" t="s">
        <v>28</v>
      </c>
      <c r="J228" s="8">
        <v>46244</v>
      </c>
      <c r="K228" t="s">
        <v>54</v>
      </c>
    </row>
    <row r="229" spans="1:11" x14ac:dyDescent="0.3">
      <c r="A229" t="s">
        <v>1078</v>
      </c>
      <c r="B229" t="s">
        <v>75</v>
      </c>
      <c r="C229" t="s">
        <v>967</v>
      </c>
      <c r="D229" t="s">
        <v>51</v>
      </c>
      <c r="E229" t="s">
        <v>37</v>
      </c>
      <c r="F229">
        <v>1410000</v>
      </c>
      <c r="G229">
        <v>14.1</v>
      </c>
      <c r="H229" t="s">
        <v>17</v>
      </c>
      <c r="I229" t="s">
        <v>28</v>
      </c>
      <c r="J229" s="8">
        <v>46244</v>
      </c>
      <c r="K229" t="s">
        <v>45</v>
      </c>
    </row>
    <row r="230" spans="1:11" x14ac:dyDescent="0.3">
      <c r="A230" t="s">
        <v>1081</v>
      </c>
      <c r="B230" t="s">
        <v>960</v>
      </c>
      <c r="C230" t="s">
        <v>1082</v>
      </c>
      <c r="D230" t="s">
        <v>44</v>
      </c>
      <c r="E230" t="s">
        <v>16</v>
      </c>
      <c r="F230">
        <v>790000</v>
      </c>
      <c r="G230">
        <v>7.9</v>
      </c>
      <c r="H230" t="s">
        <v>27</v>
      </c>
      <c r="I230" t="s">
        <v>28</v>
      </c>
      <c r="J230" s="8">
        <v>46262</v>
      </c>
      <c r="K230" t="s">
        <v>46</v>
      </c>
    </row>
    <row r="231" spans="1:11" x14ac:dyDescent="0.3">
      <c r="A231" t="s">
        <v>1081</v>
      </c>
      <c r="B231" t="s">
        <v>960</v>
      </c>
      <c r="C231" t="s">
        <v>1082</v>
      </c>
      <c r="D231" t="s">
        <v>44</v>
      </c>
      <c r="E231" t="s">
        <v>16</v>
      </c>
      <c r="F231">
        <v>790000</v>
      </c>
      <c r="G231">
        <v>7.9</v>
      </c>
      <c r="H231" t="s">
        <v>27</v>
      </c>
      <c r="I231" t="s">
        <v>28</v>
      </c>
      <c r="J231" s="8">
        <v>46262</v>
      </c>
      <c r="K231" t="s">
        <v>908</v>
      </c>
    </row>
    <row r="232" spans="1:11" x14ac:dyDescent="0.3">
      <c r="A232" t="s">
        <v>1081</v>
      </c>
      <c r="B232" t="s">
        <v>960</v>
      </c>
      <c r="C232" t="s">
        <v>1082</v>
      </c>
      <c r="D232" t="s">
        <v>44</v>
      </c>
      <c r="E232" t="s">
        <v>16</v>
      </c>
      <c r="F232">
        <v>790000</v>
      </c>
      <c r="G232">
        <v>7.9</v>
      </c>
      <c r="H232" t="s">
        <v>27</v>
      </c>
      <c r="I232" t="s">
        <v>28</v>
      </c>
      <c r="J232" s="8">
        <v>46262</v>
      </c>
      <c r="K232" t="s">
        <v>878</v>
      </c>
    </row>
    <row r="233" spans="1:11" x14ac:dyDescent="0.3">
      <c r="A233" t="s">
        <v>1085</v>
      </c>
      <c r="B233" t="s">
        <v>864</v>
      </c>
      <c r="C233" t="s">
        <v>940</v>
      </c>
      <c r="D233" t="s">
        <v>81</v>
      </c>
      <c r="E233" t="s">
        <v>52</v>
      </c>
      <c r="F233">
        <v>615000</v>
      </c>
      <c r="G233">
        <v>6.15</v>
      </c>
      <c r="H233" t="s">
        <v>17</v>
      </c>
      <c r="I233" t="s">
        <v>28</v>
      </c>
      <c r="J233" s="8">
        <v>46223</v>
      </c>
      <c r="K233" t="s">
        <v>54</v>
      </c>
    </row>
    <row r="234" spans="1:11" x14ac:dyDescent="0.3">
      <c r="A234" t="s">
        <v>1085</v>
      </c>
      <c r="B234" t="s">
        <v>864</v>
      </c>
      <c r="C234" t="s">
        <v>940</v>
      </c>
      <c r="D234" t="s">
        <v>81</v>
      </c>
      <c r="E234" t="s">
        <v>52</v>
      </c>
      <c r="F234">
        <v>615000</v>
      </c>
      <c r="G234">
        <v>6.15</v>
      </c>
      <c r="H234" t="s">
        <v>17</v>
      </c>
      <c r="I234" t="s">
        <v>28</v>
      </c>
      <c r="J234" s="8">
        <v>46223</v>
      </c>
      <c r="K234" t="s">
        <v>874</v>
      </c>
    </row>
    <row r="235" spans="1:11" x14ac:dyDescent="0.3">
      <c r="A235" t="s">
        <v>1085</v>
      </c>
      <c r="B235" t="s">
        <v>864</v>
      </c>
      <c r="C235" t="s">
        <v>940</v>
      </c>
      <c r="D235" t="s">
        <v>81</v>
      </c>
      <c r="E235" t="s">
        <v>52</v>
      </c>
      <c r="F235">
        <v>615000</v>
      </c>
      <c r="G235">
        <v>6.15</v>
      </c>
      <c r="H235" t="s">
        <v>17</v>
      </c>
      <c r="I235" t="s">
        <v>28</v>
      </c>
      <c r="J235" s="8">
        <v>46223</v>
      </c>
      <c r="K235" t="s">
        <v>31</v>
      </c>
    </row>
    <row r="236" spans="1:11" x14ac:dyDescent="0.3">
      <c r="A236" t="s">
        <v>1088</v>
      </c>
      <c r="B236" t="s">
        <v>75</v>
      </c>
      <c r="C236" t="s">
        <v>160</v>
      </c>
      <c r="D236" t="s">
        <v>15</v>
      </c>
      <c r="E236" t="s">
        <v>116</v>
      </c>
      <c r="F236">
        <v>990000</v>
      </c>
      <c r="G236">
        <v>9.9</v>
      </c>
      <c r="H236" t="s">
        <v>27</v>
      </c>
      <c r="I236" t="s">
        <v>845</v>
      </c>
      <c r="J236" s="8">
        <v>46152</v>
      </c>
      <c r="K236" t="s">
        <v>21</v>
      </c>
    </row>
    <row r="237" spans="1:11" x14ac:dyDescent="0.3">
      <c r="A237" t="s">
        <v>1088</v>
      </c>
      <c r="B237" t="s">
        <v>75</v>
      </c>
      <c r="C237" t="s">
        <v>160</v>
      </c>
      <c r="D237" t="s">
        <v>15</v>
      </c>
      <c r="E237" t="s">
        <v>116</v>
      </c>
      <c r="F237">
        <v>990000</v>
      </c>
      <c r="G237">
        <v>9.9</v>
      </c>
      <c r="H237" t="s">
        <v>27</v>
      </c>
      <c r="I237" t="s">
        <v>845</v>
      </c>
      <c r="J237" s="8">
        <v>46152</v>
      </c>
      <c r="K237" t="s">
        <v>20</v>
      </c>
    </row>
    <row r="238" spans="1:11" x14ac:dyDescent="0.3">
      <c r="A238" t="s">
        <v>1088</v>
      </c>
      <c r="B238" t="s">
        <v>75</v>
      </c>
      <c r="C238" t="s">
        <v>160</v>
      </c>
      <c r="D238" t="s">
        <v>15</v>
      </c>
      <c r="E238" t="s">
        <v>116</v>
      </c>
      <c r="F238">
        <v>990000</v>
      </c>
      <c r="G238">
        <v>9.9</v>
      </c>
      <c r="H238" t="s">
        <v>27</v>
      </c>
      <c r="I238" t="s">
        <v>845</v>
      </c>
      <c r="J238" s="8">
        <v>46152</v>
      </c>
      <c r="K238" t="s">
        <v>45</v>
      </c>
    </row>
    <row r="239" spans="1:11" x14ac:dyDescent="0.3">
      <c r="A239" t="s">
        <v>1091</v>
      </c>
      <c r="B239" t="s">
        <v>13</v>
      </c>
      <c r="C239" t="s">
        <v>214</v>
      </c>
      <c r="D239" t="s">
        <v>51</v>
      </c>
      <c r="E239" t="s">
        <v>52</v>
      </c>
      <c r="F239">
        <v>640000</v>
      </c>
      <c r="G239">
        <v>6.4</v>
      </c>
      <c r="H239" t="s">
        <v>17</v>
      </c>
      <c r="I239" t="s">
        <v>28</v>
      </c>
      <c r="J239" s="8">
        <v>46092</v>
      </c>
      <c r="K239" t="s">
        <v>45</v>
      </c>
    </row>
    <row r="240" spans="1:11" x14ac:dyDescent="0.3">
      <c r="A240" t="s">
        <v>1091</v>
      </c>
      <c r="B240" t="s">
        <v>13</v>
      </c>
      <c r="C240" t="s">
        <v>214</v>
      </c>
      <c r="D240" t="s">
        <v>51</v>
      </c>
      <c r="E240" t="s">
        <v>52</v>
      </c>
      <c r="F240">
        <v>640000</v>
      </c>
      <c r="G240">
        <v>6.4</v>
      </c>
      <c r="H240" t="s">
        <v>17</v>
      </c>
      <c r="I240" t="s">
        <v>28</v>
      </c>
      <c r="J240" s="8">
        <v>46092</v>
      </c>
      <c r="K240" t="s">
        <v>846</v>
      </c>
    </row>
    <row r="241" spans="1:11" x14ac:dyDescent="0.3">
      <c r="A241" t="s">
        <v>1091</v>
      </c>
      <c r="B241" t="s">
        <v>13</v>
      </c>
      <c r="C241" t="s">
        <v>214</v>
      </c>
      <c r="D241" t="s">
        <v>51</v>
      </c>
      <c r="E241" t="s">
        <v>52</v>
      </c>
      <c r="F241">
        <v>640000</v>
      </c>
      <c r="G241">
        <v>6.4</v>
      </c>
      <c r="H241" t="s">
        <v>17</v>
      </c>
      <c r="I241" t="s">
        <v>28</v>
      </c>
      <c r="J241" s="8">
        <v>46092</v>
      </c>
      <c r="K241" t="s">
        <v>21</v>
      </c>
    </row>
    <row r="242" spans="1:11" x14ac:dyDescent="0.3">
      <c r="A242" t="s">
        <v>1094</v>
      </c>
      <c r="B242" t="s">
        <v>960</v>
      </c>
      <c r="C242" t="s">
        <v>93</v>
      </c>
      <c r="D242" t="s">
        <v>36</v>
      </c>
      <c r="E242" t="s">
        <v>52</v>
      </c>
      <c r="F242">
        <v>630000</v>
      </c>
      <c r="G242">
        <v>6.3</v>
      </c>
      <c r="H242" t="s">
        <v>27</v>
      </c>
      <c r="I242" t="s">
        <v>28</v>
      </c>
      <c r="J242" s="8">
        <v>46157</v>
      </c>
      <c r="K242" t="s">
        <v>39</v>
      </c>
    </row>
    <row r="243" spans="1:11" x14ac:dyDescent="0.3">
      <c r="A243" t="s">
        <v>1094</v>
      </c>
      <c r="B243" t="s">
        <v>960</v>
      </c>
      <c r="C243" t="s">
        <v>93</v>
      </c>
      <c r="D243" t="s">
        <v>36</v>
      </c>
      <c r="E243" t="s">
        <v>52</v>
      </c>
      <c r="F243">
        <v>630000</v>
      </c>
      <c r="G243">
        <v>6.3</v>
      </c>
      <c r="H243" t="s">
        <v>27</v>
      </c>
      <c r="I243" t="s">
        <v>28</v>
      </c>
      <c r="J243" s="8">
        <v>46157</v>
      </c>
      <c r="K243" t="s">
        <v>846</v>
      </c>
    </row>
    <row r="244" spans="1:11" x14ac:dyDescent="0.3">
      <c r="A244" t="s">
        <v>1094</v>
      </c>
      <c r="B244" t="s">
        <v>960</v>
      </c>
      <c r="C244" t="s">
        <v>93</v>
      </c>
      <c r="D244" t="s">
        <v>36</v>
      </c>
      <c r="E244" t="s">
        <v>52</v>
      </c>
      <c r="F244">
        <v>630000</v>
      </c>
      <c r="G244">
        <v>6.3</v>
      </c>
      <c r="H244" t="s">
        <v>27</v>
      </c>
      <c r="I244" t="s">
        <v>28</v>
      </c>
      <c r="J244" s="8">
        <v>46157</v>
      </c>
      <c r="K244" t="s">
        <v>29</v>
      </c>
    </row>
    <row r="245" spans="1:11" x14ac:dyDescent="0.3">
      <c r="A245" t="s">
        <v>1097</v>
      </c>
      <c r="B245" t="s">
        <v>852</v>
      </c>
      <c r="C245" t="s">
        <v>260</v>
      </c>
      <c r="D245" t="s">
        <v>64</v>
      </c>
      <c r="E245" t="s">
        <v>52</v>
      </c>
      <c r="F245">
        <v>410000</v>
      </c>
      <c r="G245">
        <v>4.0999999999999996</v>
      </c>
      <c r="H245" t="s">
        <v>27</v>
      </c>
      <c r="I245" t="s">
        <v>28</v>
      </c>
      <c r="J245" s="8">
        <v>46086</v>
      </c>
      <c r="K245" t="s">
        <v>854</v>
      </c>
    </row>
    <row r="246" spans="1:11" x14ac:dyDescent="0.3">
      <c r="A246" t="s">
        <v>1097</v>
      </c>
      <c r="B246" t="s">
        <v>852</v>
      </c>
      <c r="C246" t="s">
        <v>260</v>
      </c>
      <c r="D246" t="s">
        <v>64</v>
      </c>
      <c r="E246" t="s">
        <v>52</v>
      </c>
      <c r="F246">
        <v>410000</v>
      </c>
      <c r="G246">
        <v>4.0999999999999996</v>
      </c>
      <c r="H246" t="s">
        <v>27</v>
      </c>
      <c r="I246" t="s">
        <v>28</v>
      </c>
      <c r="J246" s="8">
        <v>46086</v>
      </c>
      <c r="K246" t="s">
        <v>39</v>
      </c>
    </row>
    <row r="247" spans="1:11" x14ac:dyDescent="0.3">
      <c r="A247" t="s">
        <v>1097</v>
      </c>
      <c r="B247" t="s">
        <v>852</v>
      </c>
      <c r="C247" t="s">
        <v>260</v>
      </c>
      <c r="D247" t="s">
        <v>64</v>
      </c>
      <c r="E247" t="s">
        <v>52</v>
      </c>
      <c r="F247">
        <v>410000</v>
      </c>
      <c r="G247">
        <v>4.0999999999999996</v>
      </c>
      <c r="H247" t="s">
        <v>27</v>
      </c>
      <c r="I247" t="s">
        <v>28</v>
      </c>
      <c r="J247" s="8">
        <v>46086</v>
      </c>
      <c r="K247" t="s">
        <v>29</v>
      </c>
    </row>
    <row r="248" spans="1:11" x14ac:dyDescent="0.3">
      <c r="A248" t="s">
        <v>1099</v>
      </c>
      <c r="B248" t="s">
        <v>864</v>
      </c>
      <c r="C248" t="s">
        <v>63</v>
      </c>
      <c r="D248" t="s">
        <v>36</v>
      </c>
      <c r="E248" t="s">
        <v>16</v>
      </c>
      <c r="F248">
        <v>830000</v>
      </c>
      <c r="G248">
        <v>8.3000000000000007</v>
      </c>
      <c r="H248" t="s">
        <v>27</v>
      </c>
      <c r="I248" t="s">
        <v>28</v>
      </c>
      <c r="J248" s="8">
        <v>46118</v>
      </c>
      <c r="K248" t="s">
        <v>45</v>
      </c>
    </row>
    <row r="249" spans="1:11" x14ac:dyDescent="0.3">
      <c r="A249" t="s">
        <v>1099</v>
      </c>
      <c r="B249" t="s">
        <v>864</v>
      </c>
      <c r="C249" t="s">
        <v>63</v>
      </c>
      <c r="D249" t="s">
        <v>36</v>
      </c>
      <c r="E249" t="s">
        <v>16</v>
      </c>
      <c r="F249">
        <v>830000</v>
      </c>
      <c r="G249">
        <v>8.3000000000000007</v>
      </c>
      <c r="H249" t="s">
        <v>27</v>
      </c>
      <c r="I249" t="s">
        <v>28</v>
      </c>
      <c r="J249" s="8">
        <v>46118</v>
      </c>
      <c r="K249" t="s">
        <v>29</v>
      </c>
    </row>
    <row r="250" spans="1:11" x14ac:dyDescent="0.3">
      <c r="A250" t="s">
        <v>1099</v>
      </c>
      <c r="B250" t="s">
        <v>864</v>
      </c>
      <c r="C250" t="s">
        <v>63</v>
      </c>
      <c r="D250" t="s">
        <v>36</v>
      </c>
      <c r="E250" t="s">
        <v>16</v>
      </c>
      <c r="F250">
        <v>830000</v>
      </c>
      <c r="G250">
        <v>8.3000000000000007</v>
      </c>
      <c r="H250" t="s">
        <v>27</v>
      </c>
      <c r="I250" t="s">
        <v>28</v>
      </c>
      <c r="J250" s="8">
        <v>46118</v>
      </c>
      <c r="K250" t="s">
        <v>908</v>
      </c>
    </row>
    <row r="251" spans="1:11" x14ac:dyDescent="0.3">
      <c r="A251" t="s">
        <v>1102</v>
      </c>
      <c r="B251" t="s">
        <v>62</v>
      </c>
      <c r="C251" t="s">
        <v>211</v>
      </c>
      <c r="D251" t="s">
        <v>96</v>
      </c>
      <c r="E251" t="s">
        <v>77</v>
      </c>
      <c r="F251">
        <v>2705000</v>
      </c>
      <c r="G251">
        <v>27.05</v>
      </c>
      <c r="H251" t="s">
        <v>17</v>
      </c>
      <c r="I251" t="s">
        <v>845</v>
      </c>
      <c r="J251" s="8">
        <v>46220</v>
      </c>
      <c r="K251" t="s">
        <v>31</v>
      </c>
    </row>
    <row r="252" spans="1:11" x14ac:dyDescent="0.3">
      <c r="A252" t="s">
        <v>1102</v>
      </c>
      <c r="B252" t="s">
        <v>62</v>
      </c>
      <c r="C252" t="s">
        <v>211</v>
      </c>
      <c r="D252" t="s">
        <v>96</v>
      </c>
      <c r="E252" t="s">
        <v>77</v>
      </c>
      <c r="F252">
        <v>2705000</v>
      </c>
      <c r="G252">
        <v>27.05</v>
      </c>
      <c r="H252" t="s">
        <v>17</v>
      </c>
      <c r="I252" t="s">
        <v>845</v>
      </c>
      <c r="J252" s="8">
        <v>46220</v>
      </c>
      <c r="K252" t="s">
        <v>29</v>
      </c>
    </row>
    <row r="253" spans="1:11" x14ac:dyDescent="0.3">
      <c r="A253" t="s">
        <v>1102</v>
      </c>
      <c r="B253" t="s">
        <v>62</v>
      </c>
      <c r="C253" t="s">
        <v>211</v>
      </c>
      <c r="D253" t="s">
        <v>96</v>
      </c>
      <c r="E253" t="s">
        <v>77</v>
      </c>
      <c r="F253">
        <v>2705000</v>
      </c>
      <c r="G253">
        <v>27.05</v>
      </c>
      <c r="H253" t="s">
        <v>17</v>
      </c>
      <c r="I253" t="s">
        <v>845</v>
      </c>
      <c r="J253" s="8">
        <v>46220</v>
      </c>
      <c r="K253" t="s">
        <v>854</v>
      </c>
    </row>
    <row r="254" spans="1:11" x14ac:dyDescent="0.3">
      <c r="A254" t="s">
        <v>1104</v>
      </c>
      <c r="B254" t="s">
        <v>996</v>
      </c>
      <c r="C254" t="s">
        <v>194</v>
      </c>
      <c r="D254" t="s">
        <v>36</v>
      </c>
      <c r="E254" t="s">
        <v>52</v>
      </c>
      <c r="F254">
        <v>490000</v>
      </c>
      <c r="G254">
        <v>4.9000000000000004</v>
      </c>
      <c r="H254" t="s">
        <v>17</v>
      </c>
      <c r="I254" t="s">
        <v>845</v>
      </c>
      <c r="J254" s="8">
        <v>46107</v>
      </c>
      <c r="K254" t="s">
        <v>854</v>
      </c>
    </row>
    <row r="255" spans="1:11" x14ac:dyDescent="0.3">
      <c r="A255" t="s">
        <v>1104</v>
      </c>
      <c r="B255" t="s">
        <v>996</v>
      </c>
      <c r="C255" t="s">
        <v>194</v>
      </c>
      <c r="D255" t="s">
        <v>36</v>
      </c>
      <c r="E255" t="s">
        <v>52</v>
      </c>
      <c r="F255">
        <v>490000</v>
      </c>
      <c r="G255">
        <v>4.9000000000000004</v>
      </c>
      <c r="H255" t="s">
        <v>17</v>
      </c>
      <c r="I255" t="s">
        <v>845</v>
      </c>
      <c r="J255" s="8">
        <v>46107</v>
      </c>
      <c r="K255" t="s">
        <v>39</v>
      </c>
    </row>
    <row r="256" spans="1:11" x14ac:dyDescent="0.3">
      <c r="A256" t="s">
        <v>1104</v>
      </c>
      <c r="B256" t="s">
        <v>996</v>
      </c>
      <c r="C256" t="s">
        <v>194</v>
      </c>
      <c r="D256" t="s">
        <v>36</v>
      </c>
      <c r="E256" t="s">
        <v>52</v>
      </c>
      <c r="F256">
        <v>490000</v>
      </c>
      <c r="G256">
        <v>4.9000000000000004</v>
      </c>
      <c r="H256" t="s">
        <v>17</v>
      </c>
      <c r="I256" t="s">
        <v>845</v>
      </c>
      <c r="J256" s="8">
        <v>46107</v>
      </c>
      <c r="K256" t="s">
        <v>54</v>
      </c>
    </row>
    <row r="257" spans="1:11" x14ac:dyDescent="0.3">
      <c r="A257" t="s">
        <v>1106</v>
      </c>
      <c r="B257" t="s">
        <v>75</v>
      </c>
      <c r="C257" t="s">
        <v>217</v>
      </c>
      <c r="D257" t="s">
        <v>71</v>
      </c>
      <c r="E257" t="s">
        <v>116</v>
      </c>
      <c r="F257">
        <v>905000</v>
      </c>
      <c r="G257">
        <v>9.0500000000000007</v>
      </c>
      <c r="H257" t="s">
        <v>27</v>
      </c>
      <c r="I257" t="s">
        <v>28</v>
      </c>
      <c r="J257" s="8">
        <v>46137</v>
      </c>
      <c r="K257" t="s">
        <v>21</v>
      </c>
    </row>
    <row r="258" spans="1:11" x14ac:dyDescent="0.3">
      <c r="A258" t="s">
        <v>1106</v>
      </c>
      <c r="B258" t="s">
        <v>75</v>
      </c>
      <c r="C258" t="s">
        <v>217</v>
      </c>
      <c r="D258" t="s">
        <v>71</v>
      </c>
      <c r="E258" t="s">
        <v>116</v>
      </c>
      <c r="F258">
        <v>905000</v>
      </c>
      <c r="G258">
        <v>9.0500000000000007</v>
      </c>
      <c r="H258" t="s">
        <v>27</v>
      </c>
      <c r="I258" t="s">
        <v>28</v>
      </c>
      <c r="J258" s="8">
        <v>46137</v>
      </c>
      <c r="K258" t="s">
        <v>846</v>
      </c>
    </row>
    <row r="259" spans="1:11" x14ac:dyDescent="0.3">
      <c r="A259" t="s">
        <v>1106</v>
      </c>
      <c r="B259" t="s">
        <v>75</v>
      </c>
      <c r="C259" t="s">
        <v>217</v>
      </c>
      <c r="D259" t="s">
        <v>71</v>
      </c>
      <c r="E259" t="s">
        <v>116</v>
      </c>
      <c r="F259">
        <v>905000</v>
      </c>
      <c r="G259">
        <v>9.0500000000000007</v>
      </c>
      <c r="H259" t="s">
        <v>27</v>
      </c>
      <c r="I259" t="s">
        <v>28</v>
      </c>
      <c r="J259" s="8">
        <v>46137</v>
      </c>
      <c r="K259" t="s">
        <v>45</v>
      </c>
    </row>
    <row r="260" spans="1:11" x14ac:dyDescent="0.3">
      <c r="A260" t="s">
        <v>1109</v>
      </c>
      <c r="B260" t="s">
        <v>62</v>
      </c>
      <c r="C260" t="s">
        <v>268</v>
      </c>
      <c r="D260" t="s">
        <v>64</v>
      </c>
      <c r="E260" t="s">
        <v>37</v>
      </c>
      <c r="F260">
        <v>1945000</v>
      </c>
      <c r="G260">
        <v>19.45</v>
      </c>
      <c r="H260" t="s">
        <v>17</v>
      </c>
      <c r="I260" t="s">
        <v>28</v>
      </c>
      <c r="J260" s="8">
        <v>46233</v>
      </c>
      <c r="K260" t="s">
        <v>46</v>
      </c>
    </row>
    <row r="261" spans="1:11" x14ac:dyDescent="0.3">
      <c r="A261" t="s">
        <v>1109</v>
      </c>
      <c r="B261" t="s">
        <v>62</v>
      </c>
      <c r="C261" t="s">
        <v>268</v>
      </c>
      <c r="D261" t="s">
        <v>64</v>
      </c>
      <c r="E261" t="s">
        <v>37</v>
      </c>
      <c r="F261">
        <v>1945000</v>
      </c>
      <c r="G261">
        <v>19.45</v>
      </c>
      <c r="H261" t="s">
        <v>17</v>
      </c>
      <c r="I261" t="s">
        <v>28</v>
      </c>
      <c r="J261" s="8">
        <v>46233</v>
      </c>
      <c r="K261" t="s">
        <v>21</v>
      </c>
    </row>
    <row r="262" spans="1:11" x14ac:dyDescent="0.3">
      <c r="A262" t="s">
        <v>1109</v>
      </c>
      <c r="B262" t="s">
        <v>62</v>
      </c>
      <c r="C262" t="s">
        <v>268</v>
      </c>
      <c r="D262" t="s">
        <v>64</v>
      </c>
      <c r="E262" t="s">
        <v>37</v>
      </c>
      <c r="F262">
        <v>1945000</v>
      </c>
      <c r="G262">
        <v>19.45</v>
      </c>
      <c r="H262" t="s">
        <v>17</v>
      </c>
      <c r="I262" t="s">
        <v>28</v>
      </c>
      <c r="J262" s="8">
        <v>46233</v>
      </c>
      <c r="K262" t="s">
        <v>854</v>
      </c>
    </row>
    <row r="263" spans="1:11" x14ac:dyDescent="0.3">
      <c r="A263" t="s">
        <v>1112</v>
      </c>
      <c r="B263" t="s">
        <v>852</v>
      </c>
      <c r="C263" t="s">
        <v>271</v>
      </c>
      <c r="D263" t="s">
        <v>36</v>
      </c>
      <c r="E263" t="s">
        <v>52</v>
      </c>
      <c r="F263">
        <v>665000</v>
      </c>
      <c r="G263">
        <v>6.65</v>
      </c>
      <c r="H263" t="s">
        <v>27</v>
      </c>
      <c r="I263" t="s">
        <v>28</v>
      </c>
      <c r="J263" s="8">
        <v>46169</v>
      </c>
      <c r="K263" t="s">
        <v>21</v>
      </c>
    </row>
    <row r="264" spans="1:11" x14ac:dyDescent="0.3">
      <c r="A264" t="s">
        <v>1112</v>
      </c>
      <c r="B264" t="s">
        <v>852</v>
      </c>
      <c r="C264" t="s">
        <v>271</v>
      </c>
      <c r="D264" t="s">
        <v>36</v>
      </c>
      <c r="E264" t="s">
        <v>52</v>
      </c>
      <c r="F264">
        <v>665000</v>
      </c>
      <c r="G264">
        <v>6.65</v>
      </c>
      <c r="H264" t="s">
        <v>27</v>
      </c>
      <c r="I264" t="s">
        <v>28</v>
      </c>
      <c r="J264" s="8">
        <v>46169</v>
      </c>
      <c r="K264" t="s">
        <v>908</v>
      </c>
    </row>
    <row r="265" spans="1:11" x14ac:dyDescent="0.3">
      <c r="A265" t="s">
        <v>1112</v>
      </c>
      <c r="B265" t="s">
        <v>852</v>
      </c>
      <c r="C265" t="s">
        <v>271</v>
      </c>
      <c r="D265" t="s">
        <v>36</v>
      </c>
      <c r="E265" t="s">
        <v>52</v>
      </c>
      <c r="F265">
        <v>665000</v>
      </c>
      <c r="G265">
        <v>6.65</v>
      </c>
      <c r="H265" t="s">
        <v>27</v>
      </c>
      <c r="I265" t="s">
        <v>28</v>
      </c>
      <c r="J265" s="8">
        <v>46169</v>
      </c>
      <c r="K265" t="s">
        <v>29</v>
      </c>
    </row>
    <row r="266" spans="1:11" x14ac:dyDescent="0.3">
      <c r="A266" t="s">
        <v>1114</v>
      </c>
      <c r="B266" t="s">
        <v>75</v>
      </c>
      <c r="C266" t="s">
        <v>268</v>
      </c>
      <c r="D266" t="s">
        <v>81</v>
      </c>
      <c r="E266" t="s">
        <v>16</v>
      </c>
      <c r="F266">
        <v>525000</v>
      </c>
      <c r="G266">
        <v>5.25</v>
      </c>
      <c r="H266" t="s">
        <v>27</v>
      </c>
      <c r="I266" t="s">
        <v>28</v>
      </c>
      <c r="J266" s="8">
        <v>46257</v>
      </c>
      <c r="K266" t="s">
        <v>31</v>
      </c>
    </row>
    <row r="267" spans="1:11" x14ac:dyDescent="0.3">
      <c r="A267" t="s">
        <v>1114</v>
      </c>
      <c r="B267" t="s">
        <v>75</v>
      </c>
      <c r="C267" t="s">
        <v>268</v>
      </c>
      <c r="D267" t="s">
        <v>81</v>
      </c>
      <c r="E267" t="s">
        <v>16</v>
      </c>
      <c r="F267">
        <v>525000</v>
      </c>
      <c r="G267">
        <v>5.25</v>
      </c>
      <c r="H267" t="s">
        <v>27</v>
      </c>
      <c r="I267" t="s">
        <v>28</v>
      </c>
      <c r="J267" s="8">
        <v>46257</v>
      </c>
      <c r="K267" t="s">
        <v>54</v>
      </c>
    </row>
    <row r="268" spans="1:11" x14ac:dyDescent="0.3">
      <c r="A268" t="s">
        <v>1114</v>
      </c>
      <c r="B268" t="s">
        <v>75</v>
      </c>
      <c r="C268" t="s">
        <v>268</v>
      </c>
      <c r="D268" t="s">
        <v>81</v>
      </c>
      <c r="E268" t="s">
        <v>16</v>
      </c>
      <c r="F268">
        <v>525000</v>
      </c>
      <c r="G268">
        <v>5.25</v>
      </c>
      <c r="H268" t="s">
        <v>27</v>
      </c>
      <c r="I268" t="s">
        <v>28</v>
      </c>
      <c r="J268" s="8">
        <v>46257</v>
      </c>
      <c r="K268" t="s">
        <v>39</v>
      </c>
    </row>
    <row r="269" spans="1:11" x14ac:dyDescent="0.3">
      <c r="A269" t="s">
        <v>1116</v>
      </c>
      <c r="B269" t="s">
        <v>62</v>
      </c>
      <c r="C269" t="s">
        <v>857</v>
      </c>
      <c r="D269" t="s">
        <v>36</v>
      </c>
      <c r="E269" t="s">
        <v>52</v>
      </c>
      <c r="F269">
        <v>380000</v>
      </c>
      <c r="G269">
        <v>3.8</v>
      </c>
      <c r="H269" t="s">
        <v>53</v>
      </c>
      <c r="I269" t="s">
        <v>845</v>
      </c>
      <c r="J269" s="8">
        <v>46251</v>
      </c>
      <c r="K269" t="s">
        <v>908</v>
      </c>
    </row>
    <row r="270" spans="1:11" x14ac:dyDescent="0.3">
      <c r="A270" t="s">
        <v>1116</v>
      </c>
      <c r="B270" t="s">
        <v>62</v>
      </c>
      <c r="C270" t="s">
        <v>857</v>
      </c>
      <c r="D270" t="s">
        <v>36</v>
      </c>
      <c r="E270" t="s">
        <v>52</v>
      </c>
      <c r="F270">
        <v>380000</v>
      </c>
      <c r="G270">
        <v>3.8</v>
      </c>
      <c r="H270" t="s">
        <v>53</v>
      </c>
      <c r="I270" t="s">
        <v>845</v>
      </c>
      <c r="J270" s="8">
        <v>46251</v>
      </c>
      <c r="K270" t="s">
        <v>874</v>
      </c>
    </row>
    <row r="271" spans="1:11" x14ac:dyDescent="0.3">
      <c r="A271" t="s">
        <v>1116</v>
      </c>
      <c r="B271" t="s">
        <v>62</v>
      </c>
      <c r="C271" t="s">
        <v>857</v>
      </c>
      <c r="D271" t="s">
        <v>36</v>
      </c>
      <c r="E271" t="s">
        <v>52</v>
      </c>
      <c r="F271">
        <v>380000</v>
      </c>
      <c r="G271">
        <v>3.8</v>
      </c>
      <c r="H271" t="s">
        <v>53</v>
      </c>
      <c r="I271" t="s">
        <v>845</v>
      </c>
      <c r="J271" s="8">
        <v>46251</v>
      </c>
      <c r="K271" t="s">
        <v>45</v>
      </c>
    </row>
    <row r="272" spans="1:11" x14ac:dyDescent="0.3">
      <c r="A272" t="s">
        <v>1119</v>
      </c>
      <c r="B272" t="s">
        <v>62</v>
      </c>
      <c r="C272" t="s">
        <v>277</v>
      </c>
      <c r="D272" t="s">
        <v>81</v>
      </c>
      <c r="E272" t="s">
        <v>37</v>
      </c>
      <c r="F272">
        <v>1145000</v>
      </c>
      <c r="G272">
        <v>11.45</v>
      </c>
      <c r="H272" t="s">
        <v>27</v>
      </c>
      <c r="I272" t="s">
        <v>59</v>
      </c>
      <c r="J272" s="8">
        <v>46253</v>
      </c>
      <c r="K272" t="s">
        <v>854</v>
      </c>
    </row>
    <row r="273" spans="1:11" x14ac:dyDescent="0.3">
      <c r="A273" t="s">
        <v>1119</v>
      </c>
      <c r="B273" t="s">
        <v>62</v>
      </c>
      <c r="C273" t="s">
        <v>277</v>
      </c>
      <c r="D273" t="s">
        <v>81</v>
      </c>
      <c r="E273" t="s">
        <v>37</v>
      </c>
      <c r="F273">
        <v>1145000</v>
      </c>
      <c r="G273">
        <v>11.45</v>
      </c>
      <c r="H273" t="s">
        <v>27</v>
      </c>
      <c r="I273" t="s">
        <v>59</v>
      </c>
      <c r="J273" s="8">
        <v>46253</v>
      </c>
      <c r="K273" t="s">
        <v>20</v>
      </c>
    </row>
    <row r="274" spans="1:11" x14ac:dyDescent="0.3">
      <c r="A274" t="s">
        <v>1119</v>
      </c>
      <c r="B274" t="s">
        <v>62</v>
      </c>
      <c r="C274" t="s">
        <v>277</v>
      </c>
      <c r="D274" t="s">
        <v>81</v>
      </c>
      <c r="E274" t="s">
        <v>37</v>
      </c>
      <c r="F274">
        <v>1145000</v>
      </c>
      <c r="G274">
        <v>11.45</v>
      </c>
      <c r="H274" t="s">
        <v>27</v>
      </c>
      <c r="I274" t="s">
        <v>59</v>
      </c>
      <c r="J274" s="8">
        <v>46253</v>
      </c>
      <c r="K274" t="s">
        <v>908</v>
      </c>
    </row>
    <row r="275" spans="1:11" x14ac:dyDescent="0.3">
      <c r="A275" t="s">
        <v>1120</v>
      </c>
      <c r="B275" t="s">
        <v>852</v>
      </c>
      <c r="C275" t="s">
        <v>130</v>
      </c>
      <c r="D275" t="s">
        <v>15</v>
      </c>
      <c r="E275" t="s">
        <v>116</v>
      </c>
      <c r="F275">
        <v>1020000</v>
      </c>
      <c r="G275">
        <v>10.199999999999999</v>
      </c>
      <c r="H275" t="s">
        <v>27</v>
      </c>
      <c r="I275" t="s">
        <v>28</v>
      </c>
      <c r="J275" s="8">
        <v>46254</v>
      </c>
      <c r="K275" t="s">
        <v>854</v>
      </c>
    </row>
    <row r="276" spans="1:11" x14ac:dyDescent="0.3">
      <c r="A276" t="s">
        <v>1120</v>
      </c>
      <c r="B276" t="s">
        <v>852</v>
      </c>
      <c r="C276" t="s">
        <v>130</v>
      </c>
      <c r="D276" t="s">
        <v>15</v>
      </c>
      <c r="E276" t="s">
        <v>116</v>
      </c>
      <c r="F276">
        <v>1020000</v>
      </c>
      <c r="G276">
        <v>10.199999999999999</v>
      </c>
      <c r="H276" t="s">
        <v>27</v>
      </c>
      <c r="I276" t="s">
        <v>28</v>
      </c>
      <c r="J276" s="8">
        <v>46254</v>
      </c>
      <c r="K276" t="s">
        <v>39</v>
      </c>
    </row>
    <row r="277" spans="1:11" x14ac:dyDescent="0.3">
      <c r="A277" t="s">
        <v>1120</v>
      </c>
      <c r="B277" t="s">
        <v>852</v>
      </c>
      <c r="C277" t="s">
        <v>130</v>
      </c>
      <c r="D277" t="s">
        <v>15</v>
      </c>
      <c r="E277" t="s">
        <v>116</v>
      </c>
      <c r="F277">
        <v>1020000</v>
      </c>
      <c r="G277">
        <v>10.199999999999999</v>
      </c>
      <c r="H277" t="s">
        <v>27</v>
      </c>
      <c r="I277" t="s">
        <v>28</v>
      </c>
      <c r="J277" s="8">
        <v>46254</v>
      </c>
      <c r="K277" t="s">
        <v>46</v>
      </c>
    </row>
    <row r="278" spans="1:11" x14ac:dyDescent="0.3">
      <c r="A278" t="s">
        <v>1123</v>
      </c>
      <c r="B278" t="s">
        <v>13</v>
      </c>
      <c r="C278" t="s">
        <v>281</v>
      </c>
      <c r="D278" t="s">
        <v>76</v>
      </c>
      <c r="E278" t="s">
        <v>16</v>
      </c>
      <c r="F278">
        <v>650000</v>
      </c>
      <c r="G278">
        <v>6.5</v>
      </c>
      <c r="H278" t="s">
        <v>27</v>
      </c>
      <c r="I278" t="s">
        <v>845</v>
      </c>
      <c r="J278" s="8">
        <v>46220</v>
      </c>
      <c r="K278" t="s">
        <v>31</v>
      </c>
    </row>
    <row r="279" spans="1:11" x14ac:dyDescent="0.3">
      <c r="A279" t="s">
        <v>1123</v>
      </c>
      <c r="B279" t="s">
        <v>13</v>
      </c>
      <c r="C279" t="s">
        <v>281</v>
      </c>
      <c r="D279" t="s">
        <v>76</v>
      </c>
      <c r="E279" t="s">
        <v>16</v>
      </c>
      <c r="F279">
        <v>650000</v>
      </c>
      <c r="G279">
        <v>6.5</v>
      </c>
      <c r="H279" t="s">
        <v>27</v>
      </c>
      <c r="I279" t="s">
        <v>845</v>
      </c>
      <c r="J279" s="8">
        <v>46220</v>
      </c>
      <c r="K279" t="s">
        <v>54</v>
      </c>
    </row>
    <row r="280" spans="1:11" x14ac:dyDescent="0.3">
      <c r="A280" t="s">
        <v>1123</v>
      </c>
      <c r="B280" t="s">
        <v>13</v>
      </c>
      <c r="C280" t="s">
        <v>281</v>
      </c>
      <c r="D280" t="s">
        <v>76</v>
      </c>
      <c r="E280" t="s">
        <v>16</v>
      </c>
      <c r="F280">
        <v>650000</v>
      </c>
      <c r="G280">
        <v>6.5</v>
      </c>
      <c r="H280" t="s">
        <v>27</v>
      </c>
      <c r="I280" t="s">
        <v>845</v>
      </c>
      <c r="J280" s="8">
        <v>46220</v>
      </c>
      <c r="K280" t="s">
        <v>30</v>
      </c>
    </row>
    <row r="281" spans="1:11" x14ac:dyDescent="0.3">
      <c r="A281" t="s">
        <v>1124</v>
      </c>
      <c r="B281" t="s">
        <v>75</v>
      </c>
      <c r="C281" t="s">
        <v>283</v>
      </c>
      <c r="D281" t="s">
        <v>44</v>
      </c>
      <c r="E281" t="s">
        <v>16</v>
      </c>
      <c r="F281">
        <v>1035000</v>
      </c>
      <c r="G281">
        <v>10.35</v>
      </c>
      <c r="H281" t="s">
        <v>27</v>
      </c>
      <c r="I281" t="s">
        <v>845</v>
      </c>
      <c r="J281" s="8">
        <v>46025</v>
      </c>
      <c r="K281" t="s">
        <v>45</v>
      </c>
    </row>
    <row r="282" spans="1:11" x14ac:dyDescent="0.3">
      <c r="A282" t="s">
        <v>1124</v>
      </c>
      <c r="B282" t="s">
        <v>75</v>
      </c>
      <c r="C282" t="s">
        <v>283</v>
      </c>
      <c r="D282" t="s">
        <v>44</v>
      </c>
      <c r="E282" t="s">
        <v>16</v>
      </c>
      <c r="F282">
        <v>1035000</v>
      </c>
      <c r="G282">
        <v>10.35</v>
      </c>
      <c r="H282" t="s">
        <v>27</v>
      </c>
      <c r="I282" t="s">
        <v>845</v>
      </c>
      <c r="J282" s="8">
        <v>46025</v>
      </c>
      <c r="K282" t="s">
        <v>878</v>
      </c>
    </row>
    <row r="283" spans="1:11" x14ac:dyDescent="0.3">
      <c r="A283" t="s">
        <v>1124</v>
      </c>
      <c r="B283" t="s">
        <v>75</v>
      </c>
      <c r="C283" t="s">
        <v>283</v>
      </c>
      <c r="D283" t="s">
        <v>44</v>
      </c>
      <c r="E283" t="s">
        <v>16</v>
      </c>
      <c r="F283">
        <v>1035000</v>
      </c>
      <c r="G283">
        <v>10.35</v>
      </c>
      <c r="H283" t="s">
        <v>27</v>
      </c>
      <c r="I283" t="s">
        <v>845</v>
      </c>
      <c r="J283" s="8">
        <v>46025</v>
      </c>
      <c r="K283" t="s">
        <v>31</v>
      </c>
    </row>
    <row r="284" spans="1:11" x14ac:dyDescent="0.3">
      <c r="A284" t="s">
        <v>1126</v>
      </c>
      <c r="B284" t="s">
        <v>49</v>
      </c>
      <c r="C284" t="s">
        <v>1127</v>
      </c>
      <c r="D284" t="s">
        <v>81</v>
      </c>
      <c r="E284" t="s">
        <v>77</v>
      </c>
      <c r="F284">
        <v>2435000</v>
      </c>
      <c r="G284">
        <v>24.35</v>
      </c>
      <c r="H284" t="s">
        <v>17</v>
      </c>
      <c r="I284" t="s">
        <v>28</v>
      </c>
      <c r="J284" s="8">
        <v>46221</v>
      </c>
      <c r="K284" t="s">
        <v>846</v>
      </c>
    </row>
    <row r="285" spans="1:11" x14ac:dyDescent="0.3">
      <c r="A285" t="s">
        <v>1126</v>
      </c>
      <c r="B285" t="s">
        <v>49</v>
      </c>
      <c r="C285" t="s">
        <v>1127</v>
      </c>
      <c r="D285" t="s">
        <v>81</v>
      </c>
      <c r="E285" t="s">
        <v>77</v>
      </c>
      <c r="F285">
        <v>2435000</v>
      </c>
      <c r="G285">
        <v>24.35</v>
      </c>
      <c r="H285" t="s">
        <v>17</v>
      </c>
      <c r="I285" t="s">
        <v>28</v>
      </c>
      <c r="J285" s="8">
        <v>46221</v>
      </c>
      <c r="K285" t="s">
        <v>874</v>
      </c>
    </row>
    <row r="286" spans="1:11" x14ac:dyDescent="0.3">
      <c r="A286" t="s">
        <v>1126</v>
      </c>
      <c r="B286" t="s">
        <v>49</v>
      </c>
      <c r="C286" t="s">
        <v>1127</v>
      </c>
      <c r="D286" t="s">
        <v>81</v>
      </c>
      <c r="E286" t="s">
        <v>77</v>
      </c>
      <c r="F286">
        <v>2435000</v>
      </c>
      <c r="G286">
        <v>24.35</v>
      </c>
      <c r="H286" t="s">
        <v>17</v>
      </c>
      <c r="I286" t="s">
        <v>28</v>
      </c>
      <c r="J286" s="8">
        <v>46221</v>
      </c>
      <c r="K286" t="s">
        <v>878</v>
      </c>
    </row>
    <row r="287" spans="1:11" x14ac:dyDescent="0.3">
      <c r="A287" t="s">
        <v>1129</v>
      </c>
      <c r="B287" t="s">
        <v>75</v>
      </c>
      <c r="C287" t="s">
        <v>288</v>
      </c>
      <c r="D287" t="s">
        <v>36</v>
      </c>
      <c r="E287" t="s">
        <v>116</v>
      </c>
      <c r="F287">
        <v>1355000</v>
      </c>
      <c r="G287">
        <v>13.55</v>
      </c>
      <c r="H287" t="s">
        <v>27</v>
      </c>
      <c r="I287" t="s">
        <v>845</v>
      </c>
      <c r="J287" s="8">
        <v>46027</v>
      </c>
      <c r="K287" t="s">
        <v>30</v>
      </c>
    </row>
    <row r="288" spans="1:11" x14ac:dyDescent="0.3">
      <c r="A288" t="s">
        <v>1129</v>
      </c>
      <c r="B288" t="s">
        <v>75</v>
      </c>
      <c r="C288" t="s">
        <v>288</v>
      </c>
      <c r="D288" t="s">
        <v>36</v>
      </c>
      <c r="E288" t="s">
        <v>116</v>
      </c>
      <c r="F288">
        <v>1355000</v>
      </c>
      <c r="G288">
        <v>13.55</v>
      </c>
      <c r="H288" t="s">
        <v>27</v>
      </c>
      <c r="I288" t="s">
        <v>845</v>
      </c>
      <c r="J288" s="8">
        <v>46027</v>
      </c>
      <c r="K288" t="s">
        <v>39</v>
      </c>
    </row>
    <row r="289" spans="1:11" x14ac:dyDescent="0.3">
      <c r="A289" t="s">
        <v>1129</v>
      </c>
      <c r="B289" t="s">
        <v>75</v>
      </c>
      <c r="C289" t="s">
        <v>288</v>
      </c>
      <c r="D289" t="s">
        <v>36</v>
      </c>
      <c r="E289" t="s">
        <v>116</v>
      </c>
      <c r="F289">
        <v>1355000</v>
      </c>
      <c r="G289">
        <v>13.55</v>
      </c>
      <c r="H289" t="s">
        <v>27</v>
      </c>
      <c r="I289" t="s">
        <v>845</v>
      </c>
      <c r="J289" s="8">
        <v>46027</v>
      </c>
      <c r="K289" t="s">
        <v>846</v>
      </c>
    </row>
    <row r="290" spans="1:11" x14ac:dyDescent="0.3">
      <c r="A290" t="s">
        <v>1132</v>
      </c>
      <c r="B290" t="s">
        <v>864</v>
      </c>
      <c r="C290" t="s">
        <v>214</v>
      </c>
      <c r="D290" t="s">
        <v>44</v>
      </c>
      <c r="E290" t="s">
        <v>16</v>
      </c>
      <c r="F290">
        <v>885000</v>
      </c>
      <c r="G290">
        <v>8.85</v>
      </c>
      <c r="H290" t="s">
        <v>17</v>
      </c>
      <c r="I290" t="s">
        <v>28</v>
      </c>
      <c r="J290" s="8">
        <v>46120</v>
      </c>
      <c r="K290" t="s">
        <v>937</v>
      </c>
    </row>
    <row r="291" spans="1:11" x14ac:dyDescent="0.3">
      <c r="A291" t="s">
        <v>1132</v>
      </c>
      <c r="B291" t="s">
        <v>864</v>
      </c>
      <c r="C291" t="s">
        <v>214</v>
      </c>
      <c r="D291" t="s">
        <v>44</v>
      </c>
      <c r="E291" t="s">
        <v>16</v>
      </c>
      <c r="F291">
        <v>885000</v>
      </c>
      <c r="G291">
        <v>8.85</v>
      </c>
      <c r="H291" t="s">
        <v>17</v>
      </c>
      <c r="I291" t="s">
        <v>28</v>
      </c>
      <c r="J291" s="8">
        <v>46120</v>
      </c>
      <c r="K291" t="s">
        <v>30</v>
      </c>
    </row>
    <row r="292" spans="1:11" x14ac:dyDescent="0.3">
      <c r="A292" t="s">
        <v>1132</v>
      </c>
      <c r="B292" t="s">
        <v>864</v>
      </c>
      <c r="C292" t="s">
        <v>214</v>
      </c>
      <c r="D292" t="s">
        <v>44</v>
      </c>
      <c r="E292" t="s">
        <v>16</v>
      </c>
      <c r="F292">
        <v>885000</v>
      </c>
      <c r="G292">
        <v>8.85</v>
      </c>
      <c r="H292" t="s">
        <v>17</v>
      </c>
      <c r="I292" t="s">
        <v>28</v>
      </c>
      <c r="J292" s="8">
        <v>46120</v>
      </c>
      <c r="K292" t="s">
        <v>21</v>
      </c>
    </row>
    <row r="293" spans="1:11" x14ac:dyDescent="0.3">
      <c r="A293" t="s">
        <v>1135</v>
      </c>
      <c r="B293" t="s">
        <v>852</v>
      </c>
      <c r="C293" t="s">
        <v>130</v>
      </c>
      <c r="D293" t="s">
        <v>96</v>
      </c>
      <c r="E293" t="s">
        <v>77</v>
      </c>
      <c r="F293">
        <v>2995000</v>
      </c>
      <c r="G293">
        <v>29.95</v>
      </c>
      <c r="H293" t="s">
        <v>27</v>
      </c>
      <c r="I293" t="s">
        <v>845</v>
      </c>
      <c r="J293" s="8">
        <v>46071</v>
      </c>
      <c r="K293" t="s">
        <v>29</v>
      </c>
    </row>
    <row r="294" spans="1:11" x14ac:dyDescent="0.3">
      <c r="A294" t="s">
        <v>1135</v>
      </c>
      <c r="B294" t="s">
        <v>852</v>
      </c>
      <c r="C294" t="s">
        <v>130</v>
      </c>
      <c r="D294" t="s">
        <v>96</v>
      </c>
      <c r="E294" t="s">
        <v>77</v>
      </c>
      <c r="F294">
        <v>2995000</v>
      </c>
      <c r="G294">
        <v>29.95</v>
      </c>
      <c r="H294" t="s">
        <v>27</v>
      </c>
      <c r="I294" t="s">
        <v>845</v>
      </c>
      <c r="J294" s="8">
        <v>46071</v>
      </c>
      <c r="K294" t="s">
        <v>46</v>
      </c>
    </row>
    <row r="295" spans="1:11" x14ac:dyDescent="0.3">
      <c r="A295" t="s">
        <v>1135</v>
      </c>
      <c r="B295" t="s">
        <v>852</v>
      </c>
      <c r="C295" t="s">
        <v>130</v>
      </c>
      <c r="D295" t="s">
        <v>96</v>
      </c>
      <c r="E295" t="s">
        <v>77</v>
      </c>
      <c r="F295">
        <v>2995000</v>
      </c>
      <c r="G295">
        <v>29.95</v>
      </c>
      <c r="H295" t="s">
        <v>27</v>
      </c>
      <c r="I295" t="s">
        <v>845</v>
      </c>
      <c r="J295" s="8">
        <v>46071</v>
      </c>
      <c r="K295" t="s">
        <v>908</v>
      </c>
    </row>
    <row r="296" spans="1:11" x14ac:dyDescent="0.3">
      <c r="A296" t="s">
        <v>1138</v>
      </c>
      <c r="B296" t="s">
        <v>960</v>
      </c>
      <c r="C296" t="s">
        <v>295</v>
      </c>
      <c r="D296" t="s">
        <v>15</v>
      </c>
      <c r="E296" t="s">
        <v>77</v>
      </c>
      <c r="F296">
        <v>2035000</v>
      </c>
      <c r="G296">
        <v>20.350000000000001</v>
      </c>
      <c r="H296" t="s">
        <v>27</v>
      </c>
      <c r="I296" t="s">
        <v>28</v>
      </c>
      <c r="J296" s="8">
        <v>46137</v>
      </c>
      <c r="K296" t="s">
        <v>846</v>
      </c>
    </row>
    <row r="297" spans="1:11" x14ac:dyDescent="0.3">
      <c r="A297" t="s">
        <v>1138</v>
      </c>
      <c r="B297" t="s">
        <v>960</v>
      </c>
      <c r="C297" t="s">
        <v>295</v>
      </c>
      <c r="D297" t="s">
        <v>15</v>
      </c>
      <c r="E297" t="s">
        <v>77</v>
      </c>
      <c r="F297">
        <v>2035000</v>
      </c>
      <c r="G297">
        <v>20.350000000000001</v>
      </c>
      <c r="H297" t="s">
        <v>27</v>
      </c>
      <c r="I297" t="s">
        <v>28</v>
      </c>
      <c r="J297" s="8">
        <v>46137</v>
      </c>
      <c r="K297" t="s">
        <v>46</v>
      </c>
    </row>
    <row r="298" spans="1:11" x14ac:dyDescent="0.3">
      <c r="A298" t="s">
        <v>1138</v>
      </c>
      <c r="B298" t="s">
        <v>960</v>
      </c>
      <c r="C298" t="s">
        <v>295</v>
      </c>
      <c r="D298" t="s">
        <v>15</v>
      </c>
      <c r="E298" t="s">
        <v>77</v>
      </c>
      <c r="F298">
        <v>2035000</v>
      </c>
      <c r="G298">
        <v>20.350000000000001</v>
      </c>
      <c r="H298" t="s">
        <v>27</v>
      </c>
      <c r="I298" t="s">
        <v>28</v>
      </c>
      <c r="J298" s="8">
        <v>46137</v>
      </c>
      <c r="K298" t="s">
        <v>45</v>
      </c>
    </row>
    <row r="299" spans="1:11" x14ac:dyDescent="0.3">
      <c r="A299" t="s">
        <v>1140</v>
      </c>
      <c r="B299" t="s">
        <v>864</v>
      </c>
      <c r="C299" t="s">
        <v>237</v>
      </c>
      <c r="D299" t="s">
        <v>71</v>
      </c>
      <c r="E299" t="s">
        <v>37</v>
      </c>
      <c r="F299">
        <v>1905000</v>
      </c>
      <c r="G299">
        <v>19.05</v>
      </c>
      <c r="H299" t="s">
        <v>27</v>
      </c>
      <c r="I299" t="s">
        <v>845</v>
      </c>
      <c r="J299" s="8">
        <v>46082</v>
      </c>
      <c r="K299" t="s">
        <v>878</v>
      </c>
    </row>
    <row r="300" spans="1:11" x14ac:dyDescent="0.3">
      <c r="A300" t="s">
        <v>1140</v>
      </c>
      <c r="B300" t="s">
        <v>864</v>
      </c>
      <c r="C300" t="s">
        <v>237</v>
      </c>
      <c r="D300" t="s">
        <v>71</v>
      </c>
      <c r="E300" t="s">
        <v>37</v>
      </c>
      <c r="F300">
        <v>1905000</v>
      </c>
      <c r="G300">
        <v>19.05</v>
      </c>
      <c r="H300" t="s">
        <v>27</v>
      </c>
      <c r="I300" t="s">
        <v>845</v>
      </c>
      <c r="J300" s="8">
        <v>46082</v>
      </c>
      <c r="K300" t="s">
        <v>29</v>
      </c>
    </row>
    <row r="301" spans="1:11" x14ac:dyDescent="0.3">
      <c r="A301" t="s">
        <v>1140</v>
      </c>
      <c r="B301" t="s">
        <v>864</v>
      </c>
      <c r="C301" t="s">
        <v>237</v>
      </c>
      <c r="D301" t="s">
        <v>71</v>
      </c>
      <c r="E301" t="s">
        <v>37</v>
      </c>
      <c r="F301">
        <v>1905000</v>
      </c>
      <c r="G301">
        <v>19.05</v>
      </c>
      <c r="H301" t="s">
        <v>27</v>
      </c>
      <c r="I301" t="s">
        <v>845</v>
      </c>
      <c r="J301" s="8">
        <v>46082</v>
      </c>
      <c r="K301" t="s">
        <v>21</v>
      </c>
    </row>
    <row r="302" spans="1:11" x14ac:dyDescent="0.3">
      <c r="A302" t="s">
        <v>1143</v>
      </c>
      <c r="B302" t="s">
        <v>960</v>
      </c>
      <c r="C302" t="s">
        <v>194</v>
      </c>
      <c r="D302" t="s">
        <v>64</v>
      </c>
      <c r="E302" t="s">
        <v>37</v>
      </c>
      <c r="F302">
        <v>2075000</v>
      </c>
      <c r="G302">
        <v>20.75</v>
      </c>
      <c r="H302" t="s">
        <v>27</v>
      </c>
      <c r="I302" t="s">
        <v>28</v>
      </c>
      <c r="J302" s="8">
        <v>46147</v>
      </c>
      <c r="K302" t="s">
        <v>45</v>
      </c>
    </row>
    <row r="303" spans="1:11" x14ac:dyDescent="0.3">
      <c r="A303" t="s">
        <v>1143</v>
      </c>
      <c r="B303" t="s">
        <v>960</v>
      </c>
      <c r="C303" t="s">
        <v>194</v>
      </c>
      <c r="D303" t="s">
        <v>64</v>
      </c>
      <c r="E303" t="s">
        <v>37</v>
      </c>
      <c r="F303">
        <v>2075000</v>
      </c>
      <c r="G303">
        <v>20.75</v>
      </c>
      <c r="H303" t="s">
        <v>27</v>
      </c>
      <c r="I303" t="s">
        <v>28</v>
      </c>
      <c r="J303" s="8">
        <v>46147</v>
      </c>
      <c r="K303" t="s">
        <v>874</v>
      </c>
    </row>
    <row r="304" spans="1:11" x14ac:dyDescent="0.3">
      <c r="A304" t="s">
        <v>1143</v>
      </c>
      <c r="B304" t="s">
        <v>960</v>
      </c>
      <c r="C304" t="s">
        <v>194</v>
      </c>
      <c r="D304" t="s">
        <v>64</v>
      </c>
      <c r="E304" t="s">
        <v>37</v>
      </c>
      <c r="F304">
        <v>2075000</v>
      </c>
      <c r="G304">
        <v>20.75</v>
      </c>
      <c r="H304" t="s">
        <v>27</v>
      </c>
      <c r="I304" t="s">
        <v>28</v>
      </c>
      <c r="J304" s="8">
        <v>46147</v>
      </c>
      <c r="K304" t="s">
        <v>39</v>
      </c>
    </row>
    <row r="305" spans="1:11" x14ac:dyDescent="0.3">
      <c r="A305" t="s">
        <v>1146</v>
      </c>
      <c r="B305" t="s">
        <v>13</v>
      </c>
      <c r="C305" t="s">
        <v>80</v>
      </c>
      <c r="D305" t="s">
        <v>15</v>
      </c>
      <c r="E305" t="s">
        <v>52</v>
      </c>
      <c r="F305">
        <v>720000</v>
      </c>
      <c r="G305">
        <v>7.2</v>
      </c>
      <c r="H305" t="s">
        <v>27</v>
      </c>
      <c r="I305" t="s">
        <v>28</v>
      </c>
      <c r="J305" s="8">
        <v>46230</v>
      </c>
      <c r="K305" t="s">
        <v>21</v>
      </c>
    </row>
    <row r="306" spans="1:11" x14ac:dyDescent="0.3">
      <c r="A306" t="s">
        <v>1146</v>
      </c>
      <c r="B306" t="s">
        <v>13</v>
      </c>
      <c r="C306" t="s">
        <v>80</v>
      </c>
      <c r="D306" t="s">
        <v>15</v>
      </c>
      <c r="E306" t="s">
        <v>52</v>
      </c>
      <c r="F306">
        <v>720000</v>
      </c>
      <c r="G306">
        <v>7.2</v>
      </c>
      <c r="H306" t="s">
        <v>27</v>
      </c>
      <c r="I306" t="s">
        <v>28</v>
      </c>
      <c r="J306" s="8">
        <v>46230</v>
      </c>
      <c r="K306" t="s">
        <v>878</v>
      </c>
    </row>
    <row r="307" spans="1:11" x14ac:dyDescent="0.3">
      <c r="A307" t="s">
        <v>1146</v>
      </c>
      <c r="B307" t="s">
        <v>13</v>
      </c>
      <c r="C307" t="s">
        <v>80</v>
      </c>
      <c r="D307" t="s">
        <v>15</v>
      </c>
      <c r="E307" t="s">
        <v>52</v>
      </c>
      <c r="F307">
        <v>720000</v>
      </c>
      <c r="G307">
        <v>7.2</v>
      </c>
      <c r="H307" t="s">
        <v>27</v>
      </c>
      <c r="I307" t="s">
        <v>28</v>
      </c>
      <c r="J307" s="8">
        <v>46230</v>
      </c>
      <c r="K307" t="s">
        <v>46</v>
      </c>
    </row>
    <row r="308" spans="1:11" x14ac:dyDescent="0.3">
      <c r="A308" t="s">
        <v>1148</v>
      </c>
      <c r="B308" t="s">
        <v>49</v>
      </c>
      <c r="C308" t="s">
        <v>130</v>
      </c>
      <c r="D308" t="s">
        <v>96</v>
      </c>
      <c r="E308" t="s">
        <v>116</v>
      </c>
      <c r="F308">
        <v>1200000</v>
      </c>
      <c r="G308">
        <v>12</v>
      </c>
      <c r="H308" t="s">
        <v>27</v>
      </c>
      <c r="I308" t="s">
        <v>845</v>
      </c>
      <c r="J308" s="8">
        <v>46249</v>
      </c>
      <c r="K308" t="s">
        <v>45</v>
      </c>
    </row>
    <row r="309" spans="1:11" x14ac:dyDescent="0.3">
      <c r="A309" t="s">
        <v>1148</v>
      </c>
      <c r="B309" t="s">
        <v>49</v>
      </c>
      <c r="C309" t="s">
        <v>130</v>
      </c>
      <c r="D309" t="s">
        <v>96</v>
      </c>
      <c r="E309" t="s">
        <v>116</v>
      </c>
      <c r="F309">
        <v>1200000</v>
      </c>
      <c r="G309">
        <v>12</v>
      </c>
      <c r="H309" t="s">
        <v>27</v>
      </c>
      <c r="I309" t="s">
        <v>845</v>
      </c>
      <c r="J309" s="8">
        <v>46249</v>
      </c>
      <c r="K309" t="s">
        <v>54</v>
      </c>
    </row>
    <row r="310" spans="1:11" x14ac:dyDescent="0.3">
      <c r="A310" t="s">
        <v>1148</v>
      </c>
      <c r="B310" t="s">
        <v>49</v>
      </c>
      <c r="C310" t="s">
        <v>130</v>
      </c>
      <c r="D310" t="s">
        <v>96</v>
      </c>
      <c r="E310" t="s">
        <v>116</v>
      </c>
      <c r="F310">
        <v>1200000</v>
      </c>
      <c r="G310">
        <v>12</v>
      </c>
      <c r="H310" t="s">
        <v>27</v>
      </c>
      <c r="I310" t="s">
        <v>845</v>
      </c>
      <c r="J310" s="8">
        <v>46249</v>
      </c>
      <c r="K310" t="s">
        <v>29</v>
      </c>
    </row>
    <row r="311" spans="1:11" x14ac:dyDescent="0.3">
      <c r="A311" t="s">
        <v>1151</v>
      </c>
      <c r="B311" t="s">
        <v>864</v>
      </c>
      <c r="C311" t="s">
        <v>305</v>
      </c>
      <c r="D311" t="s">
        <v>15</v>
      </c>
      <c r="E311" t="s">
        <v>52</v>
      </c>
      <c r="F311">
        <v>310000</v>
      </c>
      <c r="G311">
        <v>3.1</v>
      </c>
      <c r="H311" t="s">
        <v>53</v>
      </c>
      <c r="I311" t="s">
        <v>845</v>
      </c>
      <c r="J311" s="8">
        <v>46052</v>
      </c>
      <c r="K311" t="s">
        <v>45</v>
      </c>
    </row>
    <row r="312" spans="1:11" x14ac:dyDescent="0.3">
      <c r="A312" t="s">
        <v>1151</v>
      </c>
      <c r="B312" t="s">
        <v>864</v>
      </c>
      <c r="C312" t="s">
        <v>305</v>
      </c>
      <c r="D312" t="s">
        <v>15</v>
      </c>
      <c r="E312" t="s">
        <v>52</v>
      </c>
      <c r="F312">
        <v>310000</v>
      </c>
      <c r="G312">
        <v>3.1</v>
      </c>
      <c r="H312" t="s">
        <v>53</v>
      </c>
      <c r="I312" t="s">
        <v>845</v>
      </c>
      <c r="J312" s="8">
        <v>46052</v>
      </c>
      <c r="K312" t="s">
        <v>31</v>
      </c>
    </row>
    <row r="313" spans="1:11" x14ac:dyDescent="0.3">
      <c r="A313" t="s">
        <v>1151</v>
      </c>
      <c r="B313" t="s">
        <v>864</v>
      </c>
      <c r="C313" t="s">
        <v>305</v>
      </c>
      <c r="D313" t="s">
        <v>15</v>
      </c>
      <c r="E313" t="s">
        <v>52</v>
      </c>
      <c r="F313">
        <v>310000</v>
      </c>
      <c r="G313">
        <v>3.1</v>
      </c>
      <c r="H313" t="s">
        <v>53</v>
      </c>
      <c r="I313" t="s">
        <v>845</v>
      </c>
      <c r="J313" s="8">
        <v>46052</v>
      </c>
      <c r="K313" t="s">
        <v>54</v>
      </c>
    </row>
    <row r="314" spans="1:11" x14ac:dyDescent="0.3">
      <c r="A314" t="s">
        <v>1153</v>
      </c>
      <c r="B314" t="s">
        <v>960</v>
      </c>
      <c r="C314" t="s">
        <v>205</v>
      </c>
      <c r="D314" t="s">
        <v>71</v>
      </c>
      <c r="E314" t="s">
        <v>16</v>
      </c>
      <c r="F314">
        <v>960000</v>
      </c>
      <c r="G314">
        <v>9.6</v>
      </c>
      <c r="H314" t="s">
        <v>27</v>
      </c>
      <c r="I314" t="s">
        <v>845</v>
      </c>
      <c r="J314" s="8">
        <v>46205</v>
      </c>
      <c r="K314" t="s">
        <v>46</v>
      </c>
    </row>
    <row r="315" spans="1:11" x14ac:dyDescent="0.3">
      <c r="A315" t="s">
        <v>1153</v>
      </c>
      <c r="B315" t="s">
        <v>960</v>
      </c>
      <c r="C315" t="s">
        <v>205</v>
      </c>
      <c r="D315" t="s">
        <v>71</v>
      </c>
      <c r="E315" t="s">
        <v>16</v>
      </c>
      <c r="F315">
        <v>960000</v>
      </c>
      <c r="G315">
        <v>9.6</v>
      </c>
      <c r="H315" t="s">
        <v>27</v>
      </c>
      <c r="I315" t="s">
        <v>845</v>
      </c>
      <c r="J315" s="8">
        <v>46205</v>
      </c>
      <c r="K315" t="s">
        <v>846</v>
      </c>
    </row>
    <row r="316" spans="1:11" x14ac:dyDescent="0.3">
      <c r="A316" t="s">
        <v>1153</v>
      </c>
      <c r="B316" t="s">
        <v>960</v>
      </c>
      <c r="C316" t="s">
        <v>205</v>
      </c>
      <c r="D316" t="s">
        <v>71</v>
      </c>
      <c r="E316" t="s">
        <v>16</v>
      </c>
      <c r="F316">
        <v>960000</v>
      </c>
      <c r="G316">
        <v>9.6</v>
      </c>
      <c r="H316" t="s">
        <v>27</v>
      </c>
      <c r="I316" t="s">
        <v>845</v>
      </c>
      <c r="J316" s="8">
        <v>46205</v>
      </c>
      <c r="K316" t="s">
        <v>45</v>
      </c>
    </row>
    <row r="317" spans="1:11" x14ac:dyDescent="0.3">
      <c r="A317" t="s">
        <v>1156</v>
      </c>
      <c r="B317" t="s">
        <v>75</v>
      </c>
      <c r="C317" t="s">
        <v>106</v>
      </c>
      <c r="D317" t="s">
        <v>51</v>
      </c>
      <c r="E317" t="s">
        <v>52</v>
      </c>
      <c r="F317">
        <v>580000</v>
      </c>
      <c r="G317">
        <v>5.8</v>
      </c>
      <c r="H317" t="s">
        <v>27</v>
      </c>
      <c r="I317" t="s">
        <v>845</v>
      </c>
      <c r="J317" s="8">
        <v>46064</v>
      </c>
      <c r="K317" t="s">
        <v>878</v>
      </c>
    </row>
    <row r="318" spans="1:11" x14ac:dyDescent="0.3">
      <c r="A318" t="s">
        <v>1156</v>
      </c>
      <c r="B318" t="s">
        <v>75</v>
      </c>
      <c r="C318" t="s">
        <v>106</v>
      </c>
      <c r="D318" t="s">
        <v>51</v>
      </c>
      <c r="E318" t="s">
        <v>52</v>
      </c>
      <c r="F318">
        <v>580000</v>
      </c>
      <c r="G318">
        <v>5.8</v>
      </c>
      <c r="H318" t="s">
        <v>27</v>
      </c>
      <c r="I318" t="s">
        <v>845</v>
      </c>
      <c r="J318" s="8">
        <v>46064</v>
      </c>
      <c r="K318" t="s">
        <v>39</v>
      </c>
    </row>
    <row r="319" spans="1:11" x14ac:dyDescent="0.3">
      <c r="A319" t="s">
        <v>1156</v>
      </c>
      <c r="B319" t="s">
        <v>75</v>
      </c>
      <c r="C319" t="s">
        <v>106</v>
      </c>
      <c r="D319" t="s">
        <v>51</v>
      </c>
      <c r="E319" t="s">
        <v>52</v>
      </c>
      <c r="F319">
        <v>580000</v>
      </c>
      <c r="G319">
        <v>5.8</v>
      </c>
      <c r="H319" t="s">
        <v>27</v>
      </c>
      <c r="I319" t="s">
        <v>845</v>
      </c>
      <c r="J319" s="8">
        <v>46064</v>
      </c>
      <c r="K319" t="s">
        <v>846</v>
      </c>
    </row>
    <row r="320" spans="1:11" x14ac:dyDescent="0.3">
      <c r="A320" t="s">
        <v>1159</v>
      </c>
      <c r="B320" t="s">
        <v>49</v>
      </c>
      <c r="C320" t="s">
        <v>188</v>
      </c>
      <c r="D320" t="s">
        <v>44</v>
      </c>
      <c r="E320" t="s">
        <v>77</v>
      </c>
      <c r="F320">
        <v>4045000</v>
      </c>
      <c r="G320">
        <v>40.450000000000003</v>
      </c>
      <c r="H320" t="s">
        <v>27</v>
      </c>
      <c r="I320" t="s">
        <v>28</v>
      </c>
      <c r="J320" s="8">
        <v>46204</v>
      </c>
      <c r="K320" t="s">
        <v>31</v>
      </c>
    </row>
    <row r="321" spans="1:11" x14ac:dyDescent="0.3">
      <c r="A321" t="s">
        <v>1159</v>
      </c>
      <c r="B321" t="s">
        <v>49</v>
      </c>
      <c r="C321" t="s">
        <v>188</v>
      </c>
      <c r="D321" t="s">
        <v>44</v>
      </c>
      <c r="E321" t="s">
        <v>77</v>
      </c>
      <c r="F321">
        <v>4045000</v>
      </c>
      <c r="G321">
        <v>40.450000000000003</v>
      </c>
      <c r="H321" t="s">
        <v>27</v>
      </c>
      <c r="I321" t="s">
        <v>28</v>
      </c>
      <c r="J321" s="8">
        <v>46204</v>
      </c>
      <c r="K321" t="s">
        <v>45</v>
      </c>
    </row>
    <row r="322" spans="1:11" x14ac:dyDescent="0.3">
      <c r="A322" t="s">
        <v>1159</v>
      </c>
      <c r="B322" t="s">
        <v>49</v>
      </c>
      <c r="C322" t="s">
        <v>188</v>
      </c>
      <c r="D322" t="s">
        <v>44</v>
      </c>
      <c r="E322" t="s">
        <v>77</v>
      </c>
      <c r="F322">
        <v>4045000</v>
      </c>
      <c r="G322">
        <v>40.450000000000003</v>
      </c>
      <c r="H322" t="s">
        <v>27</v>
      </c>
      <c r="I322" t="s">
        <v>28</v>
      </c>
      <c r="J322" s="8">
        <v>46204</v>
      </c>
      <c r="K322" t="s">
        <v>878</v>
      </c>
    </row>
    <row r="323" spans="1:11" x14ac:dyDescent="0.3">
      <c r="A323" t="s">
        <v>1162</v>
      </c>
      <c r="B323" t="s">
        <v>996</v>
      </c>
      <c r="C323" t="s">
        <v>271</v>
      </c>
      <c r="D323" t="s">
        <v>51</v>
      </c>
      <c r="E323" t="s">
        <v>52</v>
      </c>
      <c r="F323">
        <v>790000</v>
      </c>
      <c r="G323">
        <v>7.9</v>
      </c>
      <c r="H323" t="s">
        <v>27</v>
      </c>
      <c r="I323" t="s">
        <v>28</v>
      </c>
      <c r="J323" s="8">
        <v>46150</v>
      </c>
      <c r="K323" t="s">
        <v>46</v>
      </c>
    </row>
    <row r="324" spans="1:11" x14ac:dyDescent="0.3">
      <c r="A324" t="s">
        <v>1162</v>
      </c>
      <c r="B324" t="s">
        <v>996</v>
      </c>
      <c r="C324" t="s">
        <v>271</v>
      </c>
      <c r="D324" t="s">
        <v>51</v>
      </c>
      <c r="E324" t="s">
        <v>52</v>
      </c>
      <c r="F324">
        <v>790000</v>
      </c>
      <c r="G324">
        <v>7.9</v>
      </c>
      <c r="H324" t="s">
        <v>27</v>
      </c>
      <c r="I324" t="s">
        <v>28</v>
      </c>
      <c r="J324" s="8">
        <v>46150</v>
      </c>
      <c r="K324" t="s">
        <v>874</v>
      </c>
    </row>
    <row r="325" spans="1:11" x14ac:dyDescent="0.3">
      <c r="A325" t="s">
        <v>1162</v>
      </c>
      <c r="B325" t="s">
        <v>996</v>
      </c>
      <c r="C325" t="s">
        <v>271</v>
      </c>
      <c r="D325" t="s">
        <v>51</v>
      </c>
      <c r="E325" t="s">
        <v>52</v>
      </c>
      <c r="F325">
        <v>790000</v>
      </c>
      <c r="G325">
        <v>7.9</v>
      </c>
      <c r="H325" t="s">
        <v>27</v>
      </c>
      <c r="I325" t="s">
        <v>28</v>
      </c>
      <c r="J325" s="8">
        <v>46150</v>
      </c>
      <c r="K325" t="s">
        <v>39</v>
      </c>
    </row>
    <row r="326" spans="1:11" x14ac:dyDescent="0.3">
      <c r="A326" t="s">
        <v>1164</v>
      </c>
      <c r="B326" t="s">
        <v>62</v>
      </c>
      <c r="C326" t="s">
        <v>220</v>
      </c>
      <c r="D326" t="s">
        <v>64</v>
      </c>
      <c r="E326" t="s">
        <v>52</v>
      </c>
      <c r="F326">
        <v>450000</v>
      </c>
      <c r="G326">
        <v>4.5</v>
      </c>
      <c r="H326" t="s">
        <v>53</v>
      </c>
      <c r="I326" t="s">
        <v>845</v>
      </c>
      <c r="J326" s="8">
        <v>46127</v>
      </c>
      <c r="K326" t="s">
        <v>874</v>
      </c>
    </row>
    <row r="327" spans="1:11" x14ac:dyDescent="0.3">
      <c r="A327" t="s">
        <v>1164</v>
      </c>
      <c r="B327" t="s">
        <v>62</v>
      </c>
      <c r="C327" t="s">
        <v>220</v>
      </c>
      <c r="D327" t="s">
        <v>64</v>
      </c>
      <c r="E327" t="s">
        <v>52</v>
      </c>
      <c r="F327">
        <v>450000</v>
      </c>
      <c r="G327">
        <v>4.5</v>
      </c>
      <c r="H327" t="s">
        <v>53</v>
      </c>
      <c r="I327" t="s">
        <v>845</v>
      </c>
      <c r="J327" s="8">
        <v>46127</v>
      </c>
      <c r="K327" t="s">
        <v>878</v>
      </c>
    </row>
    <row r="328" spans="1:11" x14ac:dyDescent="0.3">
      <c r="A328" t="s">
        <v>1164</v>
      </c>
      <c r="B328" t="s">
        <v>62</v>
      </c>
      <c r="C328" t="s">
        <v>220</v>
      </c>
      <c r="D328" t="s">
        <v>64</v>
      </c>
      <c r="E328" t="s">
        <v>52</v>
      </c>
      <c r="F328">
        <v>450000</v>
      </c>
      <c r="G328">
        <v>4.5</v>
      </c>
      <c r="H328" t="s">
        <v>53</v>
      </c>
      <c r="I328" t="s">
        <v>845</v>
      </c>
      <c r="J328" s="8">
        <v>46127</v>
      </c>
      <c r="K328" t="s">
        <v>46</v>
      </c>
    </row>
    <row r="329" spans="1:11" x14ac:dyDescent="0.3">
      <c r="A329" t="s">
        <v>1167</v>
      </c>
      <c r="B329" t="s">
        <v>49</v>
      </c>
      <c r="C329" t="s">
        <v>281</v>
      </c>
      <c r="D329" t="s">
        <v>26</v>
      </c>
      <c r="E329" t="s">
        <v>77</v>
      </c>
      <c r="F329">
        <v>2720000</v>
      </c>
      <c r="G329">
        <v>27.2</v>
      </c>
      <c r="H329" t="s">
        <v>27</v>
      </c>
      <c r="I329" t="s">
        <v>28</v>
      </c>
      <c r="J329" s="8">
        <v>46074</v>
      </c>
      <c r="K329" t="s">
        <v>31</v>
      </c>
    </row>
    <row r="330" spans="1:11" x14ac:dyDescent="0.3">
      <c r="A330" t="s">
        <v>1167</v>
      </c>
      <c r="B330" t="s">
        <v>49</v>
      </c>
      <c r="C330" t="s">
        <v>281</v>
      </c>
      <c r="D330" t="s">
        <v>26</v>
      </c>
      <c r="E330" t="s">
        <v>77</v>
      </c>
      <c r="F330">
        <v>2720000</v>
      </c>
      <c r="G330">
        <v>27.2</v>
      </c>
      <c r="H330" t="s">
        <v>27</v>
      </c>
      <c r="I330" t="s">
        <v>28</v>
      </c>
      <c r="J330" s="8">
        <v>46074</v>
      </c>
      <c r="K330" t="s">
        <v>45</v>
      </c>
    </row>
    <row r="331" spans="1:11" x14ac:dyDescent="0.3">
      <c r="A331" t="s">
        <v>1167</v>
      </c>
      <c r="B331" t="s">
        <v>49</v>
      </c>
      <c r="C331" t="s">
        <v>281</v>
      </c>
      <c r="D331" t="s">
        <v>26</v>
      </c>
      <c r="E331" t="s">
        <v>77</v>
      </c>
      <c r="F331">
        <v>2720000</v>
      </c>
      <c r="G331">
        <v>27.2</v>
      </c>
      <c r="H331" t="s">
        <v>27</v>
      </c>
      <c r="I331" t="s">
        <v>28</v>
      </c>
      <c r="J331" s="8">
        <v>46074</v>
      </c>
      <c r="K331" t="s">
        <v>54</v>
      </c>
    </row>
    <row r="332" spans="1:11" x14ac:dyDescent="0.3">
      <c r="A332" t="s">
        <v>1170</v>
      </c>
      <c r="B332" t="s">
        <v>49</v>
      </c>
      <c r="C332" t="s">
        <v>271</v>
      </c>
      <c r="D332" t="s">
        <v>71</v>
      </c>
      <c r="E332" t="s">
        <v>116</v>
      </c>
      <c r="F332">
        <v>1225000</v>
      </c>
      <c r="G332">
        <v>12.25</v>
      </c>
      <c r="H332" t="s">
        <v>27</v>
      </c>
      <c r="I332" t="s">
        <v>845</v>
      </c>
      <c r="J332" s="8">
        <v>46192</v>
      </c>
      <c r="K332" t="s">
        <v>21</v>
      </c>
    </row>
    <row r="333" spans="1:11" x14ac:dyDescent="0.3">
      <c r="A333" t="s">
        <v>1170</v>
      </c>
      <c r="B333" t="s">
        <v>49</v>
      </c>
      <c r="C333" t="s">
        <v>271</v>
      </c>
      <c r="D333" t="s">
        <v>71</v>
      </c>
      <c r="E333" t="s">
        <v>116</v>
      </c>
      <c r="F333">
        <v>1225000</v>
      </c>
      <c r="G333">
        <v>12.25</v>
      </c>
      <c r="H333" t="s">
        <v>27</v>
      </c>
      <c r="I333" t="s">
        <v>845</v>
      </c>
      <c r="J333" s="8">
        <v>46192</v>
      </c>
      <c r="K333" t="s">
        <v>874</v>
      </c>
    </row>
    <row r="334" spans="1:11" x14ac:dyDescent="0.3">
      <c r="A334" t="s">
        <v>1170</v>
      </c>
      <c r="B334" t="s">
        <v>49</v>
      </c>
      <c r="C334" t="s">
        <v>271</v>
      </c>
      <c r="D334" t="s">
        <v>71</v>
      </c>
      <c r="E334" t="s">
        <v>116</v>
      </c>
      <c r="F334">
        <v>1225000</v>
      </c>
      <c r="G334">
        <v>12.25</v>
      </c>
      <c r="H334" t="s">
        <v>27</v>
      </c>
      <c r="I334" t="s">
        <v>845</v>
      </c>
      <c r="J334" s="8">
        <v>46192</v>
      </c>
      <c r="K334" t="s">
        <v>46</v>
      </c>
    </row>
    <row r="335" spans="1:11" x14ac:dyDescent="0.3">
      <c r="A335" t="s">
        <v>1172</v>
      </c>
      <c r="B335" t="s">
        <v>49</v>
      </c>
      <c r="C335" t="s">
        <v>321</v>
      </c>
      <c r="D335" t="s">
        <v>71</v>
      </c>
      <c r="E335" t="s">
        <v>116</v>
      </c>
      <c r="F335">
        <v>1010000</v>
      </c>
      <c r="G335">
        <v>10.1</v>
      </c>
      <c r="H335" t="s">
        <v>27</v>
      </c>
      <c r="I335" t="s">
        <v>28</v>
      </c>
      <c r="J335" s="8">
        <v>46212</v>
      </c>
      <c r="K335" t="s">
        <v>20</v>
      </c>
    </row>
    <row r="336" spans="1:11" x14ac:dyDescent="0.3">
      <c r="A336" t="s">
        <v>1172</v>
      </c>
      <c r="B336" t="s">
        <v>49</v>
      </c>
      <c r="C336" t="s">
        <v>321</v>
      </c>
      <c r="D336" t="s">
        <v>71</v>
      </c>
      <c r="E336" t="s">
        <v>116</v>
      </c>
      <c r="F336">
        <v>1010000</v>
      </c>
      <c r="G336">
        <v>10.1</v>
      </c>
      <c r="H336" t="s">
        <v>27</v>
      </c>
      <c r="I336" t="s">
        <v>28</v>
      </c>
      <c r="J336" s="8">
        <v>46212</v>
      </c>
      <c r="K336" t="s">
        <v>21</v>
      </c>
    </row>
    <row r="337" spans="1:11" x14ac:dyDescent="0.3">
      <c r="A337" t="s">
        <v>1172</v>
      </c>
      <c r="B337" t="s">
        <v>49</v>
      </c>
      <c r="C337" t="s">
        <v>321</v>
      </c>
      <c r="D337" t="s">
        <v>71</v>
      </c>
      <c r="E337" t="s">
        <v>116</v>
      </c>
      <c r="F337">
        <v>1010000</v>
      </c>
      <c r="G337">
        <v>10.1</v>
      </c>
      <c r="H337" t="s">
        <v>27</v>
      </c>
      <c r="I337" t="s">
        <v>28</v>
      </c>
      <c r="J337" s="8">
        <v>46212</v>
      </c>
      <c r="K337" t="s">
        <v>846</v>
      </c>
    </row>
    <row r="338" spans="1:11" x14ac:dyDescent="0.3">
      <c r="A338" t="s">
        <v>1175</v>
      </c>
      <c r="B338" t="s">
        <v>42</v>
      </c>
      <c r="C338" t="s">
        <v>35</v>
      </c>
      <c r="D338" t="s">
        <v>81</v>
      </c>
      <c r="E338" t="s">
        <v>52</v>
      </c>
      <c r="F338">
        <v>210000</v>
      </c>
      <c r="G338">
        <v>2.1</v>
      </c>
      <c r="H338" t="s">
        <v>53</v>
      </c>
      <c r="I338" t="s">
        <v>28</v>
      </c>
      <c r="J338" s="8">
        <v>46221</v>
      </c>
      <c r="K338" t="s">
        <v>878</v>
      </c>
    </row>
    <row r="339" spans="1:11" x14ac:dyDescent="0.3">
      <c r="A339" t="s">
        <v>1175</v>
      </c>
      <c r="B339" t="s">
        <v>42</v>
      </c>
      <c r="C339" t="s">
        <v>35</v>
      </c>
      <c r="D339" t="s">
        <v>81</v>
      </c>
      <c r="E339" t="s">
        <v>52</v>
      </c>
      <c r="F339">
        <v>210000</v>
      </c>
      <c r="G339">
        <v>2.1</v>
      </c>
      <c r="H339" t="s">
        <v>53</v>
      </c>
      <c r="I339" t="s">
        <v>28</v>
      </c>
      <c r="J339" s="8">
        <v>46221</v>
      </c>
      <c r="K339" t="s">
        <v>21</v>
      </c>
    </row>
    <row r="340" spans="1:11" x14ac:dyDescent="0.3">
      <c r="A340" t="s">
        <v>1175</v>
      </c>
      <c r="B340" t="s">
        <v>42</v>
      </c>
      <c r="C340" t="s">
        <v>35</v>
      </c>
      <c r="D340" t="s">
        <v>81</v>
      </c>
      <c r="E340" t="s">
        <v>52</v>
      </c>
      <c r="F340">
        <v>210000</v>
      </c>
      <c r="G340">
        <v>2.1</v>
      </c>
      <c r="H340" t="s">
        <v>53</v>
      </c>
      <c r="I340" t="s">
        <v>28</v>
      </c>
      <c r="J340" s="8">
        <v>46221</v>
      </c>
      <c r="K340" t="s">
        <v>20</v>
      </c>
    </row>
    <row r="341" spans="1:11" x14ac:dyDescent="0.3">
      <c r="A341" t="s">
        <v>1176</v>
      </c>
      <c r="B341" t="s">
        <v>996</v>
      </c>
      <c r="C341" t="s">
        <v>205</v>
      </c>
      <c r="D341" t="s">
        <v>51</v>
      </c>
      <c r="E341" t="s">
        <v>116</v>
      </c>
      <c r="F341">
        <v>1315000</v>
      </c>
      <c r="G341">
        <v>13.15</v>
      </c>
      <c r="H341" t="s">
        <v>27</v>
      </c>
      <c r="I341" t="s">
        <v>59</v>
      </c>
      <c r="J341" s="8">
        <v>46257</v>
      </c>
      <c r="K341" t="s">
        <v>20</v>
      </c>
    </row>
    <row r="342" spans="1:11" x14ac:dyDescent="0.3">
      <c r="A342" t="s">
        <v>1176</v>
      </c>
      <c r="B342" t="s">
        <v>996</v>
      </c>
      <c r="C342" t="s">
        <v>205</v>
      </c>
      <c r="D342" t="s">
        <v>51</v>
      </c>
      <c r="E342" t="s">
        <v>116</v>
      </c>
      <c r="F342">
        <v>1315000</v>
      </c>
      <c r="G342">
        <v>13.15</v>
      </c>
      <c r="H342" t="s">
        <v>27</v>
      </c>
      <c r="I342" t="s">
        <v>59</v>
      </c>
      <c r="J342" s="8">
        <v>46257</v>
      </c>
      <c r="K342" t="s">
        <v>30</v>
      </c>
    </row>
    <row r="343" spans="1:11" x14ac:dyDescent="0.3">
      <c r="A343" t="s">
        <v>1176</v>
      </c>
      <c r="B343" t="s">
        <v>996</v>
      </c>
      <c r="C343" t="s">
        <v>205</v>
      </c>
      <c r="D343" t="s">
        <v>51</v>
      </c>
      <c r="E343" t="s">
        <v>116</v>
      </c>
      <c r="F343">
        <v>1315000</v>
      </c>
      <c r="G343">
        <v>13.15</v>
      </c>
      <c r="H343" t="s">
        <v>27</v>
      </c>
      <c r="I343" t="s">
        <v>59</v>
      </c>
      <c r="J343" s="8">
        <v>46257</v>
      </c>
      <c r="K343" t="s">
        <v>29</v>
      </c>
    </row>
    <row r="344" spans="1:11" x14ac:dyDescent="0.3">
      <c r="A344" t="s">
        <v>1178</v>
      </c>
      <c r="B344" t="s">
        <v>13</v>
      </c>
      <c r="C344" t="s">
        <v>919</v>
      </c>
      <c r="D344" t="s">
        <v>51</v>
      </c>
      <c r="E344" t="s">
        <v>52</v>
      </c>
      <c r="F344">
        <v>565000</v>
      </c>
      <c r="G344">
        <v>5.65</v>
      </c>
      <c r="H344" t="s">
        <v>27</v>
      </c>
      <c r="I344" t="s">
        <v>28</v>
      </c>
      <c r="J344" s="8">
        <v>46155</v>
      </c>
      <c r="K344" t="s">
        <v>45</v>
      </c>
    </row>
    <row r="345" spans="1:11" x14ac:dyDescent="0.3">
      <c r="A345" t="s">
        <v>1178</v>
      </c>
      <c r="B345" t="s">
        <v>13</v>
      </c>
      <c r="C345" t="s">
        <v>919</v>
      </c>
      <c r="D345" t="s">
        <v>51</v>
      </c>
      <c r="E345" t="s">
        <v>52</v>
      </c>
      <c r="F345">
        <v>565000</v>
      </c>
      <c r="G345">
        <v>5.65</v>
      </c>
      <c r="H345" t="s">
        <v>27</v>
      </c>
      <c r="I345" t="s">
        <v>28</v>
      </c>
      <c r="J345" s="8">
        <v>46155</v>
      </c>
      <c r="K345" t="s">
        <v>21</v>
      </c>
    </row>
    <row r="346" spans="1:11" x14ac:dyDescent="0.3">
      <c r="A346" t="s">
        <v>1178</v>
      </c>
      <c r="B346" t="s">
        <v>13</v>
      </c>
      <c r="C346" t="s">
        <v>919</v>
      </c>
      <c r="D346" t="s">
        <v>51</v>
      </c>
      <c r="E346" t="s">
        <v>52</v>
      </c>
      <c r="F346">
        <v>565000</v>
      </c>
      <c r="G346">
        <v>5.65</v>
      </c>
      <c r="H346" t="s">
        <v>27</v>
      </c>
      <c r="I346" t="s">
        <v>28</v>
      </c>
      <c r="J346" s="8">
        <v>46155</v>
      </c>
      <c r="K346" t="s">
        <v>31</v>
      </c>
    </row>
    <row r="347" spans="1:11" x14ac:dyDescent="0.3">
      <c r="A347" t="s">
        <v>1180</v>
      </c>
      <c r="B347" t="s">
        <v>62</v>
      </c>
      <c r="C347" t="s">
        <v>919</v>
      </c>
      <c r="D347" t="s">
        <v>15</v>
      </c>
      <c r="E347" t="s">
        <v>52</v>
      </c>
      <c r="F347">
        <v>755000</v>
      </c>
      <c r="G347">
        <v>7.55</v>
      </c>
      <c r="H347" t="s">
        <v>27</v>
      </c>
      <c r="I347" t="s">
        <v>28</v>
      </c>
      <c r="J347" s="8">
        <v>46116</v>
      </c>
      <c r="K347" t="s">
        <v>45</v>
      </c>
    </row>
    <row r="348" spans="1:11" x14ac:dyDescent="0.3">
      <c r="A348" t="s">
        <v>1180</v>
      </c>
      <c r="B348" t="s">
        <v>62</v>
      </c>
      <c r="C348" t="s">
        <v>919</v>
      </c>
      <c r="D348" t="s">
        <v>15</v>
      </c>
      <c r="E348" t="s">
        <v>52</v>
      </c>
      <c r="F348">
        <v>755000</v>
      </c>
      <c r="G348">
        <v>7.55</v>
      </c>
      <c r="H348" t="s">
        <v>27</v>
      </c>
      <c r="I348" t="s">
        <v>28</v>
      </c>
      <c r="J348" s="8">
        <v>46116</v>
      </c>
      <c r="K348" t="s">
        <v>846</v>
      </c>
    </row>
    <row r="349" spans="1:11" x14ac:dyDescent="0.3">
      <c r="A349" t="s">
        <v>1180</v>
      </c>
      <c r="B349" t="s">
        <v>62</v>
      </c>
      <c r="C349" t="s">
        <v>919</v>
      </c>
      <c r="D349" t="s">
        <v>15</v>
      </c>
      <c r="E349" t="s">
        <v>52</v>
      </c>
      <c r="F349">
        <v>755000</v>
      </c>
      <c r="G349">
        <v>7.55</v>
      </c>
      <c r="H349" t="s">
        <v>27</v>
      </c>
      <c r="I349" t="s">
        <v>28</v>
      </c>
      <c r="J349" s="8">
        <v>46116</v>
      </c>
      <c r="K349" t="s">
        <v>54</v>
      </c>
    </row>
    <row r="350" spans="1:11" x14ac:dyDescent="0.3">
      <c r="A350" t="s">
        <v>1182</v>
      </c>
      <c r="B350" t="s">
        <v>49</v>
      </c>
      <c r="C350" t="s">
        <v>130</v>
      </c>
      <c r="D350" t="s">
        <v>76</v>
      </c>
      <c r="E350" t="s">
        <v>52</v>
      </c>
      <c r="F350">
        <v>735000</v>
      </c>
      <c r="G350">
        <v>7.35</v>
      </c>
      <c r="H350" t="s">
        <v>27</v>
      </c>
      <c r="I350" t="s">
        <v>28</v>
      </c>
      <c r="J350" s="8">
        <v>46229</v>
      </c>
      <c r="K350" t="s">
        <v>46</v>
      </c>
    </row>
    <row r="351" spans="1:11" x14ac:dyDescent="0.3">
      <c r="A351" t="s">
        <v>1182</v>
      </c>
      <c r="B351" t="s">
        <v>49</v>
      </c>
      <c r="C351" t="s">
        <v>130</v>
      </c>
      <c r="D351" t="s">
        <v>76</v>
      </c>
      <c r="E351" t="s">
        <v>52</v>
      </c>
      <c r="F351">
        <v>735000</v>
      </c>
      <c r="G351">
        <v>7.35</v>
      </c>
      <c r="H351" t="s">
        <v>27</v>
      </c>
      <c r="I351" t="s">
        <v>28</v>
      </c>
      <c r="J351" s="8">
        <v>46229</v>
      </c>
      <c r="K351" t="s">
        <v>846</v>
      </c>
    </row>
    <row r="352" spans="1:11" x14ac:dyDescent="0.3">
      <c r="A352" t="s">
        <v>1182</v>
      </c>
      <c r="B352" t="s">
        <v>49</v>
      </c>
      <c r="C352" t="s">
        <v>130</v>
      </c>
      <c r="D352" t="s">
        <v>76</v>
      </c>
      <c r="E352" t="s">
        <v>52</v>
      </c>
      <c r="F352">
        <v>735000</v>
      </c>
      <c r="G352">
        <v>7.35</v>
      </c>
      <c r="H352" t="s">
        <v>27</v>
      </c>
      <c r="I352" t="s">
        <v>28</v>
      </c>
      <c r="J352" s="8">
        <v>46229</v>
      </c>
      <c r="K352" t="s">
        <v>54</v>
      </c>
    </row>
    <row r="353" spans="1:11" x14ac:dyDescent="0.3">
      <c r="A353" t="s">
        <v>1185</v>
      </c>
      <c r="B353" t="s">
        <v>42</v>
      </c>
      <c r="C353" t="s">
        <v>139</v>
      </c>
      <c r="D353" t="s">
        <v>36</v>
      </c>
      <c r="E353" t="s">
        <v>77</v>
      </c>
      <c r="F353">
        <v>2420000</v>
      </c>
      <c r="G353">
        <v>24.2</v>
      </c>
      <c r="H353" t="s">
        <v>27</v>
      </c>
      <c r="I353" t="s">
        <v>28</v>
      </c>
      <c r="J353" s="8">
        <v>46031</v>
      </c>
      <c r="K353" t="s">
        <v>20</v>
      </c>
    </row>
    <row r="354" spans="1:11" x14ac:dyDescent="0.3">
      <c r="A354" t="s">
        <v>1185</v>
      </c>
      <c r="B354" t="s">
        <v>42</v>
      </c>
      <c r="C354" t="s">
        <v>139</v>
      </c>
      <c r="D354" t="s">
        <v>36</v>
      </c>
      <c r="E354" t="s">
        <v>77</v>
      </c>
      <c r="F354">
        <v>2420000</v>
      </c>
      <c r="G354">
        <v>24.2</v>
      </c>
      <c r="H354" t="s">
        <v>27</v>
      </c>
      <c r="I354" t="s">
        <v>28</v>
      </c>
      <c r="J354" s="8">
        <v>46031</v>
      </c>
      <c r="K354" t="s">
        <v>21</v>
      </c>
    </row>
    <row r="355" spans="1:11" x14ac:dyDescent="0.3">
      <c r="A355" t="s">
        <v>1185</v>
      </c>
      <c r="B355" t="s">
        <v>42</v>
      </c>
      <c r="C355" t="s">
        <v>139</v>
      </c>
      <c r="D355" t="s">
        <v>36</v>
      </c>
      <c r="E355" t="s">
        <v>77</v>
      </c>
      <c r="F355">
        <v>2420000</v>
      </c>
      <c r="G355">
        <v>24.2</v>
      </c>
      <c r="H355" t="s">
        <v>27</v>
      </c>
      <c r="I355" t="s">
        <v>28</v>
      </c>
      <c r="J355" s="8">
        <v>46031</v>
      </c>
      <c r="K355" t="s">
        <v>39</v>
      </c>
    </row>
    <row r="356" spans="1:11" x14ac:dyDescent="0.3">
      <c r="A356" t="s">
        <v>1187</v>
      </c>
      <c r="B356" t="s">
        <v>13</v>
      </c>
      <c r="C356" t="s">
        <v>109</v>
      </c>
      <c r="D356" t="s">
        <v>64</v>
      </c>
      <c r="E356" t="s">
        <v>52</v>
      </c>
      <c r="F356">
        <v>445000</v>
      </c>
      <c r="G356">
        <v>4.45</v>
      </c>
      <c r="H356" t="s">
        <v>27</v>
      </c>
      <c r="I356" t="s">
        <v>28</v>
      </c>
      <c r="J356" s="8">
        <v>46041</v>
      </c>
      <c r="K356" t="s">
        <v>45</v>
      </c>
    </row>
    <row r="357" spans="1:11" x14ac:dyDescent="0.3">
      <c r="A357" t="s">
        <v>1187</v>
      </c>
      <c r="B357" t="s">
        <v>13</v>
      </c>
      <c r="C357" t="s">
        <v>109</v>
      </c>
      <c r="D357" t="s">
        <v>64</v>
      </c>
      <c r="E357" t="s">
        <v>52</v>
      </c>
      <c r="F357">
        <v>445000</v>
      </c>
      <c r="G357">
        <v>4.45</v>
      </c>
      <c r="H357" t="s">
        <v>27</v>
      </c>
      <c r="I357" t="s">
        <v>28</v>
      </c>
      <c r="J357" s="8">
        <v>46041</v>
      </c>
      <c r="K357" t="s">
        <v>21</v>
      </c>
    </row>
    <row r="358" spans="1:11" x14ac:dyDescent="0.3">
      <c r="A358" t="s">
        <v>1187</v>
      </c>
      <c r="B358" t="s">
        <v>13</v>
      </c>
      <c r="C358" t="s">
        <v>109</v>
      </c>
      <c r="D358" t="s">
        <v>64</v>
      </c>
      <c r="E358" t="s">
        <v>52</v>
      </c>
      <c r="F358">
        <v>445000</v>
      </c>
      <c r="G358">
        <v>4.45</v>
      </c>
      <c r="H358" t="s">
        <v>27</v>
      </c>
      <c r="I358" t="s">
        <v>28</v>
      </c>
      <c r="J358" s="8">
        <v>46041</v>
      </c>
      <c r="K358" t="s">
        <v>54</v>
      </c>
    </row>
    <row r="359" spans="1:11" x14ac:dyDescent="0.3">
      <c r="A359" t="s">
        <v>1190</v>
      </c>
      <c r="B359" t="s">
        <v>996</v>
      </c>
      <c r="C359" t="s">
        <v>334</v>
      </c>
      <c r="D359" t="s">
        <v>51</v>
      </c>
      <c r="E359" t="s">
        <v>77</v>
      </c>
      <c r="F359">
        <v>4250000</v>
      </c>
      <c r="G359">
        <v>42.5</v>
      </c>
      <c r="H359" t="s">
        <v>27</v>
      </c>
      <c r="I359" t="s">
        <v>59</v>
      </c>
      <c r="J359" s="8">
        <v>46221</v>
      </c>
      <c r="K359" t="s">
        <v>39</v>
      </c>
    </row>
    <row r="360" spans="1:11" x14ac:dyDescent="0.3">
      <c r="A360" t="s">
        <v>1190</v>
      </c>
      <c r="B360" t="s">
        <v>996</v>
      </c>
      <c r="C360" t="s">
        <v>334</v>
      </c>
      <c r="D360" t="s">
        <v>51</v>
      </c>
      <c r="E360" t="s">
        <v>77</v>
      </c>
      <c r="F360">
        <v>4250000</v>
      </c>
      <c r="G360">
        <v>42.5</v>
      </c>
      <c r="H360" t="s">
        <v>27</v>
      </c>
      <c r="I360" t="s">
        <v>59</v>
      </c>
      <c r="J360" s="8">
        <v>46221</v>
      </c>
      <c r="K360" t="s">
        <v>20</v>
      </c>
    </row>
    <row r="361" spans="1:11" x14ac:dyDescent="0.3">
      <c r="A361" t="s">
        <v>1190</v>
      </c>
      <c r="B361" t="s">
        <v>996</v>
      </c>
      <c r="C361" t="s">
        <v>334</v>
      </c>
      <c r="D361" t="s">
        <v>51</v>
      </c>
      <c r="E361" t="s">
        <v>77</v>
      </c>
      <c r="F361">
        <v>4250000</v>
      </c>
      <c r="G361">
        <v>42.5</v>
      </c>
      <c r="H361" t="s">
        <v>27</v>
      </c>
      <c r="I361" t="s">
        <v>59</v>
      </c>
      <c r="J361" s="8">
        <v>46221</v>
      </c>
      <c r="K361" t="s">
        <v>46</v>
      </c>
    </row>
    <row r="362" spans="1:11" x14ac:dyDescent="0.3">
      <c r="A362" t="s">
        <v>1192</v>
      </c>
      <c r="B362" t="s">
        <v>42</v>
      </c>
      <c r="C362" t="s">
        <v>163</v>
      </c>
      <c r="D362" t="s">
        <v>71</v>
      </c>
      <c r="E362" t="s">
        <v>52</v>
      </c>
      <c r="F362">
        <v>580000</v>
      </c>
      <c r="G362">
        <v>5.8</v>
      </c>
      <c r="H362" t="s">
        <v>27</v>
      </c>
      <c r="I362" t="s">
        <v>28</v>
      </c>
      <c r="J362" s="8">
        <v>46247</v>
      </c>
      <c r="K362" t="s">
        <v>46</v>
      </c>
    </row>
    <row r="363" spans="1:11" x14ac:dyDescent="0.3">
      <c r="A363" t="s">
        <v>1192</v>
      </c>
      <c r="B363" t="s">
        <v>42</v>
      </c>
      <c r="C363" t="s">
        <v>163</v>
      </c>
      <c r="D363" t="s">
        <v>71</v>
      </c>
      <c r="E363" t="s">
        <v>52</v>
      </c>
      <c r="F363">
        <v>580000</v>
      </c>
      <c r="G363">
        <v>5.8</v>
      </c>
      <c r="H363" t="s">
        <v>27</v>
      </c>
      <c r="I363" t="s">
        <v>28</v>
      </c>
      <c r="J363" s="8">
        <v>46247</v>
      </c>
      <c r="K363" t="s">
        <v>29</v>
      </c>
    </row>
    <row r="364" spans="1:11" x14ac:dyDescent="0.3">
      <c r="A364" t="s">
        <v>1192</v>
      </c>
      <c r="B364" t="s">
        <v>42</v>
      </c>
      <c r="C364" t="s">
        <v>163</v>
      </c>
      <c r="D364" t="s">
        <v>71</v>
      </c>
      <c r="E364" t="s">
        <v>52</v>
      </c>
      <c r="F364">
        <v>580000</v>
      </c>
      <c r="G364">
        <v>5.8</v>
      </c>
      <c r="H364" t="s">
        <v>27</v>
      </c>
      <c r="I364" t="s">
        <v>28</v>
      </c>
      <c r="J364" s="8">
        <v>46247</v>
      </c>
      <c r="K364" t="s">
        <v>30</v>
      </c>
    </row>
    <row r="365" spans="1:11" x14ac:dyDescent="0.3">
      <c r="A365" t="s">
        <v>1194</v>
      </c>
      <c r="B365" t="s">
        <v>75</v>
      </c>
      <c r="C365" t="s">
        <v>1195</v>
      </c>
      <c r="D365" t="s">
        <v>26</v>
      </c>
      <c r="E365" t="s">
        <v>37</v>
      </c>
      <c r="F365">
        <v>1420000</v>
      </c>
      <c r="G365">
        <v>14.2</v>
      </c>
      <c r="H365" t="s">
        <v>27</v>
      </c>
      <c r="I365" t="s">
        <v>845</v>
      </c>
      <c r="J365" s="8">
        <v>46041</v>
      </c>
      <c r="K365" t="s">
        <v>45</v>
      </c>
    </row>
    <row r="366" spans="1:11" x14ac:dyDescent="0.3">
      <c r="A366" t="s">
        <v>1194</v>
      </c>
      <c r="B366" t="s">
        <v>75</v>
      </c>
      <c r="C366" t="s">
        <v>1195</v>
      </c>
      <c r="D366" t="s">
        <v>26</v>
      </c>
      <c r="E366" t="s">
        <v>37</v>
      </c>
      <c r="F366">
        <v>1420000</v>
      </c>
      <c r="G366">
        <v>14.2</v>
      </c>
      <c r="H366" t="s">
        <v>27</v>
      </c>
      <c r="I366" t="s">
        <v>845</v>
      </c>
      <c r="J366" s="8">
        <v>46041</v>
      </c>
      <c r="K366" t="s">
        <v>878</v>
      </c>
    </row>
    <row r="367" spans="1:11" x14ac:dyDescent="0.3">
      <c r="A367" t="s">
        <v>1194</v>
      </c>
      <c r="B367" t="s">
        <v>75</v>
      </c>
      <c r="C367" t="s">
        <v>1195</v>
      </c>
      <c r="D367" t="s">
        <v>26</v>
      </c>
      <c r="E367" t="s">
        <v>37</v>
      </c>
      <c r="F367">
        <v>1420000</v>
      </c>
      <c r="G367">
        <v>14.2</v>
      </c>
      <c r="H367" t="s">
        <v>27</v>
      </c>
      <c r="I367" t="s">
        <v>845</v>
      </c>
      <c r="J367" s="8">
        <v>46041</v>
      </c>
      <c r="K367" t="s">
        <v>30</v>
      </c>
    </row>
    <row r="368" spans="1:11" x14ac:dyDescent="0.3">
      <c r="A368" t="s">
        <v>1197</v>
      </c>
      <c r="B368" t="s">
        <v>75</v>
      </c>
      <c r="C368" t="s">
        <v>172</v>
      </c>
      <c r="D368" t="s">
        <v>26</v>
      </c>
      <c r="E368" t="s">
        <v>52</v>
      </c>
      <c r="F368">
        <v>430000</v>
      </c>
      <c r="G368">
        <v>4.3</v>
      </c>
      <c r="H368" t="s">
        <v>27</v>
      </c>
      <c r="I368" t="s">
        <v>845</v>
      </c>
      <c r="J368" s="8">
        <v>46103</v>
      </c>
      <c r="K368" t="s">
        <v>937</v>
      </c>
    </row>
    <row r="369" spans="1:11" x14ac:dyDescent="0.3">
      <c r="A369" t="s">
        <v>1197</v>
      </c>
      <c r="B369" t="s">
        <v>75</v>
      </c>
      <c r="C369" t="s">
        <v>172</v>
      </c>
      <c r="D369" t="s">
        <v>26</v>
      </c>
      <c r="E369" t="s">
        <v>52</v>
      </c>
      <c r="F369">
        <v>430000</v>
      </c>
      <c r="G369">
        <v>4.3</v>
      </c>
      <c r="H369" t="s">
        <v>27</v>
      </c>
      <c r="I369" t="s">
        <v>845</v>
      </c>
      <c r="J369" s="8">
        <v>46103</v>
      </c>
      <c r="K369" t="s">
        <v>31</v>
      </c>
    </row>
    <row r="370" spans="1:11" x14ac:dyDescent="0.3">
      <c r="A370" t="s">
        <v>1197</v>
      </c>
      <c r="B370" t="s">
        <v>75</v>
      </c>
      <c r="C370" t="s">
        <v>172</v>
      </c>
      <c r="D370" t="s">
        <v>26</v>
      </c>
      <c r="E370" t="s">
        <v>52</v>
      </c>
      <c r="F370">
        <v>430000</v>
      </c>
      <c r="G370">
        <v>4.3</v>
      </c>
      <c r="H370" t="s">
        <v>27</v>
      </c>
      <c r="I370" t="s">
        <v>845</v>
      </c>
      <c r="J370" s="8">
        <v>46103</v>
      </c>
      <c r="K370" t="s">
        <v>45</v>
      </c>
    </row>
    <row r="371" spans="1:11" x14ac:dyDescent="0.3">
      <c r="A371" t="s">
        <v>1199</v>
      </c>
      <c r="B371" t="s">
        <v>49</v>
      </c>
      <c r="C371" t="s">
        <v>857</v>
      </c>
      <c r="D371" t="s">
        <v>64</v>
      </c>
      <c r="E371" t="s">
        <v>52</v>
      </c>
      <c r="F371">
        <v>790000</v>
      </c>
      <c r="G371">
        <v>7.9</v>
      </c>
      <c r="H371" t="s">
        <v>27</v>
      </c>
      <c r="I371" t="s">
        <v>28</v>
      </c>
      <c r="J371" s="8">
        <v>46170</v>
      </c>
      <c r="K371" t="s">
        <v>908</v>
      </c>
    </row>
    <row r="372" spans="1:11" x14ac:dyDescent="0.3">
      <c r="A372" t="s">
        <v>1199</v>
      </c>
      <c r="B372" t="s">
        <v>49</v>
      </c>
      <c r="C372" t="s">
        <v>857</v>
      </c>
      <c r="D372" t="s">
        <v>64</v>
      </c>
      <c r="E372" t="s">
        <v>52</v>
      </c>
      <c r="F372">
        <v>790000</v>
      </c>
      <c r="G372">
        <v>7.9</v>
      </c>
      <c r="H372" t="s">
        <v>27</v>
      </c>
      <c r="I372" t="s">
        <v>28</v>
      </c>
      <c r="J372" s="8">
        <v>46170</v>
      </c>
      <c r="K372" t="s">
        <v>874</v>
      </c>
    </row>
    <row r="373" spans="1:11" x14ac:dyDescent="0.3">
      <c r="A373" t="s">
        <v>1199</v>
      </c>
      <c r="B373" t="s">
        <v>49</v>
      </c>
      <c r="C373" t="s">
        <v>857</v>
      </c>
      <c r="D373" t="s">
        <v>64</v>
      </c>
      <c r="E373" t="s">
        <v>52</v>
      </c>
      <c r="F373">
        <v>790000</v>
      </c>
      <c r="G373">
        <v>7.9</v>
      </c>
      <c r="H373" t="s">
        <v>27</v>
      </c>
      <c r="I373" t="s">
        <v>28</v>
      </c>
      <c r="J373" s="8">
        <v>46170</v>
      </c>
      <c r="K373" t="s">
        <v>29</v>
      </c>
    </row>
    <row r="374" spans="1:11" x14ac:dyDescent="0.3">
      <c r="A374" t="s">
        <v>1201</v>
      </c>
      <c r="B374" t="s">
        <v>42</v>
      </c>
      <c r="C374" t="s">
        <v>112</v>
      </c>
      <c r="D374" t="s">
        <v>71</v>
      </c>
      <c r="E374" t="s">
        <v>116</v>
      </c>
      <c r="F374">
        <v>1555000</v>
      </c>
      <c r="G374">
        <v>15.55</v>
      </c>
      <c r="H374" t="s">
        <v>17</v>
      </c>
      <c r="I374" t="s">
        <v>845</v>
      </c>
      <c r="J374" s="8">
        <v>46092</v>
      </c>
      <c r="K374" t="s">
        <v>45</v>
      </c>
    </row>
    <row r="375" spans="1:11" x14ac:dyDescent="0.3">
      <c r="A375" t="s">
        <v>1201</v>
      </c>
      <c r="B375" t="s">
        <v>42</v>
      </c>
      <c r="C375" t="s">
        <v>112</v>
      </c>
      <c r="D375" t="s">
        <v>71</v>
      </c>
      <c r="E375" t="s">
        <v>116</v>
      </c>
      <c r="F375">
        <v>1555000</v>
      </c>
      <c r="G375">
        <v>15.55</v>
      </c>
      <c r="H375" t="s">
        <v>17</v>
      </c>
      <c r="I375" t="s">
        <v>845</v>
      </c>
      <c r="J375" s="8">
        <v>46092</v>
      </c>
      <c r="K375" t="s">
        <v>937</v>
      </c>
    </row>
    <row r="376" spans="1:11" x14ac:dyDescent="0.3">
      <c r="A376" t="s">
        <v>1201</v>
      </c>
      <c r="B376" t="s">
        <v>42</v>
      </c>
      <c r="C376" t="s">
        <v>112</v>
      </c>
      <c r="D376" t="s">
        <v>71</v>
      </c>
      <c r="E376" t="s">
        <v>116</v>
      </c>
      <c r="F376">
        <v>1555000</v>
      </c>
      <c r="G376">
        <v>15.55</v>
      </c>
      <c r="H376" t="s">
        <v>17</v>
      </c>
      <c r="I376" t="s">
        <v>845</v>
      </c>
      <c r="J376" s="8">
        <v>46092</v>
      </c>
      <c r="K376" t="s">
        <v>29</v>
      </c>
    </row>
    <row r="377" spans="1:11" x14ac:dyDescent="0.3">
      <c r="A377" t="s">
        <v>1203</v>
      </c>
      <c r="B377" t="s">
        <v>62</v>
      </c>
      <c r="C377" t="s">
        <v>1195</v>
      </c>
      <c r="D377" t="s">
        <v>26</v>
      </c>
      <c r="E377" t="s">
        <v>16</v>
      </c>
      <c r="F377">
        <v>880000</v>
      </c>
      <c r="G377">
        <v>8.8000000000000007</v>
      </c>
      <c r="H377" t="s">
        <v>27</v>
      </c>
      <c r="I377" t="s">
        <v>28</v>
      </c>
      <c r="J377" s="8">
        <v>46172</v>
      </c>
      <c r="K377" t="s">
        <v>20</v>
      </c>
    </row>
    <row r="378" spans="1:11" x14ac:dyDescent="0.3">
      <c r="A378" t="s">
        <v>1203</v>
      </c>
      <c r="B378" t="s">
        <v>62</v>
      </c>
      <c r="C378" t="s">
        <v>1195</v>
      </c>
      <c r="D378" t="s">
        <v>26</v>
      </c>
      <c r="E378" t="s">
        <v>16</v>
      </c>
      <c r="F378">
        <v>880000</v>
      </c>
      <c r="G378">
        <v>8.8000000000000007</v>
      </c>
      <c r="H378" t="s">
        <v>27</v>
      </c>
      <c r="I378" t="s">
        <v>28</v>
      </c>
      <c r="J378" s="8">
        <v>46172</v>
      </c>
      <c r="K378" t="s">
        <v>846</v>
      </c>
    </row>
    <row r="379" spans="1:11" x14ac:dyDescent="0.3">
      <c r="A379" t="s">
        <v>1203</v>
      </c>
      <c r="B379" t="s">
        <v>62</v>
      </c>
      <c r="C379" t="s">
        <v>1195</v>
      </c>
      <c r="D379" t="s">
        <v>26</v>
      </c>
      <c r="E379" t="s">
        <v>16</v>
      </c>
      <c r="F379">
        <v>880000</v>
      </c>
      <c r="G379">
        <v>8.8000000000000007</v>
      </c>
      <c r="H379" t="s">
        <v>27</v>
      </c>
      <c r="I379" t="s">
        <v>28</v>
      </c>
      <c r="J379" s="8">
        <v>46172</v>
      </c>
      <c r="K379" t="s">
        <v>854</v>
      </c>
    </row>
    <row r="380" spans="1:11" x14ac:dyDescent="0.3">
      <c r="A380" t="s">
        <v>1205</v>
      </c>
      <c r="B380" t="s">
        <v>852</v>
      </c>
      <c r="C380" t="s">
        <v>179</v>
      </c>
      <c r="D380" t="s">
        <v>26</v>
      </c>
      <c r="E380" t="s">
        <v>77</v>
      </c>
      <c r="F380">
        <v>3640000</v>
      </c>
      <c r="G380">
        <v>36.4</v>
      </c>
      <c r="H380" t="s">
        <v>27</v>
      </c>
      <c r="I380" t="s">
        <v>845</v>
      </c>
      <c r="J380" s="8">
        <v>46263</v>
      </c>
      <c r="K380" t="s">
        <v>908</v>
      </c>
    </row>
    <row r="381" spans="1:11" x14ac:dyDescent="0.3">
      <c r="A381" t="s">
        <v>1205</v>
      </c>
      <c r="B381" t="s">
        <v>852</v>
      </c>
      <c r="C381" t="s">
        <v>179</v>
      </c>
      <c r="D381" t="s">
        <v>26</v>
      </c>
      <c r="E381" t="s">
        <v>77</v>
      </c>
      <c r="F381">
        <v>3640000</v>
      </c>
      <c r="G381">
        <v>36.4</v>
      </c>
      <c r="H381" t="s">
        <v>27</v>
      </c>
      <c r="I381" t="s">
        <v>845</v>
      </c>
      <c r="J381" s="8">
        <v>46263</v>
      </c>
      <c r="K381" t="s">
        <v>39</v>
      </c>
    </row>
    <row r="382" spans="1:11" x14ac:dyDescent="0.3">
      <c r="A382" t="s">
        <v>1205</v>
      </c>
      <c r="B382" t="s">
        <v>852</v>
      </c>
      <c r="C382" t="s">
        <v>179</v>
      </c>
      <c r="D382" t="s">
        <v>26</v>
      </c>
      <c r="E382" t="s">
        <v>77</v>
      </c>
      <c r="F382">
        <v>3640000</v>
      </c>
      <c r="G382">
        <v>36.4</v>
      </c>
      <c r="H382" t="s">
        <v>27</v>
      </c>
      <c r="I382" t="s">
        <v>845</v>
      </c>
      <c r="J382" s="8">
        <v>46263</v>
      </c>
      <c r="K382" t="s">
        <v>46</v>
      </c>
    </row>
    <row r="383" spans="1:11" x14ac:dyDescent="0.3">
      <c r="A383" t="s">
        <v>1208</v>
      </c>
      <c r="B383" t="s">
        <v>75</v>
      </c>
      <c r="C383" t="s">
        <v>112</v>
      </c>
      <c r="D383" t="s">
        <v>64</v>
      </c>
      <c r="E383" t="s">
        <v>52</v>
      </c>
      <c r="F383">
        <v>465000</v>
      </c>
      <c r="G383">
        <v>4.6500000000000004</v>
      </c>
      <c r="H383" t="s">
        <v>53</v>
      </c>
      <c r="I383" t="s">
        <v>28</v>
      </c>
      <c r="J383" s="8">
        <v>46189</v>
      </c>
      <c r="K383" t="s">
        <v>54</v>
      </c>
    </row>
    <row r="384" spans="1:11" x14ac:dyDescent="0.3">
      <c r="A384" t="s">
        <v>1208</v>
      </c>
      <c r="B384" t="s">
        <v>75</v>
      </c>
      <c r="C384" t="s">
        <v>112</v>
      </c>
      <c r="D384" t="s">
        <v>64</v>
      </c>
      <c r="E384" t="s">
        <v>52</v>
      </c>
      <c r="F384">
        <v>465000</v>
      </c>
      <c r="G384">
        <v>4.6500000000000004</v>
      </c>
      <c r="H384" t="s">
        <v>53</v>
      </c>
      <c r="I384" t="s">
        <v>28</v>
      </c>
      <c r="J384" s="8">
        <v>46189</v>
      </c>
      <c r="K384" t="s">
        <v>21</v>
      </c>
    </row>
    <row r="385" spans="1:11" x14ac:dyDescent="0.3">
      <c r="A385" t="s">
        <v>1208</v>
      </c>
      <c r="B385" t="s">
        <v>75</v>
      </c>
      <c r="C385" t="s">
        <v>112</v>
      </c>
      <c r="D385" t="s">
        <v>64</v>
      </c>
      <c r="E385" t="s">
        <v>52</v>
      </c>
      <c r="F385">
        <v>465000</v>
      </c>
      <c r="G385">
        <v>4.6500000000000004</v>
      </c>
      <c r="H385" t="s">
        <v>53</v>
      </c>
      <c r="I385" t="s">
        <v>28</v>
      </c>
      <c r="J385" s="8">
        <v>46189</v>
      </c>
      <c r="K385" t="s">
        <v>29</v>
      </c>
    </row>
    <row r="386" spans="1:11" x14ac:dyDescent="0.3">
      <c r="A386" t="s">
        <v>1210</v>
      </c>
      <c r="B386" t="s">
        <v>960</v>
      </c>
      <c r="C386" t="s">
        <v>865</v>
      </c>
      <c r="D386" t="s">
        <v>51</v>
      </c>
      <c r="E386" t="s">
        <v>116</v>
      </c>
      <c r="F386">
        <v>1380000</v>
      </c>
      <c r="G386">
        <v>13.8</v>
      </c>
      <c r="H386" t="s">
        <v>27</v>
      </c>
      <c r="I386" t="s">
        <v>28</v>
      </c>
      <c r="J386" s="8">
        <v>46064</v>
      </c>
      <c r="K386" t="s">
        <v>846</v>
      </c>
    </row>
    <row r="387" spans="1:11" x14ac:dyDescent="0.3">
      <c r="A387" t="s">
        <v>1210</v>
      </c>
      <c r="B387" t="s">
        <v>960</v>
      </c>
      <c r="C387" t="s">
        <v>865</v>
      </c>
      <c r="D387" t="s">
        <v>51</v>
      </c>
      <c r="E387" t="s">
        <v>116</v>
      </c>
      <c r="F387">
        <v>1380000</v>
      </c>
      <c r="G387">
        <v>13.8</v>
      </c>
      <c r="H387" t="s">
        <v>27</v>
      </c>
      <c r="I387" t="s">
        <v>28</v>
      </c>
      <c r="J387" s="8">
        <v>46064</v>
      </c>
      <c r="K387" t="s">
        <v>39</v>
      </c>
    </row>
    <row r="388" spans="1:11" x14ac:dyDescent="0.3">
      <c r="A388" t="s">
        <v>1210</v>
      </c>
      <c r="B388" t="s">
        <v>960</v>
      </c>
      <c r="C388" t="s">
        <v>865</v>
      </c>
      <c r="D388" t="s">
        <v>51</v>
      </c>
      <c r="E388" t="s">
        <v>116</v>
      </c>
      <c r="F388">
        <v>1380000</v>
      </c>
      <c r="G388">
        <v>13.8</v>
      </c>
      <c r="H388" t="s">
        <v>27</v>
      </c>
      <c r="I388" t="s">
        <v>28</v>
      </c>
      <c r="J388" s="8">
        <v>46064</v>
      </c>
      <c r="K388" t="s">
        <v>878</v>
      </c>
    </row>
    <row r="389" spans="1:11" x14ac:dyDescent="0.3">
      <c r="A389" t="s">
        <v>1212</v>
      </c>
      <c r="B389" t="s">
        <v>13</v>
      </c>
      <c r="C389" t="s">
        <v>906</v>
      </c>
      <c r="D389" t="s">
        <v>15</v>
      </c>
      <c r="E389" t="s">
        <v>116</v>
      </c>
      <c r="F389">
        <v>1110000</v>
      </c>
      <c r="G389">
        <v>11.1</v>
      </c>
      <c r="H389" t="s">
        <v>17</v>
      </c>
      <c r="I389" t="s">
        <v>845</v>
      </c>
      <c r="J389" s="8">
        <v>46046</v>
      </c>
      <c r="K389" t="s">
        <v>30</v>
      </c>
    </row>
    <row r="390" spans="1:11" x14ac:dyDescent="0.3">
      <c r="A390" t="s">
        <v>1212</v>
      </c>
      <c r="B390" t="s">
        <v>13</v>
      </c>
      <c r="C390" t="s">
        <v>906</v>
      </c>
      <c r="D390" t="s">
        <v>15</v>
      </c>
      <c r="E390" t="s">
        <v>116</v>
      </c>
      <c r="F390">
        <v>1110000</v>
      </c>
      <c r="G390">
        <v>11.1</v>
      </c>
      <c r="H390" t="s">
        <v>17</v>
      </c>
      <c r="I390" t="s">
        <v>845</v>
      </c>
      <c r="J390" s="8">
        <v>46046</v>
      </c>
      <c r="K390" t="s">
        <v>45</v>
      </c>
    </row>
    <row r="391" spans="1:11" x14ac:dyDescent="0.3">
      <c r="A391" t="s">
        <v>1212</v>
      </c>
      <c r="B391" t="s">
        <v>13</v>
      </c>
      <c r="C391" t="s">
        <v>906</v>
      </c>
      <c r="D391" t="s">
        <v>15</v>
      </c>
      <c r="E391" t="s">
        <v>116</v>
      </c>
      <c r="F391">
        <v>1110000</v>
      </c>
      <c r="G391">
        <v>11.1</v>
      </c>
      <c r="H391" t="s">
        <v>17</v>
      </c>
      <c r="I391" t="s">
        <v>845</v>
      </c>
      <c r="J391" s="8">
        <v>46046</v>
      </c>
      <c r="K391" t="s">
        <v>21</v>
      </c>
    </row>
    <row r="392" spans="1:11" x14ac:dyDescent="0.3">
      <c r="A392" t="s">
        <v>1214</v>
      </c>
      <c r="B392" t="s">
        <v>960</v>
      </c>
      <c r="C392" t="s">
        <v>872</v>
      </c>
      <c r="D392" t="s">
        <v>81</v>
      </c>
      <c r="E392" t="s">
        <v>116</v>
      </c>
      <c r="F392">
        <v>1270000</v>
      </c>
      <c r="G392">
        <v>12.7</v>
      </c>
      <c r="H392" t="s">
        <v>27</v>
      </c>
      <c r="I392" t="s">
        <v>28</v>
      </c>
      <c r="J392" s="8">
        <v>46241</v>
      </c>
      <c r="K392" t="s">
        <v>854</v>
      </c>
    </row>
    <row r="393" spans="1:11" x14ac:dyDescent="0.3">
      <c r="A393" t="s">
        <v>1214</v>
      </c>
      <c r="B393" t="s">
        <v>960</v>
      </c>
      <c r="C393" t="s">
        <v>872</v>
      </c>
      <c r="D393" t="s">
        <v>81</v>
      </c>
      <c r="E393" t="s">
        <v>116</v>
      </c>
      <c r="F393">
        <v>1270000</v>
      </c>
      <c r="G393">
        <v>12.7</v>
      </c>
      <c r="H393" t="s">
        <v>27</v>
      </c>
      <c r="I393" t="s">
        <v>28</v>
      </c>
      <c r="J393" s="8">
        <v>46241</v>
      </c>
      <c r="K393" t="s">
        <v>937</v>
      </c>
    </row>
    <row r="394" spans="1:11" x14ac:dyDescent="0.3">
      <c r="A394" t="s">
        <v>1214</v>
      </c>
      <c r="B394" t="s">
        <v>960</v>
      </c>
      <c r="C394" t="s">
        <v>872</v>
      </c>
      <c r="D394" t="s">
        <v>81</v>
      </c>
      <c r="E394" t="s">
        <v>116</v>
      </c>
      <c r="F394">
        <v>1270000</v>
      </c>
      <c r="G394">
        <v>12.7</v>
      </c>
      <c r="H394" t="s">
        <v>27</v>
      </c>
      <c r="I394" t="s">
        <v>28</v>
      </c>
      <c r="J394" s="8">
        <v>46241</v>
      </c>
      <c r="K394" t="s">
        <v>878</v>
      </c>
    </row>
    <row r="395" spans="1:11" x14ac:dyDescent="0.3">
      <c r="A395" t="s">
        <v>1217</v>
      </c>
      <c r="B395" t="s">
        <v>852</v>
      </c>
      <c r="C395" t="s">
        <v>295</v>
      </c>
      <c r="D395" t="s">
        <v>15</v>
      </c>
      <c r="E395" t="s">
        <v>37</v>
      </c>
      <c r="F395">
        <v>1995000</v>
      </c>
      <c r="G395">
        <v>19.95</v>
      </c>
      <c r="H395" t="s">
        <v>17</v>
      </c>
      <c r="I395" t="s">
        <v>845</v>
      </c>
      <c r="J395" s="8">
        <v>46072</v>
      </c>
      <c r="K395" t="s">
        <v>20</v>
      </c>
    </row>
    <row r="396" spans="1:11" x14ac:dyDescent="0.3">
      <c r="A396" t="s">
        <v>1217</v>
      </c>
      <c r="B396" t="s">
        <v>852</v>
      </c>
      <c r="C396" t="s">
        <v>295</v>
      </c>
      <c r="D396" t="s">
        <v>15</v>
      </c>
      <c r="E396" t="s">
        <v>37</v>
      </c>
      <c r="F396">
        <v>1995000</v>
      </c>
      <c r="G396">
        <v>19.95</v>
      </c>
      <c r="H396" t="s">
        <v>17</v>
      </c>
      <c r="I396" t="s">
        <v>845</v>
      </c>
      <c r="J396" s="8">
        <v>46072</v>
      </c>
      <c r="K396" t="s">
        <v>30</v>
      </c>
    </row>
    <row r="397" spans="1:11" x14ac:dyDescent="0.3">
      <c r="A397" t="s">
        <v>1217</v>
      </c>
      <c r="B397" t="s">
        <v>852</v>
      </c>
      <c r="C397" t="s">
        <v>295</v>
      </c>
      <c r="D397" t="s">
        <v>15</v>
      </c>
      <c r="E397" t="s">
        <v>37</v>
      </c>
      <c r="F397">
        <v>1995000</v>
      </c>
      <c r="G397">
        <v>19.95</v>
      </c>
      <c r="H397" t="s">
        <v>17</v>
      </c>
      <c r="I397" t="s">
        <v>845</v>
      </c>
      <c r="J397" s="8">
        <v>46072</v>
      </c>
      <c r="K397" t="s">
        <v>39</v>
      </c>
    </row>
    <row r="398" spans="1:11" x14ac:dyDescent="0.3">
      <c r="A398" t="s">
        <v>1220</v>
      </c>
      <c r="B398" t="s">
        <v>864</v>
      </c>
      <c r="C398" t="s">
        <v>283</v>
      </c>
      <c r="D398" t="s">
        <v>76</v>
      </c>
      <c r="E398" t="s">
        <v>52</v>
      </c>
      <c r="F398">
        <v>255000</v>
      </c>
      <c r="G398">
        <v>2.5499999999999998</v>
      </c>
      <c r="H398" t="s">
        <v>53</v>
      </c>
      <c r="I398" t="s">
        <v>845</v>
      </c>
      <c r="J398" s="8">
        <v>46235</v>
      </c>
      <c r="K398" t="s">
        <v>54</v>
      </c>
    </row>
    <row r="399" spans="1:11" x14ac:dyDescent="0.3">
      <c r="A399" t="s">
        <v>1220</v>
      </c>
      <c r="B399" t="s">
        <v>864</v>
      </c>
      <c r="C399" t="s">
        <v>283</v>
      </c>
      <c r="D399" t="s">
        <v>76</v>
      </c>
      <c r="E399" t="s">
        <v>52</v>
      </c>
      <c r="F399">
        <v>255000</v>
      </c>
      <c r="G399">
        <v>2.5499999999999998</v>
      </c>
      <c r="H399" t="s">
        <v>53</v>
      </c>
      <c r="I399" t="s">
        <v>845</v>
      </c>
      <c r="J399" s="8">
        <v>46235</v>
      </c>
      <c r="K399" t="s">
        <v>21</v>
      </c>
    </row>
    <row r="400" spans="1:11" x14ac:dyDescent="0.3">
      <c r="A400" t="s">
        <v>1220</v>
      </c>
      <c r="B400" t="s">
        <v>864</v>
      </c>
      <c r="C400" t="s">
        <v>283</v>
      </c>
      <c r="D400" t="s">
        <v>76</v>
      </c>
      <c r="E400" t="s">
        <v>52</v>
      </c>
      <c r="F400">
        <v>255000</v>
      </c>
      <c r="G400">
        <v>2.5499999999999998</v>
      </c>
      <c r="H400" t="s">
        <v>53</v>
      </c>
      <c r="I400" t="s">
        <v>845</v>
      </c>
      <c r="J400" s="8">
        <v>46235</v>
      </c>
      <c r="K400" t="s">
        <v>846</v>
      </c>
    </row>
    <row r="401" spans="1:11" x14ac:dyDescent="0.3">
      <c r="A401" t="s">
        <v>1223</v>
      </c>
      <c r="B401" t="s">
        <v>49</v>
      </c>
      <c r="C401" t="s">
        <v>357</v>
      </c>
      <c r="D401" t="s">
        <v>96</v>
      </c>
      <c r="E401" t="s">
        <v>16</v>
      </c>
      <c r="F401">
        <v>1010000</v>
      </c>
      <c r="G401">
        <v>10.1</v>
      </c>
      <c r="H401" t="s">
        <v>27</v>
      </c>
      <c r="I401" t="s">
        <v>845</v>
      </c>
      <c r="J401" s="8">
        <v>46064</v>
      </c>
      <c r="K401" t="s">
        <v>21</v>
      </c>
    </row>
    <row r="402" spans="1:11" x14ac:dyDescent="0.3">
      <c r="A402" t="s">
        <v>1223</v>
      </c>
      <c r="B402" t="s">
        <v>49</v>
      </c>
      <c r="C402" t="s">
        <v>357</v>
      </c>
      <c r="D402" t="s">
        <v>96</v>
      </c>
      <c r="E402" t="s">
        <v>16</v>
      </c>
      <c r="F402">
        <v>1010000</v>
      </c>
      <c r="G402">
        <v>10.1</v>
      </c>
      <c r="H402" t="s">
        <v>27</v>
      </c>
      <c r="I402" t="s">
        <v>845</v>
      </c>
      <c r="J402" s="8">
        <v>46064</v>
      </c>
      <c r="K402" t="s">
        <v>54</v>
      </c>
    </row>
    <row r="403" spans="1:11" x14ac:dyDescent="0.3">
      <c r="A403" t="s">
        <v>1223</v>
      </c>
      <c r="B403" t="s">
        <v>49</v>
      </c>
      <c r="C403" t="s">
        <v>357</v>
      </c>
      <c r="D403" t="s">
        <v>96</v>
      </c>
      <c r="E403" t="s">
        <v>16</v>
      </c>
      <c r="F403">
        <v>1010000</v>
      </c>
      <c r="G403">
        <v>10.1</v>
      </c>
      <c r="H403" t="s">
        <v>27</v>
      </c>
      <c r="I403" t="s">
        <v>845</v>
      </c>
      <c r="J403" s="8">
        <v>46064</v>
      </c>
      <c r="K403" t="s">
        <v>846</v>
      </c>
    </row>
    <row r="404" spans="1:11" x14ac:dyDescent="0.3">
      <c r="A404" t="s">
        <v>1224</v>
      </c>
      <c r="B404" t="s">
        <v>42</v>
      </c>
      <c r="C404" t="s">
        <v>865</v>
      </c>
      <c r="D404" t="s">
        <v>81</v>
      </c>
      <c r="E404" t="s">
        <v>37</v>
      </c>
      <c r="F404">
        <v>2085000</v>
      </c>
      <c r="G404">
        <v>20.85</v>
      </c>
      <c r="H404" t="s">
        <v>27</v>
      </c>
      <c r="I404" t="s">
        <v>59</v>
      </c>
      <c r="J404" s="8">
        <v>46201</v>
      </c>
      <c r="K404" t="s">
        <v>30</v>
      </c>
    </row>
    <row r="405" spans="1:11" x14ac:dyDescent="0.3">
      <c r="A405" t="s">
        <v>1224</v>
      </c>
      <c r="B405" t="s">
        <v>42</v>
      </c>
      <c r="C405" t="s">
        <v>865</v>
      </c>
      <c r="D405" t="s">
        <v>81</v>
      </c>
      <c r="E405" t="s">
        <v>37</v>
      </c>
      <c r="F405">
        <v>2085000</v>
      </c>
      <c r="G405">
        <v>20.85</v>
      </c>
      <c r="H405" t="s">
        <v>27</v>
      </c>
      <c r="I405" t="s">
        <v>59</v>
      </c>
      <c r="J405" s="8">
        <v>46201</v>
      </c>
      <c r="K405" t="s">
        <v>20</v>
      </c>
    </row>
    <row r="406" spans="1:11" x14ac:dyDescent="0.3">
      <c r="A406" t="s">
        <v>1224</v>
      </c>
      <c r="B406" t="s">
        <v>42</v>
      </c>
      <c r="C406" t="s">
        <v>865</v>
      </c>
      <c r="D406" t="s">
        <v>81</v>
      </c>
      <c r="E406" t="s">
        <v>37</v>
      </c>
      <c r="F406">
        <v>2085000</v>
      </c>
      <c r="G406">
        <v>20.85</v>
      </c>
      <c r="H406" t="s">
        <v>27</v>
      </c>
      <c r="I406" t="s">
        <v>59</v>
      </c>
      <c r="J406" s="8">
        <v>46201</v>
      </c>
      <c r="K406" t="s">
        <v>45</v>
      </c>
    </row>
    <row r="407" spans="1:11" x14ac:dyDescent="0.3">
      <c r="A407" t="s">
        <v>1227</v>
      </c>
      <c r="B407" t="s">
        <v>49</v>
      </c>
      <c r="C407" t="s">
        <v>357</v>
      </c>
      <c r="D407" t="s">
        <v>64</v>
      </c>
      <c r="E407" t="s">
        <v>37</v>
      </c>
      <c r="F407">
        <v>1795000</v>
      </c>
      <c r="G407">
        <v>17.95</v>
      </c>
      <c r="H407" t="s">
        <v>27</v>
      </c>
      <c r="I407" t="s">
        <v>28</v>
      </c>
      <c r="J407" s="8">
        <v>46185</v>
      </c>
      <c r="K407" t="s">
        <v>846</v>
      </c>
    </row>
    <row r="408" spans="1:11" x14ac:dyDescent="0.3">
      <c r="A408" t="s">
        <v>1227</v>
      </c>
      <c r="B408" t="s">
        <v>49</v>
      </c>
      <c r="C408" t="s">
        <v>357</v>
      </c>
      <c r="D408" t="s">
        <v>64</v>
      </c>
      <c r="E408" t="s">
        <v>37</v>
      </c>
      <c r="F408">
        <v>1795000</v>
      </c>
      <c r="G408">
        <v>17.95</v>
      </c>
      <c r="H408" t="s">
        <v>27</v>
      </c>
      <c r="I408" t="s">
        <v>28</v>
      </c>
      <c r="J408" s="8">
        <v>46185</v>
      </c>
      <c r="K408" t="s">
        <v>854</v>
      </c>
    </row>
    <row r="409" spans="1:11" x14ac:dyDescent="0.3">
      <c r="A409" t="s">
        <v>1227</v>
      </c>
      <c r="B409" t="s">
        <v>49</v>
      </c>
      <c r="C409" t="s">
        <v>357</v>
      </c>
      <c r="D409" t="s">
        <v>64</v>
      </c>
      <c r="E409" t="s">
        <v>37</v>
      </c>
      <c r="F409">
        <v>1795000</v>
      </c>
      <c r="G409">
        <v>17.95</v>
      </c>
      <c r="H409" t="s">
        <v>27</v>
      </c>
      <c r="I409" t="s">
        <v>28</v>
      </c>
      <c r="J409" s="8">
        <v>46185</v>
      </c>
      <c r="K409" t="s">
        <v>878</v>
      </c>
    </row>
    <row r="410" spans="1:11" x14ac:dyDescent="0.3">
      <c r="A410" t="s">
        <v>1229</v>
      </c>
      <c r="B410" t="s">
        <v>852</v>
      </c>
      <c r="C410" t="s">
        <v>106</v>
      </c>
      <c r="D410" t="s">
        <v>15</v>
      </c>
      <c r="E410" t="s">
        <v>16</v>
      </c>
      <c r="F410">
        <v>820000</v>
      </c>
      <c r="G410">
        <v>8.1999999999999993</v>
      </c>
      <c r="H410" t="s">
        <v>27</v>
      </c>
      <c r="I410" t="s">
        <v>28</v>
      </c>
      <c r="J410" s="8">
        <v>46238</v>
      </c>
      <c r="K410" t="s">
        <v>20</v>
      </c>
    </row>
    <row r="411" spans="1:11" x14ac:dyDescent="0.3">
      <c r="A411" t="s">
        <v>1229</v>
      </c>
      <c r="B411" t="s">
        <v>852</v>
      </c>
      <c r="C411" t="s">
        <v>106</v>
      </c>
      <c r="D411" t="s">
        <v>15</v>
      </c>
      <c r="E411" t="s">
        <v>16</v>
      </c>
      <c r="F411">
        <v>820000</v>
      </c>
      <c r="G411">
        <v>8.1999999999999993</v>
      </c>
      <c r="H411" t="s">
        <v>27</v>
      </c>
      <c r="I411" t="s">
        <v>28</v>
      </c>
      <c r="J411" s="8">
        <v>46238</v>
      </c>
      <c r="K411" t="s">
        <v>39</v>
      </c>
    </row>
    <row r="412" spans="1:11" x14ac:dyDescent="0.3">
      <c r="A412" t="s">
        <v>1229</v>
      </c>
      <c r="B412" t="s">
        <v>852</v>
      </c>
      <c r="C412" t="s">
        <v>106</v>
      </c>
      <c r="D412" t="s">
        <v>15</v>
      </c>
      <c r="E412" t="s">
        <v>16</v>
      </c>
      <c r="F412">
        <v>820000</v>
      </c>
      <c r="G412">
        <v>8.1999999999999993</v>
      </c>
      <c r="H412" t="s">
        <v>27</v>
      </c>
      <c r="I412" t="s">
        <v>28</v>
      </c>
      <c r="J412" s="8">
        <v>46238</v>
      </c>
      <c r="K412" t="s">
        <v>854</v>
      </c>
    </row>
    <row r="413" spans="1:11" x14ac:dyDescent="0.3">
      <c r="A413" t="s">
        <v>1232</v>
      </c>
      <c r="B413" t="s">
        <v>42</v>
      </c>
      <c r="C413" t="s">
        <v>295</v>
      </c>
      <c r="D413" t="s">
        <v>64</v>
      </c>
      <c r="E413" t="s">
        <v>52</v>
      </c>
      <c r="F413">
        <v>205000</v>
      </c>
      <c r="G413">
        <v>2.0499999999999998</v>
      </c>
      <c r="H413" t="s">
        <v>53</v>
      </c>
      <c r="I413" t="s">
        <v>28</v>
      </c>
      <c r="J413" s="8">
        <v>46240</v>
      </c>
      <c r="K413" t="s">
        <v>46</v>
      </c>
    </row>
    <row r="414" spans="1:11" x14ac:dyDescent="0.3">
      <c r="A414" t="s">
        <v>1232</v>
      </c>
      <c r="B414" t="s">
        <v>42</v>
      </c>
      <c r="C414" t="s">
        <v>295</v>
      </c>
      <c r="D414" t="s">
        <v>64</v>
      </c>
      <c r="E414" t="s">
        <v>52</v>
      </c>
      <c r="F414">
        <v>205000</v>
      </c>
      <c r="G414">
        <v>2.0499999999999998</v>
      </c>
      <c r="H414" t="s">
        <v>53</v>
      </c>
      <c r="I414" t="s">
        <v>28</v>
      </c>
      <c r="J414" s="8">
        <v>46240</v>
      </c>
      <c r="K414" t="s">
        <v>854</v>
      </c>
    </row>
    <row r="415" spans="1:11" x14ac:dyDescent="0.3">
      <c r="A415" t="s">
        <v>1232</v>
      </c>
      <c r="B415" t="s">
        <v>42</v>
      </c>
      <c r="C415" t="s">
        <v>295</v>
      </c>
      <c r="D415" t="s">
        <v>64</v>
      </c>
      <c r="E415" t="s">
        <v>52</v>
      </c>
      <c r="F415">
        <v>205000</v>
      </c>
      <c r="G415">
        <v>2.0499999999999998</v>
      </c>
      <c r="H415" t="s">
        <v>53</v>
      </c>
      <c r="I415" t="s">
        <v>28</v>
      </c>
      <c r="J415" s="8">
        <v>46240</v>
      </c>
      <c r="K415" t="s">
        <v>45</v>
      </c>
    </row>
    <row r="416" spans="1:11" x14ac:dyDescent="0.3">
      <c r="A416" t="s">
        <v>1235</v>
      </c>
      <c r="B416" t="s">
        <v>49</v>
      </c>
      <c r="C416" t="s">
        <v>283</v>
      </c>
      <c r="D416" t="s">
        <v>81</v>
      </c>
      <c r="E416" t="s">
        <v>52</v>
      </c>
      <c r="F416">
        <v>790000</v>
      </c>
      <c r="G416">
        <v>7.9</v>
      </c>
      <c r="H416" t="s">
        <v>27</v>
      </c>
      <c r="I416" t="s">
        <v>28</v>
      </c>
      <c r="J416" s="8">
        <v>46203</v>
      </c>
      <c r="K416" t="s">
        <v>54</v>
      </c>
    </row>
    <row r="417" spans="1:11" x14ac:dyDescent="0.3">
      <c r="A417" t="s">
        <v>1235</v>
      </c>
      <c r="B417" t="s">
        <v>49</v>
      </c>
      <c r="C417" t="s">
        <v>283</v>
      </c>
      <c r="D417" t="s">
        <v>81</v>
      </c>
      <c r="E417" t="s">
        <v>52</v>
      </c>
      <c r="F417">
        <v>790000</v>
      </c>
      <c r="G417">
        <v>7.9</v>
      </c>
      <c r="H417" t="s">
        <v>27</v>
      </c>
      <c r="I417" t="s">
        <v>28</v>
      </c>
      <c r="J417" s="8">
        <v>46203</v>
      </c>
      <c r="K417" t="s">
        <v>21</v>
      </c>
    </row>
    <row r="418" spans="1:11" x14ac:dyDescent="0.3">
      <c r="A418" t="s">
        <v>1235</v>
      </c>
      <c r="B418" t="s">
        <v>49</v>
      </c>
      <c r="C418" t="s">
        <v>283</v>
      </c>
      <c r="D418" t="s">
        <v>81</v>
      </c>
      <c r="E418" t="s">
        <v>52</v>
      </c>
      <c r="F418">
        <v>790000</v>
      </c>
      <c r="G418">
        <v>7.9</v>
      </c>
      <c r="H418" t="s">
        <v>27</v>
      </c>
      <c r="I418" t="s">
        <v>28</v>
      </c>
      <c r="J418" s="8">
        <v>46203</v>
      </c>
      <c r="K418" t="s">
        <v>45</v>
      </c>
    </row>
    <row r="419" spans="1:11" x14ac:dyDescent="0.3">
      <c r="A419" t="s">
        <v>1237</v>
      </c>
      <c r="B419" t="s">
        <v>996</v>
      </c>
      <c r="C419" t="s">
        <v>857</v>
      </c>
      <c r="D419" t="s">
        <v>81</v>
      </c>
      <c r="E419" t="s">
        <v>37</v>
      </c>
      <c r="F419">
        <v>1485000</v>
      </c>
      <c r="G419">
        <v>14.85</v>
      </c>
      <c r="H419" t="s">
        <v>27</v>
      </c>
      <c r="I419" t="s">
        <v>845</v>
      </c>
      <c r="J419" s="8">
        <v>46138</v>
      </c>
      <c r="K419" t="s">
        <v>46</v>
      </c>
    </row>
    <row r="420" spans="1:11" x14ac:dyDescent="0.3">
      <c r="A420" t="s">
        <v>1237</v>
      </c>
      <c r="B420" t="s">
        <v>996</v>
      </c>
      <c r="C420" t="s">
        <v>857</v>
      </c>
      <c r="D420" t="s">
        <v>81</v>
      </c>
      <c r="E420" t="s">
        <v>37</v>
      </c>
      <c r="F420">
        <v>1485000</v>
      </c>
      <c r="G420">
        <v>14.85</v>
      </c>
      <c r="H420" t="s">
        <v>27</v>
      </c>
      <c r="I420" t="s">
        <v>845</v>
      </c>
      <c r="J420" s="8">
        <v>46138</v>
      </c>
      <c r="K420" t="s">
        <v>874</v>
      </c>
    </row>
    <row r="421" spans="1:11" x14ac:dyDescent="0.3">
      <c r="A421" t="s">
        <v>1237</v>
      </c>
      <c r="B421" t="s">
        <v>996</v>
      </c>
      <c r="C421" t="s">
        <v>857</v>
      </c>
      <c r="D421" t="s">
        <v>81</v>
      </c>
      <c r="E421" t="s">
        <v>37</v>
      </c>
      <c r="F421">
        <v>1485000</v>
      </c>
      <c r="G421">
        <v>14.85</v>
      </c>
      <c r="H421" t="s">
        <v>27</v>
      </c>
      <c r="I421" t="s">
        <v>845</v>
      </c>
      <c r="J421" s="8">
        <v>46138</v>
      </c>
      <c r="K421" t="s">
        <v>908</v>
      </c>
    </row>
    <row r="422" spans="1:11" x14ac:dyDescent="0.3">
      <c r="A422" t="s">
        <v>1239</v>
      </c>
      <c r="B422" t="s">
        <v>75</v>
      </c>
      <c r="C422" t="s">
        <v>1127</v>
      </c>
      <c r="D422" t="s">
        <v>51</v>
      </c>
      <c r="E422" t="s">
        <v>37</v>
      </c>
      <c r="F422">
        <v>2060000</v>
      </c>
      <c r="G422">
        <v>20.6</v>
      </c>
      <c r="H422" t="s">
        <v>27</v>
      </c>
      <c r="I422" t="s">
        <v>28</v>
      </c>
      <c r="J422" s="8">
        <v>46094</v>
      </c>
      <c r="K422" t="s">
        <v>854</v>
      </c>
    </row>
    <row r="423" spans="1:11" x14ac:dyDescent="0.3">
      <c r="A423" t="s">
        <v>1239</v>
      </c>
      <c r="B423" t="s">
        <v>75</v>
      </c>
      <c r="C423" t="s">
        <v>1127</v>
      </c>
      <c r="D423" t="s">
        <v>51</v>
      </c>
      <c r="E423" t="s">
        <v>37</v>
      </c>
      <c r="F423">
        <v>2060000</v>
      </c>
      <c r="G423">
        <v>20.6</v>
      </c>
      <c r="H423" t="s">
        <v>27</v>
      </c>
      <c r="I423" t="s">
        <v>28</v>
      </c>
      <c r="J423" s="8">
        <v>46094</v>
      </c>
      <c r="K423" t="s">
        <v>21</v>
      </c>
    </row>
    <row r="424" spans="1:11" x14ac:dyDescent="0.3">
      <c r="A424" t="s">
        <v>1239</v>
      </c>
      <c r="B424" t="s">
        <v>75</v>
      </c>
      <c r="C424" t="s">
        <v>1127</v>
      </c>
      <c r="D424" t="s">
        <v>51</v>
      </c>
      <c r="E424" t="s">
        <v>37</v>
      </c>
      <c r="F424">
        <v>2060000</v>
      </c>
      <c r="G424">
        <v>20.6</v>
      </c>
      <c r="H424" t="s">
        <v>27</v>
      </c>
      <c r="I424" t="s">
        <v>28</v>
      </c>
      <c r="J424" s="8">
        <v>46094</v>
      </c>
      <c r="K424" t="s">
        <v>20</v>
      </c>
    </row>
    <row r="425" spans="1:11" x14ac:dyDescent="0.3">
      <c r="A425" t="s">
        <v>1242</v>
      </c>
      <c r="B425" t="s">
        <v>42</v>
      </c>
      <c r="C425" t="s">
        <v>205</v>
      </c>
      <c r="D425" t="s">
        <v>36</v>
      </c>
      <c r="E425" t="s">
        <v>37</v>
      </c>
      <c r="F425">
        <v>1825000</v>
      </c>
      <c r="G425">
        <v>18.25</v>
      </c>
      <c r="H425" t="s">
        <v>17</v>
      </c>
      <c r="I425" t="s">
        <v>845</v>
      </c>
      <c r="J425" s="8">
        <v>46079</v>
      </c>
      <c r="K425" t="s">
        <v>874</v>
      </c>
    </row>
    <row r="426" spans="1:11" x14ac:dyDescent="0.3">
      <c r="A426" t="s">
        <v>1242</v>
      </c>
      <c r="B426" t="s">
        <v>42</v>
      </c>
      <c r="C426" t="s">
        <v>205</v>
      </c>
      <c r="D426" t="s">
        <v>36</v>
      </c>
      <c r="E426" t="s">
        <v>37</v>
      </c>
      <c r="F426">
        <v>1825000</v>
      </c>
      <c r="G426">
        <v>18.25</v>
      </c>
      <c r="H426" t="s">
        <v>17</v>
      </c>
      <c r="I426" t="s">
        <v>845</v>
      </c>
      <c r="J426" s="8">
        <v>46079</v>
      </c>
      <c r="K426" t="s">
        <v>20</v>
      </c>
    </row>
    <row r="427" spans="1:11" x14ac:dyDescent="0.3">
      <c r="A427" t="s">
        <v>1242</v>
      </c>
      <c r="B427" t="s">
        <v>42</v>
      </c>
      <c r="C427" t="s">
        <v>205</v>
      </c>
      <c r="D427" t="s">
        <v>36</v>
      </c>
      <c r="E427" t="s">
        <v>37</v>
      </c>
      <c r="F427">
        <v>1825000</v>
      </c>
      <c r="G427">
        <v>18.25</v>
      </c>
      <c r="H427" t="s">
        <v>17</v>
      </c>
      <c r="I427" t="s">
        <v>845</v>
      </c>
      <c r="J427" s="8">
        <v>46079</v>
      </c>
      <c r="K427" t="s">
        <v>39</v>
      </c>
    </row>
    <row r="428" spans="1:11" x14ac:dyDescent="0.3">
      <c r="A428" t="s">
        <v>1244</v>
      </c>
      <c r="B428" t="s">
        <v>852</v>
      </c>
      <c r="C428" t="s">
        <v>305</v>
      </c>
      <c r="D428" t="s">
        <v>96</v>
      </c>
      <c r="E428" t="s">
        <v>116</v>
      </c>
      <c r="F428">
        <v>1370000</v>
      </c>
      <c r="G428">
        <v>13.7</v>
      </c>
      <c r="H428" t="s">
        <v>27</v>
      </c>
      <c r="I428" t="s">
        <v>845</v>
      </c>
      <c r="J428" s="8">
        <v>46142</v>
      </c>
      <c r="K428" t="s">
        <v>874</v>
      </c>
    </row>
    <row r="429" spans="1:11" x14ac:dyDescent="0.3">
      <c r="A429" t="s">
        <v>1244</v>
      </c>
      <c r="B429" t="s">
        <v>852</v>
      </c>
      <c r="C429" t="s">
        <v>305</v>
      </c>
      <c r="D429" t="s">
        <v>96</v>
      </c>
      <c r="E429" t="s">
        <v>116</v>
      </c>
      <c r="F429">
        <v>1370000</v>
      </c>
      <c r="G429">
        <v>13.7</v>
      </c>
      <c r="H429" t="s">
        <v>27</v>
      </c>
      <c r="I429" t="s">
        <v>845</v>
      </c>
      <c r="J429" s="8">
        <v>46142</v>
      </c>
      <c r="K429" t="s">
        <v>29</v>
      </c>
    </row>
    <row r="430" spans="1:11" x14ac:dyDescent="0.3">
      <c r="A430" t="s">
        <v>1244</v>
      </c>
      <c r="B430" t="s">
        <v>852</v>
      </c>
      <c r="C430" t="s">
        <v>305</v>
      </c>
      <c r="D430" t="s">
        <v>96</v>
      </c>
      <c r="E430" t="s">
        <v>116</v>
      </c>
      <c r="F430">
        <v>1370000</v>
      </c>
      <c r="G430">
        <v>13.7</v>
      </c>
      <c r="H430" t="s">
        <v>27</v>
      </c>
      <c r="I430" t="s">
        <v>845</v>
      </c>
      <c r="J430" s="8">
        <v>46142</v>
      </c>
      <c r="K430" t="s">
        <v>908</v>
      </c>
    </row>
    <row r="431" spans="1:11" x14ac:dyDescent="0.3">
      <c r="A431" t="s">
        <v>1246</v>
      </c>
      <c r="B431" t="s">
        <v>13</v>
      </c>
      <c r="C431" t="s">
        <v>321</v>
      </c>
      <c r="D431" t="s">
        <v>71</v>
      </c>
      <c r="E431" t="s">
        <v>52</v>
      </c>
      <c r="F431">
        <v>500000</v>
      </c>
      <c r="G431">
        <v>5</v>
      </c>
      <c r="H431" t="s">
        <v>27</v>
      </c>
      <c r="I431" t="s">
        <v>28</v>
      </c>
      <c r="J431" s="8">
        <v>46172</v>
      </c>
      <c r="K431" t="s">
        <v>46</v>
      </c>
    </row>
    <row r="432" spans="1:11" x14ac:dyDescent="0.3">
      <c r="A432" t="s">
        <v>1246</v>
      </c>
      <c r="B432" t="s">
        <v>13</v>
      </c>
      <c r="C432" t="s">
        <v>321</v>
      </c>
      <c r="D432" t="s">
        <v>71</v>
      </c>
      <c r="E432" t="s">
        <v>52</v>
      </c>
      <c r="F432">
        <v>500000</v>
      </c>
      <c r="G432">
        <v>5</v>
      </c>
      <c r="H432" t="s">
        <v>27</v>
      </c>
      <c r="I432" t="s">
        <v>28</v>
      </c>
      <c r="J432" s="8">
        <v>46172</v>
      </c>
      <c r="K432" t="s">
        <v>54</v>
      </c>
    </row>
    <row r="433" spans="1:11" x14ac:dyDescent="0.3">
      <c r="A433" t="s">
        <v>1246</v>
      </c>
      <c r="B433" t="s">
        <v>13</v>
      </c>
      <c r="C433" t="s">
        <v>321</v>
      </c>
      <c r="D433" t="s">
        <v>71</v>
      </c>
      <c r="E433" t="s">
        <v>52</v>
      </c>
      <c r="F433">
        <v>500000</v>
      </c>
      <c r="G433">
        <v>5</v>
      </c>
      <c r="H433" t="s">
        <v>27</v>
      </c>
      <c r="I433" t="s">
        <v>28</v>
      </c>
      <c r="J433" s="8">
        <v>46172</v>
      </c>
      <c r="K433" t="s">
        <v>846</v>
      </c>
    </row>
    <row r="434" spans="1:11" x14ac:dyDescent="0.3">
      <c r="A434" t="s">
        <v>1248</v>
      </c>
      <c r="B434" t="s">
        <v>75</v>
      </c>
      <c r="C434" t="s">
        <v>123</v>
      </c>
      <c r="D434" t="s">
        <v>26</v>
      </c>
      <c r="E434" t="s">
        <v>37</v>
      </c>
      <c r="F434">
        <v>2045000</v>
      </c>
      <c r="G434">
        <v>20.45</v>
      </c>
      <c r="H434" t="s">
        <v>27</v>
      </c>
      <c r="I434" t="s">
        <v>28</v>
      </c>
      <c r="J434" s="8">
        <v>46126</v>
      </c>
      <c r="K434" t="s">
        <v>846</v>
      </c>
    </row>
    <row r="435" spans="1:11" x14ac:dyDescent="0.3">
      <c r="A435" t="s">
        <v>1248</v>
      </c>
      <c r="B435" t="s">
        <v>75</v>
      </c>
      <c r="C435" t="s">
        <v>123</v>
      </c>
      <c r="D435" t="s">
        <v>26</v>
      </c>
      <c r="E435" t="s">
        <v>37</v>
      </c>
      <c r="F435">
        <v>2045000</v>
      </c>
      <c r="G435">
        <v>20.45</v>
      </c>
      <c r="H435" t="s">
        <v>27</v>
      </c>
      <c r="I435" t="s">
        <v>28</v>
      </c>
      <c r="J435" s="8">
        <v>46126</v>
      </c>
      <c r="K435" t="s">
        <v>31</v>
      </c>
    </row>
    <row r="436" spans="1:11" x14ac:dyDescent="0.3">
      <c r="A436" t="s">
        <v>1248</v>
      </c>
      <c r="B436" t="s">
        <v>75</v>
      </c>
      <c r="C436" t="s">
        <v>123</v>
      </c>
      <c r="D436" t="s">
        <v>26</v>
      </c>
      <c r="E436" t="s">
        <v>37</v>
      </c>
      <c r="F436">
        <v>2045000</v>
      </c>
      <c r="G436">
        <v>20.45</v>
      </c>
      <c r="H436" t="s">
        <v>27</v>
      </c>
      <c r="I436" t="s">
        <v>28</v>
      </c>
      <c r="J436" s="8">
        <v>46126</v>
      </c>
      <c r="K436" t="s">
        <v>45</v>
      </c>
    </row>
    <row r="437" spans="1:11" x14ac:dyDescent="0.3">
      <c r="A437" t="s">
        <v>1250</v>
      </c>
      <c r="B437" t="s">
        <v>42</v>
      </c>
      <c r="C437" t="s">
        <v>194</v>
      </c>
      <c r="D437" t="s">
        <v>36</v>
      </c>
      <c r="E437" t="s">
        <v>37</v>
      </c>
      <c r="F437">
        <v>1420000</v>
      </c>
      <c r="G437">
        <v>14.2</v>
      </c>
      <c r="H437" t="s">
        <v>27</v>
      </c>
      <c r="I437" t="s">
        <v>845</v>
      </c>
      <c r="J437" s="8">
        <v>46186</v>
      </c>
      <c r="K437" t="s">
        <v>46</v>
      </c>
    </row>
    <row r="438" spans="1:11" x14ac:dyDescent="0.3">
      <c r="A438" t="s">
        <v>1250</v>
      </c>
      <c r="B438" t="s">
        <v>42</v>
      </c>
      <c r="C438" t="s">
        <v>194</v>
      </c>
      <c r="D438" t="s">
        <v>36</v>
      </c>
      <c r="E438" t="s">
        <v>37</v>
      </c>
      <c r="F438">
        <v>1420000</v>
      </c>
      <c r="G438">
        <v>14.2</v>
      </c>
      <c r="H438" t="s">
        <v>27</v>
      </c>
      <c r="I438" t="s">
        <v>845</v>
      </c>
      <c r="J438" s="8">
        <v>46186</v>
      </c>
      <c r="K438" t="s">
        <v>39</v>
      </c>
    </row>
    <row r="439" spans="1:11" x14ac:dyDescent="0.3">
      <c r="A439" t="s">
        <v>1250</v>
      </c>
      <c r="B439" t="s">
        <v>42</v>
      </c>
      <c r="C439" t="s">
        <v>194</v>
      </c>
      <c r="D439" t="s">
        <v>36</v>
      </c>
      <c r="E439" t="s">
        <v>37</v>
      </c>
      <c r="F439">
        <v>1420000</v>
      </c>
      <c r="G439">
        <v>14.2</v>
      </c>
      <c r="H439" t="s">
        <v>27</v>
      </c>
      <c r="I439" t="s">
        <v>845</v>
      </c>
      <c r="J439" s="8">
        <v>46186</v>
      </c>
      <c r="K439" t="s">
        <v>854</v>
      </c>
    </row>
    <row r="440" spans="1:11" x14ac:dyDescent="0.3">
      <c r="A440" t="s">
        <v>1251</v>
      </c>
      <c r="B440" t="s">
        <v>864</v>
      </c>
      <c r="C440" t="s">
        <v>63</v>
      </c>
      <c r="D440" t="s">
        <v>71</v>
      </c>
      <c r="E440" t="s">
        <v>37</v>
      </c>
      <c r="F440">
        <v>1100000</v>
      </c>
      <c r="G440">
        <v>11</v>
      </c>
      <c r="H440" t="s">
        <v>27</v>
      </c>
      <c r="I440" t="s">
        <v>845</v>
      </c>
      <c r="J440" s="8">
        <v>46122</v>
      </c>
      <c r="K440" t="s">
        <v>31</v>
      </c>
    </row>
    <row r="441" spans="1:11" x14ac:dyDescent="0.3">
      <c r="A441" t="s">
        <v>1251</v>
      </c>
      <c r="B441" t="s">
        <v>864</v>
      </c>
      <c r="C441" t="s">
        <v>63</v>
      </c>
      <c r="D441" t="s">
        <v>71</v>
      </c>
      <c r="E441" t="s">
        <v>37</v>
      </c>
      <c r="F441">
        <v>1100000</v>
      </c>
      <c r="G441">
        <v>11</v>
      </c>
      <c r="H441" t="s">
        <v>27</v>
      </c>
      <c r="I441" t="s">
        <v>845</v>
      </c>
      <c r="J441" s="8">
        <v>46122</v>
      </c>
      <c r="K441" t="s">
        <v>54</v>
      </c>
    </row>
    <row r="442" spans="1:11" x14ac:dyDescent="0.3">
      <c r="A442" t="s">
        <v>1251</v>
      </c>
      <c r="B442" t="s">
        <v>864</v>
      </c>
      <c r="C442" t="s">
        <v>63</v>
      </c>
      <c r="D442" t="s">
        <v>71</v>
      </c>
      <c r="E442" t="s">
        <v>37</v>
      </c>
      <c r="F442">
        <v>1100000</v>
      </c>
      <c r="G442">
        <v>11</v>
      </c>
      <c r="H442" t="s">
        <v>27</v>
      </c>
      <c r="I442" t="s">
        <v>845</v>
      </c>
      <c r="J442" s="8">
        <v>46122</v>
      </c>
      <c r="K442" t="s">
        <v>21</v>
      </c>
    </row>
    <row r="443" spans="1:11" x14ac:dyDescent="0.3">
      <c r="A443" t="s">
        <v>1254</v>
      </c>
      <c r="B443" t="s">
        <v>42</v>
      </c>
      <c r="C443" t="s">
        <v>139</v>
      </c>
      <c r="D443" t="s">
        <v>64</v>
      </c>
      <c r="E443" t="s">
        <v>116</v>
      </c>
      <c r="F443">
        <v>1225000</v>
      </c>
      <c r="G443">
        <v>12.25</v>
      </c>
      <c r="H443" t="s">
        <v>27</v>
      </c>
      <c r="I443" t="s">
        <v>28</v>
      </c>
      <c r="J443" s="8">
        <v>46072</v>
      </c>
      <c r="K443" t="s">
        <v>45</v>
      </c>
    </row>
    <row r="444" spans="1:11" x14ac:dyDescent="0.3">
      <c r="A444" t="s">
        <v>1254</v>
      </c>
      <c r="B444" t="s">
        <v>42</v>
      </c>
      <c r="C444" t="s">
        <v>139</v>
      </c>
      <c r="D444" t="s">
        <v>64</v>
      </c>
      <c r="E444" t="s">
        <v>116</v>
      </c>
      <c r="F444">
        <v>1225000</v>
      </c>
      <c r="G444">
        <v>12.25</v>
      </c>
      <c r="H444" t="s">
        <v>27</v>
      </c>
      <c r="I444" t="s">
        <v>28</v>
      </c>
      <c r="J444" s="8">
        <v>46072</v>
      </c>
      <c r="K444" t="s">
        <v>46</v>
      </c>
    </row>
    <row r="445" spans="1:11" x14ac:dyDescent="0.3">
      <c r="A445" t="s">
        <v>1254</v>
      </c>
      <c r="B445" t="s">
        <v>42</v>
      </c>
      <c r="C445" t="s">
        <v>139</v>
      </c>
      <c r="D445" t="s">
        <v>64</v>
      </c>
      <c r="E445" t="s">
        <v>116</v>
      </c>
      <c r="F445">
        <v>1225000</v>
      </c>
      <c r="G445">
        <v>12.25</v>
      </c>
      <c r="H445" t="s">
        <v>27</v>
      </c>
      <c r="I445" t="s">
        <v>28</v>
      </c>
      <c r="J445" s="8">
        <v>46072</v>
      </c>
      <c r="K445" t="s">
        <v>854</v>
      </c>
    </row>
    <row r="446" spans="1:11" x14ac:dyDescent="0.3">
      <c r="A446" t="s">
        <v>1255</v>
      </c>
      <c r="B446" t="s">
        <v>75</v>
      </c>
      <c r="C446" t="s">
        <v>1195</v>
      </c>
      <c r="D446" t="s">
        <v>96</v>
      </c>
      <c r="E446" t="s">
        <v>16</v>
      </c>
      <c r="F446">
        <v>940000</v>
      </c>
      <c r="G446">
        <v>9.4</v>
      </c>
      <c r="H446" t="s">
        <v>27</v>
      </c>
      <c r="I446" t="s">
        <v>845</v>
      </c>
      <c r="J446" s="8">
        <v>46086</v>
      </c>
      <c r="K446" t="s">
        <v>874</v>
      </c>
    </row>
    <row r="447" spans="1:11" x14ac:dyDescent="0.3">
      <c r="A447" t="s">
        <v>1255</v>
      </c>
      <c r="B447" t="s">
        <v>75</v>
      </c>
      <c r="C447" t="s">
        <v>1195</v>
      </c>
      <c r="D447" t="s">
        <v>96</v>
      </c>
      <c r="E447" t="s">
        <v>16</v>
      </c>
      <c r="F447">
        <v>940000</v>
      </c>
      <c r="G447">
        <v>9.4</v>
      </c>
      <c r="H447" t="s">
        <v>27</v>
      </c>
      <c r="I447" t="s">
        <v>845</v>
      </c>
      <c r="J447" s="8">
        <v>46086</v>
      </c>
      <c r="K447" t="s">
        <v>45</v>
      </c>
    </row>
    <row r="448" spans="1:11" x14ac:dyDescent="0.3">
      <c r="A448" t="s">
        <v>1255</v>
      </c>
      <c r="B448" t="s">
        <v>75</v>
      </c>
      <c r="C448" t="s">
        <v>1195</v>
      </c>
      <c r="D448" t="s">
        <v>96</v>
      </c>
      <c r="E448" t="s">
        <v>16</v>
      </c>
      <c r="F448">
        <v>940000</v>
      </c>
      <c r="G448">
        <v>9.4</v>
      </c>
      <c r="H448" t="s">
        <v>27</v>
      </c>
      <c r="I448" t="s">
        <v>845</v>
      </c>
      <c r="J448" s="8">
        <v>46086</v>
      </c>
      <c r="K448" t="s">
        <v>30</v>
      </c>
    </row>
    <row r="449" spans="1:11" x14ac:dyDescent="0.3">
      <c r="A449" t="s">
        <v>1257</v>
      </c>
      <c r="B449" t="s">
        <v>864</v>
      </c>
      <c r="C449" t="s">
        <v>63</v>
      </c>
      <c r="D449" t="s">
        <v>51</v>
      </c>
      <c r="E449" t="s">
        <v>77</v>
      </c>
      <c r="F449">
        <v>2170000</v>
      </c>
      <c r="G449">
        <v>21.7</v>
      </c>
      <c r="H449" t="s">
        <v>27</v>
      </c>
      <c r="I449" t="s">
        <v>845</v>
      </c>
      <c r="J449" s="8">
        <v>46034</v>
      </c>
      <c r="K449" t="s">
        <v>45</v>
      </c>
    </row>
    <row r="450" spans="1:11" x14ac:dyDescent="0.3">
      <c r="A450" t="s">
        <v>1257</v>
      </c>
      <c r="B450" t="s">
        <v>864</v>
      </c>
      <c r="C450" t="s">
        <v>63</v>
      </c>
      <c r="D450" t="s">
        <v>51</v>
      </c>
      <c r="E450" t="s">
        <v>77</v>
      </c>
      <c r="F450">
        <v>2170000</v>
      </c>
      <c r="G450">
        <v>21.7</v>
      </c>
      <c r="H450" t="s">
        <v>27</v>
      </c>
      <c r="I450" t="s">
        <v>845</v>
      </c>
      <c r="J450" s="8">
        <v>46034</v>
      </c>
      <c r="K450" t="s">
        <v>878</v>
      </c>
    </row>
    <row r="451" spans="1:11" x14ac:dyDescent="0.3">
      <c r="A451" t="s">
        <v>1257</v>
      </c>
      <c r="B451" t="s">
        <v>864</v>
      </c>
      <c r="C451" t="s">
        <v>63</v>
      </c>
      <c r="D451" t="s">
        <v>51</v>
      </c>
      <c r="E451" t="s">
        <v>77</v>
      </c>
      <c r="F451">
        <v>2170000</v>
      </c>
      <c r="G451">
        <v>21.7</v>
      </c>
      <c r="H451" t="s">
        <v>27</v>
      </c>
      <c r="I451" t="s">
        <v>845</v>
      </c>
      <c r="J451" s="8">
        <v>46034</v>
      </c>
      <c r="K451" t="s">
        <v>21</v>
      </c>
    </row>
    <row r="452" spans="1:11" x14ac:dyDescent="0.3">
      <c r="A452" t="s">
        <v>1260</v>
      </c>
      <c r="B452" t="s">
        <v>24</v>
      </c>
      <c r="C452" t="s">
        <v>191</v>
      </c>
      <c r="D452" t="s">
        <v>64</v>
      </c>
      <c r="E452" t="s">
        <v>37</v>
      </c>
      <c r="F452">
        <v>1000000</v>
      </c>
      <c r="G452">
        <v>10</v>
      </c>
      <c r="H452" t="s">
        <v>17</v>
      </c>
      <c r="I452" t="s">
        <v>28</v>
      </c>
      <c r="J452" s="8">
        <v>46028</v>
      </c>
      <c r="K452" t="s">
        <v>30</v>
      </c>
    </row>
    <row r="453" spans="1:11" x14ac:dyDescent="0.3">
      <c r="A453" t="s">
        <v>1260</v>
      </c>
      <c r="B453" t="s">
        <v>24</v>
      </c>
      <c r="C453" t="s">
        <v>191</v>
      </c>
      <c r="D453" t="s">
        <v>64</v>
      </c>
      <c r="E453" t="s">
        <v>37</v>
      </c>
      <c r="F453">
        <v>1000000</v>
      </c>
      <c r="G453">
        <v>10</v>
      </c>
      <c r="H453" t="s">
        <v>17</v>
      </c>
      <c r="I453" t="s">
        <v>28</v>
      </c>
      <c r="J453" s="8">
        <v>46028</v>
      </c>
      <c r="K453" t="s">
        <v>908</v>
      </c>
    </row>
    <row r="454" spans="1:11" x14ac:dyDescent="0.3">
      <c r="A454" t="s">
        <v>1260</v>
      </c>
      <c r="B454" t="s">
        <v>24</v>
      </c>
      <c r="C454" t="s">
        <v>191</v>
      </c>
      <c r="D454" t="s">
        <v>64</v>
      </c>
      <c r="E454" t="s">
        <v>37</v>
      </c>
      <c r="F454">
        <v>1000000</v>
      </c>
      <c r="G454">
        <v>10</v>
      </c>
      <c r="H454" t="s">
        <v>17</v>
      </c>
      <c r="I454" t="s">
        <v>28</v>
      </c>
      <c r="J454" s="8">
        <v>46028</v>
      </c>
      <c r="K454" t="s">
        <v>846</v>
      </c>
    </row>
    <row r="455" spans="1:11" x14ac:dyDescent="0.3">
      <c r="A455" t="s">
        <v>1262</v>
      </c>
      <c r="B455" t="s">
        <v>62</v>
      </c>
      <c r="C455" t="s">
        <v>191</v>
      </c>
      <c r="D455" t="s">
        <v>76</v>
      </c>
      <c r="E455" t="s">
        <v>16</v>
      </c>
      <c r="F455">
        <v>1040000</v>
      </c>
      <c r="G455">
        <v>10.4</v>
      </c>
      <c r="H455" t="s">
        <v>27</v>
      </c>
      <c r="I455" t="s">
        <v>59</v>
      </c>
      <c r="J455" s="8">
        <v>46054</v>
      </c>
      <c r="K455" t="s">
        <v>874</v>
      </c>
    </row>
    <row r="456" spans="1:11" x14ac:dyDescent="0.3">
      <c r="A456" t="s">
        <v>1262</v>
      </c>
      <c r="B456" t="s">
        <v>62</v>
      </c>
      <c r="C456" t="s">
        <v>191</v>
      </c>
      <c r="D456" t="s">
        <v>76</v>
      </c>
      <c r="E456" t="s">
        <v>16</v>
      </c>
      <c r="F456">
        <v>1040000</v>
      </c>
      <c r="G456">
        <v>10.4</v>
      </c>
      <c r="H456" t="s">
        <v>27</v>
      </c>
      <c r="I456" t="s">
        <v>59</v>
      </c>
      <c r="J456" s="8">
        <v>46054</v>
      </c>
      <c r="K456" t="s">
        <v>30</v>
      </c>
    </row>
    <row r="457" spans="1:11" x14ac:dyDescent="0.3">
      <c r="A457" t="s">
        <v>1262</v>
      </c>
      <c r="B457" t="s">
        <v>62</v>
      </c>
      <c r="C457" t="s">
        <v>191</v>
      </c>
      <c r="D457" t="s">
        <v>76</v>
      </c>
      <c r="E457" t="s">
        <v>16</v>
      </c>
      <c r="F457">
        <v>1040000</v>
      </c>
      <c r="G457">
        <v>10.4</v>
      </c>
      <c r="H457" t="s">
        <v>27</v>
      </c>
      <c r="I457" t="s">
        <v>59</v>
      </c>
      <c r="J457" s="8">
        <v>46054</v>
      </c>
      <c r="K457" t="s">
        <v>29</v>
      </c>
    </row>
    <row r="458" spans="1:11" x14ac:dyDescent="0.3">
      <c r="A458" t="s">
        <v>1265</v>
      </c>
      <c r="B458" t="s">
        <v>62</v>
      </c>
      <c r="C458" t="s">
        <v>281</v>
      </c>
      <c r="D458" t="s">
        <v>76</v>
      </c>
      <c r="E458" t="s">
        <v>77</v>
      </c>
      <c r="F458">
        <v>1795000</v>
      </c>
      <c r="G458">
        <v>17.95</v>
      </c>
      <c r="H458" t="s">
        <v>17</v>
      </c>
      <c r="I458" t="s">
        <v>28</v>
      </c>
      <c r="J458" s="8">
        <v>46175</v>
      </c>
      <c r="K458" t="s">
        <v>908</v>
      </c>
    </row>
    <row r="459" spans="1:11" x14ac:dyDescent="0.3">
      <c r="A459" t="s">
        <v>1265</v>
      </c>
      <c r="B459" t="s">
        <v>62</v>
      </c>
      <c r="C459" t="s">
        <v>281</v>
      </c>
      <c r="D459" t="s">
        <v>76</v>
      </c>
      <c r="E459" t="s">
        <v>77</v>
      </c>
      <c r="F459">
        <v>1795000</v>
      </c>
      <c r="G459">
        <v>17.95</v>
      </c>
      <c r="H459" t="s">
        <v>17</v>
      </c>
      <c r="I459" t="s">
        <v>28</v>
      </c>
      <c r="J459" s="8">
        <v>46175</v>
      </c>
      <c r="K459" t="s">
        <v>878</v>
      </c>
    </row>
    <row r="460" spans="1:11" x14ac:dyDescent="0.3">
      <c r="A460" t="s">
        <v>1265</v>
      </c>
      <c r="B460" t="s">
        <v>62</v>
      </c>
      <c r="C460" t="s">
        <v>281</v>
      </c>
      <c r="D460" t="s">
        <v>76</v>
      </c>
      <c r="E460" t="s">
        <v>77</v>
      </c>
      <c r="F460">
        <v>1795000</v>
      </c>
      <c r="G460">
        <v>17.95</v>
      </c>
      <c r="H460" t="s">
        <v>17</v>
      </c>
      <c r="I460" t="s">
        <v>28</v>
      </c>
      <c r="J460" s="8">
        <v>46175</v>
      </c>
      <c r="K460" t="s">
        <v>31</v>
      </c>
    </row>
    <row r="461" spans="1:11" x14ac:dyDescent="0.3">
      <c r="A461" t="s">
        <v>1267</v>
      </c>
      <c r="B461" t="s">
        <v>960</v>
      </c>
      <c r="C461" t="s">
        <v>389</v>
      </c>
      <c r="D461" t="s">
        <v>44</v>
      </c>
      <c r="E461" t="s">
        <v>116</v>
      </c>
      <c r="F461">
        <v>1445000</v>
      </c>
      <c r="G461">
        <v>14.45</v>
      </c>
      <c r="H461" t="s">
        <v>17</v>
      </c>
      <c r="I461" t="s">
        <v>845</v>
      </c>
      <c r="J461" s="8">
        <v>46041</v>
      </c>
      <c r="K461" t="s">
        <v>846</v>
      </c>
    </row>
    <row r="462" spans="1:11" x14ac:dyDescent="0.3">
      <c r="A462" t="s">
        <v>1267</v>
      </c>
      <c r="B462" t="s">
        <v>960</v>
      </c>
      <c r="C462" t="s">
        <v>389</v>
      </c>
      <c r="D462" t="s">
        <v>44</v>
      </c>
      <c r="E462" t="s">
        <v>116</v>
      </c>
      <c r="F462">
        <v>1445000</v>
      </c>
      <c r="G462">
        <v>14.45</v>
      </c>
      <c r="H462" t="s">
        <v>17</v>
      </c>
      <c r="I462" t="s">
        <v>845</v>
      </c>
      <c r="J462" s="8">
        <v>46041</v>
      </c>
      <c r="K462" t="s">
        <v>878</v>
      </c>
    </row>
    <row r="463" spans="1:11" x14ac:dyDescent="0.3">
      <c r="A463" t="s">
        <v>1267</v>
      </c>
      <c r="B463" t="s">
        <v>960</v>
      </c>
      <c r="C463" t="s">
        <v>389</v>
      </c>
      <c r="D463" t="s">
        <v>44</v>
      </c>
      <c r="E463" t="s">
        <v>116</v>
      </c>
      <c r="F463">
        <v>1445000</v>
      </c>
      <c r="G463">
        <v>14.45</v>
      </c>
      <c r="H463" t="s">
        <v>17</v>
      </c>
      <c r="I463" t="s">
        <v>845</v>
      </c>
      <c r="J463" s="8">
        <v>46041</v>
      </c>
      <c r="K463" t="s">
        <v>45</v>
      </c>
    </row>
    <row r="464" spans="1:11" x14ac:dyDescent="0.3">
      <c r="A464" t="s">
        <v>1268</v>
      </c>
      <c r="B464" t="s">
        <v>996</v>
      </c>
      <c r="C464" t="s">
        <v>277</v>
      </c>
      <c r="D464" t="s">
        <v>76</v>
      </c>
      <c r="E464" t="s">
        <v>116</v>
      </c>
      <c r="F464">
        <v>1305000</v>
      </c>
      <c r="G464">
        <v>13.05</v>
      </c>
      <c r="H464" t="s">
        <v>27</v>
      </c>
      <c r="I464" t="s">
        <v>28</v>
      </c>
      <c r="J464" s="8">
        <v>46196</v>
      </c>
      <c r="K464" t="s">
        <v>20</v>
      </c>
    </row>
    <row r="465" spans="1:11" x14ac:dyDescent="0.3">
      <c r="A465" t="s">
        <v>1268</v>
      </c>
      <c r="B465" t="s">
        <v>996</v>
      </c>
      <c r="C465" t="s">
        <v>277</v>
      </c>
      <c r="D465" t="s">
        <v>76</v>
      </c>
      <c r="E465" t="s">
        <v>116</v>
      </c>
      <c r="F465">
        <v>1305000</v>
      </c>
      <c r="G465">
        <v>13.05</v>
      </c>
      <c r="H465" t="s">
        <v>27</v>
      </c>
      <c r="I465" t="s">
        <v>28</v>
      </c>
      <c r="J465" s="8">
        <v>46196</v>
      </c>
      <c r="K465" t="s">
        <v>39</v>
      </c>
    </row>
    <row r="466" spans="1:11" x14ac:dyDescent="0.3">
      <c r="A466" t="s">
        <v>1268</v>
      </c>
      <c r="B466" t="s">
        <v>996</v>
      </c>
      <c r="C466" t="s">
        <v>277</v>
      </c>
      <c r="D466" t="s">
        <v>76</v>
      </c>
      <c r="E466" t="s">
        <v>116</v>
      </c>
      <c r="F466">
        <v>1305000</v>
      </c>
      <c r="G466">
        <v>13.05</v>
      </c>
      <c r="H466" t="s">
        <v>27</v>
      </c>
      <c r="I466" t="s">
        <v>28</v>
      </c>
      <c r="J466" s="8">
        <v>46196</v>
      </c>
      <c r="K466" t="s">
        <v>878</v>
      </c>
    </row>
    <row r="467" spans="1:11" x14ac:dyDescent="0.3">
      <c r="A467" t="s">
        <v>1270</v>
      </c>
      <c r="B467" t="s">
        <v>864</v>
      </c>
      <c r="C467" t="s">
        <v>220</v>
      </c>
      <c r="D467" t="s">
        <v>96</v>
      </c>
      <c r="E467" t="s">
        <v>52</v>
      </c>
      <c r="F467">
        <v>470000</v>
      </c>
      <c r="G467">
        <v>4.7</v>
      </c>
      <c r="H467" t="s">
        <v>27</v>
      </c>
      <c r="I467" t="s">
        <v>845</v>
      </c>
      <c r="J467" s="8">
        <v>46155</v>
      </c>
      <c r="K467" t="s">
        <v>21</v>
      </c>
    </row>
    <row r="468" spans="1:11" x14ac:dyDescent="0.3">
      <c r="A468" t="s">
        <v>1270</v>
      </c>
      <c r="B468" t="s">
        <v>864</v>
      </c>
      <c r="C468" t="s">
        <v>220</v>
      </c>
      <c r="D468" t="s">
        <v>96</v>
      </c>
      <c r="E468" t="s">
        <v>52</v>
      </c>
      <c r="F468">
        <v>470000</v>
      </c>
      <c r="G468">
        <v>4.7</v>
      </c>
      <c r="H468" t="s">
        <v>27</v>
      </c>
      <c r="I468" t="s">
        <v>845</v>
      </c>
      <c r="J468" s="8">
        <v>46155</v>
      </c>
      <c r="K468" t="s">
        <v>45</v>
      </c>
    </row>
    <row r="469" spans="1:11" x14ac:dyDescent="0.3">
      <c r="A469" t="s">
        <v>1270</v>
      </c>
      <c r="B469" t="s">
        <v>864</v>
      </c>
      <c r="C469" t="s">
        <v>220</v>
      </c>
      <c r="D469" t="s">
        <v>96</v>
      </c>
      <c r="E469" t="s">
        <v>52</v>
      </c>
      <c r="F469">
        <v>470000</v>
      </c>
      <c r="G469">
        <v>4.7</v>
      </c>
      <c r="H469" t="s">
        <v>27</v>
      </c>
      <c r="I469" t="s">
        <v>845</v>
      </c>
      <c r="J469" s="8">
        <v>46155</v>
      </c>
      <c r="K469" t="s">
        <v>846</v>
      </c>
    </row>
    <row r="470" spans="1:11" x14ac:dyDescent="0.3">
      <c r="A470" t="s">
        <v>1272</v>
      </c>
      <c r="B470" t="s">
        <v>49</v>
      </c>
      <c r="C470" t="s">
        <v>260</v>
      </c>
      <c r="D470" t="s">
        <v>44</v>
      </c>
      <c r="E470" t="s">
        <v>52</v>
      </c>
      <c r="F470">
        <v>425000</v>
      </c>
      <c r="G470">
        <v>4.25</v>
      </c>
      <c r="H470" t="s">
        <v>53</v>
      </c>
      <c r="I470" t="s">
        <v>59</v>
      </c>
      <c r="J470" s="8">
        <v>46148</v>
      </c>
      <c r="K470" t="s">
        <v>20</v>
      </c>
    </row>
    <row r="471" spans="1:11" x14ac:dyDescent="0.3">
      <c r="A471" t="s">
        <v>1272</v>
      </c>
      <c r="B471" t="s">
        <v>49</v>
      </c>
      <c r="C471" t="s">
        <v>260</v>
      </c>
      <c r="D471" t="s">
        <v>44</v>
      </c>
      <c r="E471" t="s">
        <v>52</v>
      </c>
      <c r="F471">
        <v>425000</v>
      </c>
      <c r="G471">
        <v>4.25</v>
      </c>
      <c r="H471" t="s">
        <v>53</v>
      </c>
      <c r="I471" t="s">
        <v>59</v>
      </c>
      <c r="J471" s="8">
        <v>46148</v>
      </c>
      <c r="K471" t="s">
        <v>874</v>
      </c>
    </row>
    <row r="472" spans="1:11" x14ac:dyDescent="0.3">
      <c r="A472" t="s">
        <v>1272</v>
      </c>
      <c r="B472" t="s">
        <v>49</v>
      </c>
      <c r="C472" t="s">
        <v>260</v>
      </c>
      <c r="D472" t="s">
        <v>44</v>
      </c>
      <c r="E472" t="s">
        <v>52</v>
      </c>
      <c r="F472">
        <v>425000</v>
      </c>
      <c r="G472">
        <v>4.25</v>
      </c>
      <c r="H472" t="s">
        <v>53</v>
      </c>
      <c r="I472" t="s">
        <v>59</v>
      </c>
      <c r="J472" s="8">
        <v>46148</v>
      </c>
      <c r="K472" t="s">
        <v>908</v>
      </c>
    </row>
    <row r="473" spans="1:11" x14ac:dyDescent="0.3">
      <c r="A473" t="s">
        <v>1275</v>
      </c>
      <c r="B473" t="s">
        <v>62</v>
      </c>
      <c r="C473" t="s">
        <v>214</v>
      </c>
      <c r="D473" t="s">
        <v>76</v>
      </c>
      <c r="E473" t="s">
        <v>37</v>
      </c>
      <c r="F473">
        <v>1205000</v>
      </c>
      <c r="G473">
        <v>12.05</v>
      </c>
      <c r="H473" t="s">
        <v>27</v>
      </c>
      <c r="I473" t="s">
        <v>845</v>
      </c>
      <c r="J473" s="8">
        <v>46111</v>
      </c>
      <c r="K473" t="s">
        <v>874</v>
      </c>
    </row>
    <row r="474" spans="1:11" x14ac:dyDescent="0.3">
      <c r="A474" t="s">
        <v>1275</v>
      </c>
      <c r="B474" t="s">
        <v>62</v>
      </c>
      <c r="C474" t="s">
        <v>214</v>
      </c>
      <c r="D474" t="s">
        <v>76</v>
      </c>
      <c r="E474" t="s">
        <v>37</v>
      </c>
      <c r="F474">
        <v>1205000</v>
      </c>
      <c r="G474">
        <v>12.05</v>
      </c>
      <c r="H474" t="s">
        <v>27</v>
      </c>
      <c r="I474" t="s">
        <v>845</v>
      </c>
      <c r="J474" s="8">
        <v>46111</v>
      </c>
      <c r="K474" t="s">
        <v>29</v>
      </c>
    </row>
    <row r="475" spans="1:11" x14ac:dyDescent="0.3">
      <c r="A475" t="s">
        <v>1275</v>
      </c>
      <c r="B475" t="s">
        <v>62</v>
      </c>
      <c r="C475" t="s">
        <v>214</v>
      </c>
      <c r="D475" t="s">
        <v>76</v>
      </c>
      <c r="E475" t="s">
        <v>37</v>
      </c>
      <c r="F475">
        <v>1205000</v>
      </c>
      <c r="G475">
        <v>12.05</v>
      </c>
      <c r="H475" t="s">
        <v>27</v>
      </c>
      <c r="I475" t="s">
        <v>845</v>
      </c>
      <c r="J475" s="8">
        <v>46111</v>
      </c>
      <c r="K475" t="s">
        <v>39</v>
      </c>
    </row>
    <row r="476" spans="1:11" x14ac:dyDescent="0.3">
      <c r="A476" t="s">
        <v>1277</v>
      </c>
      <c r="B476" t="s">
        <v>24</v>
      </c>
      <c r="C476" t="s">
        <v>1278</v>
      </c>
      <c r="D476" t="s">
        <v>71</v>
      </c>
      <c r="E476" t="s">
        <v>37</v>
      </c>
      <c r="F476">
        <v>1055000</v>
      </c>
      <c r="G476">
        <v>10.55</v>
      </c>
      <c r="H476" t="s">
        <v>17</v>
      </c>
      <c r="I476" t="s">
        <v>845</v>
      </c>
      <c r="J476" s="8">
        <v>46073</v>
      </c>
      <c r="K476" t="s">
        <v>937</v>
      </c>
    </row>
    <row r="477" spans="1:11" x14ac:dyDescent="0.3">
      <c r="A477" t="s">
        <v>1277</v>
      </c>
      <c r="B477" t="s">
        <v>24</v>
      </c>
      <c r="C477" t="s">
        <v>1278</v>
      </c>
      <c r="D477" t="s">
        <v>71</v>
      </c>
      <c r="E477" t="s">
        <v>37</v>
      </c>
      <c r="F477">
        <v>1055000</v>
      </c>
      <c r="G477">
        <v>10.55</v>
      </c>
      <c r="H477" t="s">
        <v>17</v>
      </c>
      <c r="I477" t="s">
        <v>845</v>
      </c>
      <c r="J477" s="8">
        <v>46073</v>
      </c>
      <c r="K477" t="s">
        <v>908</v>
      </c>
    </row>
    <row r="478" spans="1:11" x14ac:dyDescent="0.3">
      <c r="A478" t="s">
        <v>1277</v>
      </c>
      <c r="B478" t="s">
        <v>24</v>
      </c>
      <c r="C478" t="s">
        <v>1278</v>
      </c>
      <c r="D478" t="s">
        <v>71</v>
      </c>
      <c r="E478" t="s">
        <v>37</v>
      </c>
      <c r="F478">
        <v>1055000</v>
      </c>
      <c r="G478">
        <v>10.55</v>
      </c>
      <c r="H478" t="s">
        <v>17</v>
      </c>
      <c r="I478" t="s">
        <v>845</v>
      </c>
      <c r="J478" s="8">
        <v>46073</v>
      </c>
      <c r="K478" t="s">
        <v>46</v>
      </c>
    </row>
    <row r="479" spans="1:11" x14ac:dyDescent="0.3">
      <c r="A479" t="s">
        <v>1281</v>
      </c>
      <c r="B479" t="s">
        <v>996</v>
      </c>
      <c r="C479" t="s">
        <v>999</v>
      </c>
      <c r="D479" t="s">
        <v>71</v>
      </c>
      <c r="E479" t="s">
        <v>16</v>
      </c>
      <c r="F479">
        <v>600000</v>
      </c>
      <c r="G479">
        <v>6</v>
      </c>
      <c r="H479" t="s">
        <v>17</v>
      </c>
      <c r="I479" t="s">
        <v>845</v>
      </c>
      <c r="J479" s="8">
        <v>46173</v>
      </c>
      <c r="K479" t="s">
        <v>20</v>
      </c>
    </row>
    <row r="480" spans="1:11" x14ac:dyDescent="0.3">
      <c r="A480" t="s">
        <v>1281</v>
      </c>
      <c r="B480" t="s">
        <v>996</v>
      </c>
      <c r="C480" t="s">
        <v>999</v>
      </c>
      <c r="D480" t="s">
        <v>71</v>
      </c>
      <c r="E480" t="s">
        <v>16</v>
      </c>
      <c r="F480">
        <v>600000</v>
      </c>
      <c r="G480">
        <v>6</v>
      </c>
      <c r="H480" t="s">
        <v>17</v>
      </c>
      <c r="I480" t="s">
        <v>845</v>
      </c>
      <c r="J480" s="8">
        <v>46173</v>
      </c>
      <c r="K480" t="s">
        <v>39</v>
      </c>
    </row>
    <row r="481" spans="1:11" x14ac:dyDescent="0.3">
      <c r="A481" t="s">
        <v>1281</v>
      </c>
      <c r="B481" t="s">
        <v>996</v>
      </c>
      <c r="C481" t="s">
        <v>999</v>
      </c>
      <c r="D481" t="s">
        <v>71</v>
      </c>
      <c r="E481" t="s">
        <v>16</v>
      </c>
      <c r="F481">
        <v>600000</v>
      </c>
      <c r="G481">
        <v>6</v>
      </c>
      <c r="H481" t="s">
        <v>17</v>
      </c>
      <c r="I481" t="s">
        <v>845</v>
      </c>
      <c r="J481" s="8">
        <v>46173</v>
      </c>
      <c r="K481" t="s">
        <v>46</v>
      </c>
    </row>
    <row r="482" spans="1:11" x14ac:dyDescent="0.3">
      <c r="A482" t="s">
        <v>1283</v>
      </c>
      <c r="B482" t="s">
        <v>960</v>
      </c>
      <c r="C482" t="s">
        <v>400</v>
      </c>
      <c r="D482" t="s">
        <v>81</v>
      </c>
      <c r="E482" t="s">
        <v>37</v>
      </c>
      <c r="F482">
        <v>1395000</v>
      </c>
      <c r="G482">
        <v>13.95</v>
      </c>
      <c r="H482" t="s">
        <v>27</v>
      </c>
      <c r="I482" t="s">
        <v>28</v>
      </c>
      <c r="J482" s="8">
        <v>46149</v>
      </c>
      <c r="K482" t="s">
        <v>874</v>
      </c>
    </row>
    <row r="483" spans="1:11" x14ac:dyDescent="0.3">
      <c r="A483" t="s">
        <v>1283</v>
      </c>
      <c r="B483" t="s">
        <v>960</v>
      </c>
      <c r="C483" t="s">
        <v>400</v>
      </c>
      <c r="D483" t="s">
        <v>81</v>
      </c>
      <c r="E483" t="s">
        <v>37</v>
      </c>
      <c r="F483">
        <v>1395000</v>
      </c>
      <c r="G483">
        <v>13.95</v>
      </c>
      <c r="H483" t="s">
        <v>27</v>
      </c>
      <c r="I483" t="s">
        <v>28</v>
      </c>
      <c r="J483" s="8">
        <v>46149</v>
      </c>
      <c r="K483" t="s">
        <v>908</v>
      </c>
    </row>
    <row r="484" spans="1:11" x14ac:dyDescent="0.3">
      <c r="A484" t="s">
        <v>1283</v>
      </c>
      <c r="B484" t="s">
        <v>960</v>
      </c>
      <c r="C484" t="s">
        <v>400</v>
      </c>
      <c r="D484" t="s">
        <v>81</v>
      </c>
      <c r="E484" t="s">
        <v>37</v>
      </c>
      <c r="F484">
        <v>1395000</v>
      </c>
      <c r="G484">
        <v>13.95</v>
      </c>
      <c r="H484" t="s">
        <v>27</v>
      </c>
      <c r="I484" t="s">
        <v>28</v>
      </c>
      <c r="J484" s="8">
        <v>46149</v>
      </c>
      <c r="K484" t="s">
        <v>39</v>
      </c>
    </row>
    <row r="485" spans="1:11" x14ac:dyDescent="0.3">
      <c r="A485" t="s">
        <v>1286</v>
      </c>
      <c r="B485" t="s">
        <v>75</v>
      </c>
      <c r="C485" t="s">
        <v>357</v>
      </c>
      <c r="D485" t="s">
        <v>51</v>
      </c>
      <c r="E485" t="s">
        <v>37</v>
      </c>
      <c r="F485">
        <v>1155000</v>
      </c>
      <c r="G485">
        <v>11.55</v>
      </c>
      <c r="H485" t="s">
        <v>27</v>
      </c>
      <c r="I485" t="s">
        <v>59</v>
      </c>
      <c r="J485" s="8">
        <v>46194</v>
      </c>
      <c r="K485" t="s">
        <v>878</v>
      </c>
    </row>
    <row r="486" spans="1:11" x14ac:dyDescent="0.3">
      <c r="A486" t="s">
        <v>1286</v>
      </c>
      <c r="B486" t="s">
        <v>75</v>
      </c>
      <c r="C486" t="s">
        <v>357</v>
      </c>
      <c r="D486" t="s">
        <v>51</v>
      </c>
      <c r="E486" t="s">
        <v>37</v>
      </c>
      <c r="F486">
        <v>1155000</v>
      </c>
      <c r="G486">
        <v>11.55</v>
      </c>
      <c r="H486" t="s">
        <v>27</v>
      </c>
      <c r="I486" t="s">
        <v>59</v>
      </c>
      <c r="J486" s="8">
        <v>46194</v>
      </c>
      <c r="K486" t="s">
        <v>846</v>
      </c>
    </row>
    <row r="487" spans="1:11" x14ac:dyDescent="0.3">
      <c r="A487" t="s">
        <v>1286</v>
      </c>
      <c r="B487" t="s">
        <v>75</v>
      </c>
      <c r="C487" t="s">
        <v>357</v>
      </c>
      <c r="D487" t="s">
        <v>51</v>
      </c>
      <c r="E487" t="s">
        <v>37</v>
      </c>
      <c r="F487">
        <v>1155000</v>
      </c>
      <c r="G487">
        <v>11.55</v>
      </c>
      <c r="H487" t="s">
        <v>27</v>
      </c>
      <c r="I487" t="s">
        <v>59</v>
      </c>
      <c r="J487" s="8">
        <v>46194</v>
      </c>
      <c r="K487" t="s">
        <v>54</v>
      </c>
    </row>
    <row r="488" spans="1:11" x14ac:dyDescent="0.3">
      <c r="A488" t="s">
        <v>1287</v>
      </c>
      <c r="B488" t="s">
        <v>852</v>
      </c>
      <c r="C488" t="s">
        <v>188</v>
      </c>
      <c r="D488" t="s">
        <v>64</v>
      </c>
      <c r="E488" t="s">
        <v>37</v>
      </c>
      <c r="F488">
        <v>1060000</v>
      </c>
      <c r="G488">
        <v>10.6</v>
      </c>
      <c r="H488" t="s">
        <v>27</v>
      </c>
      <c r="I488" t="s">
        <v>845</v>
      </c>
      <c r="J488" s="8">
        <v>46203</v>
      </c>
      <c r="K488" t="s">
        <v>21</v>
      </c>
    </row>
    <row r="489" spans="1:11" x14ac:dyDescent="0.3">
      <c r="A489" t="s">
        <v>1287</v>
      </c>
      <c r="B489" t="s">
        <v>852</v>
      </c>
      <c r="C489" t="s">
        <v>188</v>
      </c>
      <c r="D489" t="s">
        <v>64</v>
      </c>
      <c r="E489" t="s">
        <v>37</v>
      </c>
      <c r="F489">
        <v>1060000</v>
      </c>
      <c r="G489">
        <v>10.6</v>
      </c>
      <c r="H489" t="s">
        <v>27</v>
      </c>
      <c r="I489" t="s">
        <v>845</v>
      </c>
      <c r="J489" s="8">
        <v>46203</v>
      </c>
      <c r="K489" t="s">
        <v>20</v>
      </c>
    </row>
    <row r="490" spans="1:11" x14ac:dyDescent="0.3">
      <c r="A490" t="s">
        <v>1287</v>
      </c>
      <c r="B490" t="s">
        <v>852</v>
      </c>
      <c r="C490" t="s">
        <v>188</v>
      </c>
      <c r="D490" t="s">
        <v>64</v>
      </c>
      <c r="E490" t="s">
        <v>37</v>
      </c>
      <c r="F490">
        <v>1060000</v>
      </c>
      <c r="G490">
        <v>10.6</v>
      </c>
      <c r="H490" t="s">
        <v>27</v>
      </c>
      <c r="I490" t="s">
        <v>845</v>
      </c>
      <c r="J490" s="8">
        <v>46203</v>
      </c>
      <c r="K490" t="s">
        <v>29</v>
      </c>
    </row>
    <row r="491" spans="1:11" x14ac:dyDescent="0.3">
      <c r="A491" t="s">
        <v>1289</v>
      </c>
      <c r="B491" t="s">
        <v>49</v>
      </c>
      <c r="C491" t="s">
        <v>152</v>
      </c>
      <c r="D491" t="s">
        <v>71</v>
      </c>
      <c r="E491" t="s">
        <v>52</v>
      </c>
      <c r="F491">
        <v>785000</v>
      </c>
      <c r="G491">
        <v>7.85</v>
      </c>
      <c r="H491" t="s">
        <v>27</v>
      </c>
      <c r="I491" t="s">
        <v>845</v>
      </c>
      <c r="J491" s="8">
        <v>46168</v>
      </c>
      <c r="K491" t="s">
        <v>846</v>
      </c>
    </row>
    <row r="492" spans="1:11" x14ac:dyDescent="0.3">
      <c r="A492" t="s">
        <v>1289</v>
      </c>
      <c r="B492" t="s">
        <v>49</v>
      </c>
      <c r="C492" t="s">
        <v>152</v>
      </c>
      <c r="D492" t="s">
        <v>71</v>
      </c>
      <c r="E492" t="s">
        <v>52</v>
      </c>
      <c r="F492">
        <v>785000</v>
      </c>
      <c r="G492">
        <v>7.85</v>
      </c>
      <c r="H492" t="s">
        <v>27</v>
      </c>
      <c r="I492" t="s">
        <v>845</v>
      </c>
      <c r="J492" s="8">
        <v>46168</v>
      </c>
      <c r="K492" t="s">
        <v>31</v>
      </c>
    </row>
    <row r="493" spans="1:11" x14ac:dyDescent="0.3">
      <c r="A493" t="s">
        <v>1289</v>
      </c>
      <c r="B493" t="s">
        <v>49</v>
      </c>
      <c r="C493" t="s">
        <v>152</v>
      </c>
      <c r="D493" t="s">
        <v>71</v>
      </c>
      <c r="E493" t="s">
        <v>52</v>
      </c>
      <c r="F493">
        <v>785000</v>
      </c>
      <c r="G493">
        <v>7.85</v>
      </c>
      <c r="H493" t="s">
        <v>27</v>
      </c>
      <c r="I493" t="s">
        <v>845</v>
      </c>
      <c r="J493" s="8">
        <v>46168</v>
      </c>
      <c r="K493" t="s">
        <v>854</v>
      </c>
    </row>
    <row r="494" spans="1:11" x14ac:dyDescent="0.3">
      <c r="A494" t="s">
        <v>1292</v>
      </c>
      <c r="B494" t="s">
        <v>996</v>
      </c>
      <c r="C494" t="s">
        <v>865</v>
      </c>
      <c r="D494" t="s">
        <v>26</v>
      </c>
      <c r="E494" t="s">
        <v>52</v>
      </c>
      <c r="F494">
        <v>640000</v>
      </c>
      <c r="G494">
        <v>6.4</v>
      </c>
      <c r="H494" t="s">
        <v>27</v>
      </c>
      <c r="I494" t="s">
        <v>28</v>
      </c>
      <c r="J494" s="8">
        <v>46223</v>
      </c>
      <c r="K494" t="s">
        <v>937</v>
      </c>
    </row>
    <row r="495" spans="1:11" x14ac:dyDescent="0.3">
      <c r="A495" t="s">
        <v>1292</v>
      </c>
      <c r="B495" t="s">
        <v>996</v>
      </c>
      <c r="C495" t="s">
        <v>865</v>
      </c>
      <c r="D495" t="s">
        <v>26</v>
      </c>
      <c r="E495" t="s">
        <v>52</v>
      </c>
      <c r="F495">
        <v>640000</v>
      </c>
      <c r="G495">
        <v>6.4</v>
      </c>
      <c r="H495" t="s">
        <v>27</v>
      </c>
      <c r="I495" t="s">
        <v>28</v>
      </c>
      <c r="J495" s="8">
        <v>46223</v>
      </c>
      <c r="K495" t="s">
        <v>29</v>
      </c>
    </row>
    <row r="496" spans="1:11" x14ac:dyDescent="0.3">
      <c r="A496" t="s">
        <v>1292</v>
      </c>
      <c r="B496" t="s">
        <v>996</v>
      </c>
      <c r="C496" t="s">
        <v>865</v>
      </c>
      <c r="D496" t="s">
        <v>26</v>
      </c>
      <c r="E496" t="s">
        <v>52</v>
      </c>
      <c r="F496">
        <v>640000</v>
      </c>
      <c r="G496">
        <v>6.4</v>
      </c>
      <c r="H496" t="s">
        <v>27</v>
      </c>
      <c r="I496" t="s">
        <v>28</v>
      </c>
      <c r="J496" s="8">
        <v>46223</v>
      </c>
      <c r="K496" t="s">
        <v>20</v>
      </c>
    </row>
    <row r="497" spans="1:11" x14ac:dyDescent="0.3">
      <c r="A497" t="s">
        <v>1293</v>
      </c>
      <c r="B497" t="s">
        <v>75</v>
      </c>
      <c r="C497" t="s">
        <v>80</v>
      </c>
      <c r="D497" t="s">
        <v>26</v>
      </c>
      <c r="E497" t="s">
        <v>52</v>
      </c>
      <c r="F497">
        <v>535000</v>
      </c>
      <c r="G497">
        <v>5.35</v>
      </c>
      <c r="H497" t="s">
        <v>27</v>
      </c>
      <c r="I497" t="s">
        <v>28</v>
      </c>
      <c r="J497" s="8">
        <v>46159</v>
      </c>
      <c r="K497" t="s">
        <v>30</v>
      </c>
    </row>
    <row r="498" spans="1:11" x14ac:dyDescent="0.3">
      <c r="A498" t="s">
        <v>1293</v>
      </c>
      <c r="B498" t="s">
        <v>75</v>
      </c>
      <c r="C498" t="s">
        <v>80</v>
      </c>
      <c r="D498" t="s">
        <v>26</v>
      </c>
      <c r="E498" t="s">
        <v>52</v>
      </c>
      <c r="F498">
        <v>535000</v>
      </c>
      <c r="G498">
        <v>5.35</v>
      </c>
      <c r="H498" t="s">
        <v>27</v>
      </c>
      <c r="I498" t="s">
        <v>28</v>
      </c>
      <c r="J498" s="8">
        <v>46159</v>
      </c>
      <c r="K498" t="s">
        <v>45</v>
      </c>
    </row>
    <row r="499" spans="1:11" x14ac:dyDescent="0.3">
      <c r="A499" t="s">
        <v>1293</v>
      </c>
      <c r="B499" t="s">
        <v>75</v>
      </c>
      <c r="C499" t="s">
        <v>80</v>
      </c>
      <c r="D499" t="s">
        <v>26</v>
      </c>
      <c r="E499" t="s">
        <v>52</v>
      </c>
      <c r="F499">
        <v>535000</v>
      </c>
      <c r="G499">
        <v>5.35</v>
      </c>
      <c r="H499" t="s">
        <v>27</v>
      </c>
      <c r="I499" t="s">
        <v>28</v>
      </c>
      <c r="J499" s="8">
        <v>46159</v>
      </c>
      <c r="K499" t="s">
        <v>846</v>
      </c>
    </row>
    <row r="500" spans="1:11" x14ac:dyDescent="0.3">
      <c r="A500" t="s">
        <v>1296</v>
      </c>
      <c r="B500" t="s">
        <v>42</v>
      </c>
      <c r="C500" t="s">
        <v>967</v>
      </c>
      <c r="D500" t="s">
        <v>26</v>
      </c>
      <c r="E500" t="s">
        <v>16</v>
      </c>
      <c r="F500">
        <v>865000</v>
      </c>
      <c r="G500">
        <v>8.65</v>
      </c>
      <c r="H500" t="s">
        <v>27</v>
      </c>
      <c r="I500" t="s">
        <v>28</v>
      </c>
      <c r="J500" s="8">
        <v>46089</v>
      </c>
      <c r="K500" t="s">
        <v>29</v>
      </c>
    </row>
    <row r="501" spans="1:11" x14ac:dyDescent="0.3">
      <c r="A501" t="s">
        <v>1296</v>
      </c>
      <c r="B501" t="s">
        <v>42</v>
      </c>
      <c r="C501" t="s">
        <v>967</v>
      </c>
      <c r="D501" t="s">
        <v>26</v>
      </c>
      <c r="E501" t="s">
        <v>16</v>
      </c>
      <c r="F501">
        <v>865000</v>
      </c>
      <c r="G501">
        <v>8.65</v>
      </c>
      <c r="H501" t="s">
        <v>27</v>
      </c>
      <c r="I501" t="s">
        <v>28</v>
      </c>
      <c r="J501" s="8">
        <v>46089</v>
      </c>
      <c r="K501" t="s">
        <v>45</v>
      </c>
    </row>
    <row r="502" spans="1:11" x14ac:dyDescent="0.3">
      <c r="A502" t="s">
        <v>1296</v>
      </c>
      <c r="B502" t="s">
        <v>42</v>
      </c>
      <c r="C502" t="s">
        <v>967</v>
      </c>
      <c r="D502" t="s">
        <v>26</v>
      </c>
      <c r="E502" t="s">
        <v>16</v>
      </c>
      <c r="F502">
        <v>865000</v>
      </c>
      <c r="G502">
        <v>8.65</v>
      </c>
      <c r="H502" t="s">
        <v>27</v>
      </c>
      <c r="I502" t="s">
        <v>28</v>
      </c>
      <c r="J502" s="8">
        <v>46089</v>
      </c>
      <c r="K502" t="s">
        <v>854</v>
      </c>
    </row>
    <row r="503" spans="1:11" x14ac:dyDescent="0.3">
      <c r="A503" t="s">
        <v>1298</v>
      </c>
      <c r="B503" t="s">
        <v>49</v>
      </c>
      <c r="C503" t="s">
        <v>260</v>
      </c>
      <c r="D503" t="s">
        <v>44</v>
      </c>
      <c r="E503" t="s">
        <v>52</v>
      </c>
      <c r="F503">
        <v>575000</v>
      </c>
      <c r="G503">
        <v>5.75</v>
      </c>
      <c r="H503" t="s">
        <v>27</v>
      </c>
      <c r="I503" t="s">
        <v>28</v>
      </c>
      <c r="J503" s="8">
        <v>46067</v>
      </c>
      <c r="K503" t="s">
        <v>878</v>
      </c>
    </row>
    <row r="504" spans="1:11" x14ac:dyDescent="0.3">
      <c r="A504" t="s">
        <v>1298</v>
      </c>
      <c r="B504" t="s">
        <v>49</v>
      </c>
      <c r="C504" t="s">
        <v>260</v>
      </c>
      <c r="D504" t="s">
        <v>44</v>
      </c>
      <c r="E504" t="s">
        <v>52</v>
      </c>
      <c r="F504">
        <v>575000</v>
      </c>
      <c r="G504">
        <v>5.75</v>
      </c>
      <c r="H504" t="s">
        <v>27</v>
      </c>
      <c r="I504" t="s">
        <v>28</v>
      </c>
      <c r="J504" s="8">
        <v>46067</v>
      </c>
      <c r="K504" t="s">
        <v>937</v>
      </c>
    </row>
    <row r="505" spans="1:11" x14ac:dyDescent="0.3">
      <c r="A505" t="s">
        <v>1298</v>
      </c>
      <c r="B505" t="s">
        <v>49</v>
      </c>
      <c r="C505" t="s">
        <v>260</v>
      </c>
      <c r="D505" t="s">
        <v>44</v>
      </c>
      <c r="E505" t="s">
        <v>52</v>
      </c>
      <c r="F505">
        <v>575000</v>
      </c>
      <c r="G505">
        <v>5.75</v>
      </c>
      <c r="H505" t="s">
        <v>27</v>
      </c>
      <c r="I505" t="s">
        <v>28</v>
      </c>
      <c r="J505" s="8">
        <v>46067</v>
      </c>
      <c r="K505" t="s">
        <v>54</v>
      </c>
    </row>
    <row r="506" spans="1:11" x14ac:dyDescent="0.3">
      <c r="A506" t="s">
        <v>1301</v>
      </c>
      <c r="B506" t="s">
        <v>75</v>
      </c>
      <c r="C506" t="s">
        <v>400</v>
      </c>
      <c r="D506" t="s">
        <v>15</v>
      </c>
      <c r="E506" t="s">
        <v>52</v>
      </c>
      <c r="F506">
        <v>630000</v>
      </c>
      <c r="G506">
        <v>6.3</v>
      </c>
      <c r="H506" t="s">
        <v>17</v>
      </c>
      <c r="I506" t="s">
        <v>28</v>
      </c>
      <c r="J506" s="8">
        <v>46243</v>
      </c>
      <c r="K506" t="s">
        <v>31</v>
      </c>
    </row>
    <row r="507" spans="1:11" x14ac:dyDescent="0.3">
      <c r="A507" t="s">
        <v>1301</v>
      </c>
      <c r="B507" t="s">
        <v>75</v>
      </c>
      <c r="C507" t="s">
        <v>400</v>
      </c>
      <c r="D507" t="s">
        <v>15</v>
      </c>
      <c r="E507" t="s">
        <v>52</v>
      </c>
      <c r="F507">
        <v>630000</v>
      </c>
      <c r="G507">
        <v>6.3</v>
      </c>
      <c r="H507" t="s">
        <v>17</v>
      </c>
      <c r="I507" t="s">
        <v>28</v>
      </c>
      <c r="J507" s="8">
        <v>46243</v>
      </c>
      <c r="K507" t="s">
        <v>21</v>
      </c>
    </row>
    <row r="508" spans="1:11" x14ac:dyDescent="0.3">
      <c r="A508" t="s">
        <v>1301</v>
      </c>
      <c r="B508" t="s">
        <v>75</v>
      </c>
      <c r="C508" t="s">
        <v>400</v>
      </c>
      <c r="D508" t="s">
        <v>15</v>
      </c>
      <c r="E508" t="s">
        <v>52</v>
      </c>
      <c r="F508">
        <v>630000</v>
      </c>
      <c r="G508">
        <v>6.3</v>
      </c>
      <c r="H508" t="s">
        <v>17</v>
      </c>
      <c r="I508" t="s">
        <v>28</v>
      </c>
      <c r="J508" s="8">
        <v>46243</v>
      </c>
      <c r="K508" t="s">
        <v>878</v>
      </c>
    </row>
    <row r="509" spans="1:11" x14ac:dyDescent="0.3">
      <c r="A509" t="s">
        <v>1303</v>
      </c>
      <c r="B509" t="s">
        <v>62</v>
      </c>
      <c r="C509" t="s">
        <v>188</v>
      </c>
      <c r="D509" t="s">
        <v>15</v>
      </c>
      <c r="E509" t="s">
        <v>77</v>
      </c>
      <c r="F509">
        <v>4370000</v>
      </c>
      <c r="G509">
        <v>43.7</v>
      </c>
      <c r="H509" t="s">
        <v>27</v>
      </c>
      <c r="I509" t="s">
        <v>845</v>
      </c>
      <c r="J509" s="8">
        <v>46164</v>
      </c>
      <c r="K509" t="s">
        <v>20</v>
      </c>
    </row>
    <row r="510" spans="1:11" x14ac:dyDescent="0.3">
      <c r="A510" t="s">
        <v>1303</v>
      </c>
      <c r="B510" t="s">
        <v>62</v>
      </c>
      <c r="C510" t="s">
        <v>188</v>
      </c>
      <c r="D510" t="s">
        <v>15</v>
      </c>
      <c r="E510" t="s">
        <v>77</v>
      </c>
      <c r="F510">
        <v>4370000</v>
      </c>
      <c r="G510">
        <v>43.7</v>
      </c>
      <c r="H510" t="s">
        <v>27</v>
      </c>
      <c r="I510" t="s">
        <v>845</v>
      </c>
      <c r="J510" s="8">
        <v>46164</v>
      </c>
      <c r="K510" t="s">
        <v>29</v>
      </c>
    </row>
    <row r="511" spans="1:11" x14ac:dyDescent="0.3">
      <c r="A511" t="s">
        <v>1303</v>
      </c>
      <c r="B511" t="s">
        <v>62</v>
      </c>
      <c r="C511" t="s">
        <v>188</v>
      </c>
      <c r="D511" t="s">
        <v>15</v>
      </c>
      <c r="E511" t="s">
        <v>77</v>
      </c>
      <c r="F511">
        <v>4370000</v>
      </c>
      <c r="G511">
        <v>43.7</v>
      </c>
      <c r="H511" t="s">
        <v>27</v>
      </c>
      <c r="I511" t="s">
        <v>845</v>
      </c>
      <c r="J511" s="8">
        <v>46164</v>
      </c>
      <c r="K511" t="s">
        <v>45</v>
      </c>
    </row>
    <row r="512" spans="1:11" x14ac:dyDescent="0.3">
      <c r="A512" t="s">
        <v>1306</v>
      </c>
      <c r="B512" t="s">
        <v>42</v>
      </c>
      <c r="C512" t="s">
        <v>90</v>
      </c>
      <c r="D512" t="s">
        <v>36</v>
      </c>
      <c r="E512" t="s">
        <v>37</v>
      </c>
      <c r="F512">
        <v>1110000</v>
      </c>
      <c r="G512">
        <v>11.1</v>
      </c>
      <c r="H512" t="s">
        <v>17</v>
      </c>
      <c r="I512" t="s">
        <v>845</v>
      </c>
      <c r="J512" s="8">
        <v>46036</v>
      </c>
      <c r="K512" t="s">
        <v>31</v>
      </c>
    </row>
    <row r="513" spans="1:11" x14ac:dyDescent="0.3">
      <c r="A513" t="s">
        <v>1306</v>
      </c>
      <c r="B513" t="s">
        <v>42</v>
      </c>
      <c r="C513" t="s">
        <v>90</v>
      </c>
      <c r="D513" t="s">
        <v>36</v>
      </c>
      <c r="E513" t="s">
        <v>37</v>
      </c>
      <c r="F513">
        <v>1110000</v>
      </c>
      <c r="G513">
        <v>11.1</v>
      </c>
      <c r="H513" t="s">
        <v>17</v>
      </c>
      <c r="I513" t="s">
        <v>845</v>
      </c>
      <c r="J513" s="8">
        <v>46036</v>
      </c>
      <c r="K513" t="s">
        <v>21</v>
      </c>
    </row>
    <row r="514" spans="1:11" x14ac:dyDescent="0.3">
      <c r="A514" t="s">
        <v>1306</v>
      </c>
      <c r="B514" t="s">
        <v>42</v>
      </c>
      <c r="C514" t="s">
        <v>90</v>
      </c>
      <c r="D514" t="s">
        <v>36</v>
      </c>
      <c r="E514" t="s">
        <v>37</v>
      </c>
      <c r="F514">
        <v>1110000</v>
      </c>
      <c r="G514">
        <v>11.1</v>
      </c>
      <c r="H514" t="s">
        <v>17</v>
      </c>
      <c r="I514" t="s">
        <v>845</v>
      </c>
      <c r="J514" s="8">
        <v>46036</v>
      </c>
      <c r="K514" t="s">
        <v>854</v>
      </c>
    </row>
    <row r="515" spans="1:11" x14ac:dyDescent="0.3">
      <c r="A515" t="s">
        <v>1308</v>
      </c>
      <c r="B515" t="s">
        <v>42</v>
      </c>
      <c r="C515" t="s">
        <v>1082</v>
      </c>
      <c r="D515" t="s">
        <v>26</v>
      </c>
      <c r="E515" t="s">
        <v>116</v>
      </c>
      <c r="F515">
        <v>1485000</v>
      </c>
      <c r="G515">
        <v>14.85</v>
      </c>
      <c r="H515" t="s">
        <v>27</v>
      </c>
      <c r="I515" t="s">
        <v>28</v>
      </c>
      <c r="J515" s="8">
        <v>46069</v>
      </c>
      <c r="K515" t="s">
        <v>874</v>
      </c>
    </row>
    <row r="516" spans="1:11" x14ac:dyDescent="0.3">
      <c r="A516" t="s">
        <v>1308</v>
      </c>
      <c r="B516" t="s">
        <v>42</v>
      </c>
      <c r="C516" t="s">
        <v>1082</v>
      </c>
      <c r="D516" t="s">
        <v>26</v>
      </c>
      <c r="E516" t="s">
        <v>116</v>
      </c>
      <c r="F516">
        <v>1485000</v>
      </c>
      <c r="G516">
        <v>14.85</v>
      </c>
      <c r="H516" t="s">
        <v>27</v>
      </c>
      <c r="I516" t="s">
        <v>28</v>
      </c>
      <c r="J516" s="8">
        <v>46069</v>
      </c>
      <c r="K516" t="s">
        <v>20</v>
      </c>
    </row>
    <row r="517" spans="1:11" x14ac:dyDescent="0.3">
      <c r="A517" t="s">
        <v>1308</v>
      </c>
      <c r="B517" t="s">
        <v>42</v>
      </c>
      <c r="C517" t="s">
        <v>1082</v>
      </c>
      <c r="D517" t="s">
        <v>26</v>
      </c>
      <c r="E517" t="s">
        <v>116</v>
      </c>
      <c r="F517">
        <v>1485000</v>
      </c>
      <c r="G517">
        <v>14.85</v>
      </c>
      <c r="H517" t="s">
        <v>27</v>
      </c>
      <c r="I517" t="s">
        <v>28</v>
      </c>
      <c r="J517" s="8">
        <v>46069</v>
      </c>
      <c r="K517" t="s">
        <v>45</v>
      </c>
    </row>
    <row r="518" spans="1:11" x14ac:dyDescent="0.3">
      <c r="A518" t="s">
        <v>1310</v>
      </c>
      <c r="B518" t="s">
        <v>49</v>
      </c>
      <c r="C518" t="s">
        <v>99</v>
      </c>
      <c r="D518" t="s">
        <v>51</v>
      </c>
      <c r="E518" t="s">
        <v>77</v>
      </c>
      <c r="F518">
        <v>2270000</v>
      </c>
      <c r="G518">
        <v>22.7</v>
      </c>
      <c r="H518" t="s">
        <v>27</v>
      </c>
      <c r="I518" t="s">
        <v>28</v>
      </c>
      <c r="J518" s="8">
        <v>46211</v>
      </c>
      <c r="K518" t="s">
        <v>54</v>
      </c>
    </row>
    <row r="519" spans="1:11" x14ac:dyDescent="0.3">
      <c r="A519" t="s">
        <v>1310</v>
      </c>
      <c r="B519" t="s">
        <v>49</v>
      </c>
      <c r="C519" t="s">
        <v>99</v>
      </c>
      <c r="D519" t="s">
        <v>51</v>
      </c>
      <c r="E519" t="s">
        <v>77</v>
      </c>
      <c r="F519">
        <v>2270000</v>
      </c>
      <c r="G519">
        <v>22.7</v>
      </c>
      <c r="H519" t="s">
        <v>27</v>
      </c>
      <c r="I519" t="s">
        <v>28</v>
      </c>
      <c r="J519" s="8">
        <v>46211</v>
      </c>
      <c r="K519" t="s">
        <v>878</v>
      </c>
    </row>
    <row r="520" spans="1:11" x14ac:dyDescent="0.3">
      <c r="A520" t="s">
        <v>1310</v>
      </c>
      <c r="B520" t="s">
        <v>49</v>
      </c>
      <c r="C520" t="s">
        <v>99</v>
      </c>
      <c r="D520" t="s">
        <v>51</v>
      </c>
      <c r="E520" t="s">
        <v>77</v>
      </c>
      <c r="F520">
        <v>2270000</v>
      </c>
      <c r="G520">
        <v>22.7</v>
      </c>
      <c r="H520" t="s">
        <v>27</v>
      </c>
      <c r="I520" t="s">
        <v>28</v>
      </c>
      <c r="J520" s="8">
        <v>46211</v>
      </c>
      <c r="K520" t="s">
        <v>45</v>
      </c>
    </row>
    <row r="521" spans="1:11" x14ac:dyDescent="0.3">
      <c r="A521" t="s">
        <v>1312</v>
      </c>
      <c r="B521" t="s">
        <v>75</v>
      </c>
      <c r="C521" t="s">
        <v>139</v>
      </c>
      <c r="D521" t="s">
        <v>15</v>
      </c>
      <c r="E521" t="s">
        <v>16</v>
      </c>
      <c r="F521">
        <v>960000</v>
      </c>
      <c r="G521">
        <v>9.6</v>
      </c>
      <c r="H521" t="s">
        <v>27</v>
      </c>
      <c r="I521" t="s">
        <v>28</v>
      </c>
      <c r="J521" s="8">
        <v>46062</v>
      </c>
      <c r="K521" t="s">
        <v>874</v>
      </c>
    </row>
    <row r="522" spans="1:11" x14ac:dyDescent="0.3">
      <c r="A522" t="s">
        <v>1312</v>
      </c>
      <c r="B522" t="s">
        <v>75</v>
      </c>
      <c r="C522" t="s">
        <v>139</v>
      </c>
      <c r="D522" t="s">
        <v>15</v>
      </c>
      <c r="E522" t="s">
        <v>16</v>
      </c>
      <c r="F522">
        <v>960000</v>
      </c>
      <c r="G522">
        <v>9.6</v>
      </c>
      <c r="H522" t="s">
        <v>27</v>
      </c>
      <c r="I522" t="s">
        <v>28</v>
      </c>
      <c r="J522" s="8">
        <v>46062</v>
      </c>
      <c r="K522" t="s">
        <v>846</v>
      </c>
    </row>
    <row r="523" spans="1:11" x14ac:dyDescent="0.3">
      <c r="A523" t="s">
        <v>1312</v>
      </c>
      <c r="B523" t="s">
        <v>75</v>
      </c>
      <c r="C523" t="s">
        <v>139</v>
      </c>
      <c r="D523" t="s">
        <v>15</v>
      </c>
      <c r="E523" t="s">
        <v>16</v>
      </c>
      <c r="F523">
        <v>960000</v>
      </c>
      <c r="G523">
        <v>9.6</v>
      </c>
      <c r="H523" t="s">
        <v>27</v>
      </c>
      <c r="I523" t="s">
        <v>28</v>
      </c>
      <c r="J523" s="8">
        <v>46062</v>
      </c>
      <c r="K523" t="s">
        <v>937</v>
      </c>
    </row>
    <row r="524" spans="1:11" x14ac:dyDescent="0.3">
      <c r="A524" t="s">
        <v>1314</v>
      </c>
      <c r="B524" t="s">
        <v>996</v>
      </c>
      <c r="C524" t="s">
        <v>106</v>
      </c>
      <c r="D524" t="s">
        <v>96</v>
      </c>
      <c r="E524" t="s">
        <v>37</v>
      </c>
      <c r="F524">
        <v>1745000</v>
      </c>
      <c r="G524">
        <v>17.45</v>
      </c>
      <c r="H524" t="s">
        <v>27</v>
      </c>
      <c r="I524" t="s">
        <v>59</v>
      </c>
      <c r="J524" s="8">
        <v>46117</v>
      </c>
      <c r="K524" t="s">
        <v>854</v>
      </c>
    </row>
    <row r="525" spans="1:11" x14ac:dyDescent="0.3">
      <c r="A525" t="s">
        <v>1314</v>
      </c>
      <c r="B525" t="s">
        <v>996</v>
      </c>
      <c r="C525" t="s">
        <v>106</v>
      </c>
      <c r="D525" t="s">
        <v>96</v>
      </c>
      <c r="E525" t="s">
        <v>37</v>
      </c>
      <c r="F525">
        <v>1745000</v>
      </c>
      <c r="G525">
        <v>17.45</v>
      </c>
      <c r="H525" t="s">
        <v>27</v>
      </c>
      <c r="I525" t="s">
        <v>59</v>
      </c>
      <c r="J525" s="8">
        <v>46117</v>
      </c>
      <c r="K525" t="s">
        <v>46</v>
      </c>
    </row>
    <row r="526" spans="1:11" x14ac:dyDescent="0.3">
      <c r="A526" t="s">
        <v>1314</v>
      </c>
      <c r="B526" t="s">
        <v>996</v>
      </c>
      <c r="C526" t="s">
        <v>106</v>
      </c>
      <c r="D526" t="s">
        <v>96</v>
      </c>
      <c r="E526" t="s">
        <v>37</v>
      </c>
      <c r="F526">
        <v>1745000</v>
      </c>
      <c r="G526">
        <v>17.45</v>
      </c>
      <c r="H526" t="s">
        <v>27</v>
      </c>
      <c r="I526" t="s">
        <v>59</v>
      </c>
      <c r="J526" s="8">
        <v>46117</v>
      </c>
      <c r="K526" t="s">
        <v>937</v>
      </c>
    </row>
    <row r="527" spans="1:11" x14ac:dyDescent="0.3">
      <c r="A527" t="s">
        <v>1317</v>
      </c>
      <c r="B527" t="s">
        <v>13</v>
      </c>
      <c r="C527" t="s">
        <v>152</v>
      </c>
      <c r="D527" t="s">
        <v>36</v>
      </c>
      <c r="E527" t="s">
        <v>52</v>
      </c>
      <c r="F527">
        <v>525000</v>
      </c>
      <c r="G527">
        <v>5.25</v>
      </c>
      <c r="H527" t="s">
        <v>27</v>
      </c>
      <c r="I527" t="s">
        <v>845</v>
      </c>
      <c r="J527" s="8">
        <v>46110</v>
      </c>
      <c r="K527" t="s">
        <v>878</v>
      </c>
    </row>
    <row r="528" spans="1:11" x14ac:dyDescent="0.3">
      <c r="A528" t="s">
        <v>1317</v>
      </c>
      <c r="B528" t="s">
        <v>13</v>
      </c>
      <c r="C528" t="s">
        <v>152</v>
      </c>
      <c r="D528" t="s">
        <v>36</v>
      </c>
      <c r="E528" t="s">
        <v>52</v>
      </c>
      <c r="F528">
        <v>525000</v>
      </c>
      <c r="G528">
        <v>5.25</v>
      </c>
      <c r="H528" t="s">
        <v>27</v>
      </c>
      <c r="I528" t="s">
        <v>845</v>
      </c>
      <c r="J528" s="8">
        <v>46110</v>
      </c>
      <c r="K528" t="s">
        <v>45</v>
      </c>
    </row>
    <row r="529" spans="1:11" x14ac:dyDescent="0.3">
      <c r="A529" t="s">
        <v>1317</v>
      </c>
      <c r="B529" t="s">
        <v>13</v>
      </c>
      <c r="C529" t="s">
        <v>152</v>
      </c>
      <c r="D529" t="s">
        <v>36</v>
      </c>
      <c r="E529" t="s">
        <v>52</v>
      </c>
      <c r="F529">
        <v>525000</v>
      </c>
      <c r="G529">
        <v>5.25</v>
      </c>
      <c r="H529" t="s">
        <v>27</v>
      </c>
      <c r="I529" t="s">
        <v>845</v>
      </c>
      <c r="J529" s="8">
        <v>46110</v>
      </c>
      <c r="K529" t="s">
        <v>908</v>
      </c>
    </row>
    <row r="530" spans="1:11" x14ac:dyDescent="0.3">
      <c r="A530" t="s">
        <v>1319</v>
      </c>
      <c r="B530" t="s">
        <v>852</v>
      </c>
      <c r="C530" t="s">
        <v>1320</v>
      </c>
      <c r="D530" t="s">
        <v>36</v>
      </c>
      <c r="E530" t="s">
        <v>52</v>
      </c>
      <c r="F530">
        <v>315000</v>
      </c>
      <c r="G530">
        <v>3.15</v>
      </c>
      <c r="H530" t="s">
        <v>53</v>
      </c>
      <c r="I530" t="s">
        <v>845</v>
      </c>
      <c r="J530" s="8">
        <v>46104</v>
      </c>
      <c r="K530" t="s">
        <v>21</v>
      </c>
    </row>
    <row r="531" spans="1:11" x14ac:dyDescent="0.3">
      <c r="A531" t="s">
        <v>1319</v>
      </c>
      <c r="B531" t="s">
        <v>852</v>
      </c>
      <c r="C531" t="s">
        <v>1320</v>
      </c>
      <c r="D531" t="s">
        <v>36</v>
      </c>
      <c r="E531" t="s">
        <v>52</v>
      </c>
      <c r="F531">
        <v>315000</v>
      </c>
      <c r="G531">
        <v>3.15</v>
      </c>
      <c r="H531" t="s">
        <v>53</v>
      </c>
      <c r="I531" t="s">
        <v>845</v>
      </c>
      <c r="J531" s="8">
        <v>46104</v>
      </c>
      <c r="K531" t="s">
        <v>46</v>
      </c>
    </row>
    <row r="532" spans="1:11" x14ac:dyDescent="0.3">
      <c r="A532" t="s">
        <v>1319</v>
      </c>
      <c r="B532" t="s">
        <v>852</v>
      </c>
      <c r="C532" t="s">
        <v>1320</v>
      </c>
      <c r="D532" t="s">
        <v>36</v>
      </c>
      <c r="E532" t="s">
        <v>52</v>
      </c>
      <c r="F532">
        <v>315000</v>
      </c>
      <c r="G532">
        <v>3.15</v>
      </c>
      <c r="H532" t="s">
        <v>53</v>
      </c>
      <c r="I532" t="s">
        <v>845</v>
      </c>
      <c r="J532" s="8">
        <v>46104</v>
      </c>
      <c r="K532" t="s">
        <v>908</v>
      </c>
    </row>
    <row r="533" spans="1:11" x14ac:dyDescent="0.3">
      <c r="A533" t="s">
        <v>1322</v>
      </c>
      <c r="B533" t="s">
        <v>996</v>
      </c>
      <c r="C533" t="s">
        <v>109</v>
      </c>
      <c r="D533" t="s">
        <v>71</v>
      </c>
      <c r="E533" t="s">
        <v>16</v>
      </c>
      <c r="F533">
        <v>620000</v>
      </c>
      <c r="G533">
        <v>6.2</v>
      </c>
      <c r="H533" t="s">
        <v>27</v>
      </c>
      <c r="I533" t="s">
        <v>28</v>
      </c>
      <c r="J533" s="8">
        <v>46061</v>
      </c>
      <c r="K533" t="s">
        <v>29</v>
      </c>
    </row>
    <row r="534" spans="1:11" x14ac:dyDescent="0.3">
      <c r="A534" t="s">
        <v>1322</v>
      </c>
      <c r="B534" t="s">
        <v>996</v>
      </c>
      <c r="C534" t="s">
        <v>109</v>
      </c>
      <c r="D534" t="s">
        <v>71</v>
      </c>
      <c r="E534" t="s">
        <v>16</v>
      </c>
      <c r="F534">
        <v>620000</v>
      </c>
      <c r="G534">
        <v>6.2</v>
      </c>
      <c r="H534" t="s">
        <v>27</v>
      </c>
      <c r="I534" t="s">
        <v>28</v>
      </c>
      <c r="J534" s="8">
        <v>46061</v>
      </c>
      <c r="K534" t="s">
        <v>874</v>
      </c>
    </row>
    <row r="535" spans="1:11" x14ac:dyDescent="0.3">
      <c r="A535" t="s">
        <v>1322</v>
      </c>
      <c r="B535" t="s">
        <v>996</v>
      </c>
      <c r="C535" t="s">
        <v>109</v>
      </c>
      <c r="D535" t="s">
        <v>71</v>
      </c>
      <c r="E535" t="s">
        <v>16</v>
      </c>
      <c r="F535">
        <v>620000</v>
      </c>
      <c r="G535">
        <v>6.2</v>
      </c>
      <c r="H535" t="s">
        <v>27</v>
      </c>
      <c r="I535" t="s">
        <v>28</v>
      </c>
      <c r="J535" s="8">
        <v>46061</v>
      </c>
      <c r="K535" t="s">
        <v>20</v>
      </c>
    </row>
    <row r="536" spans="1:11" x14ac:dyDescent="0.3">
      <c r="A536" t="s">
        <v>1325</v>
      </c>
      <c r="B536" t="s">
        <v>13</v>
      </c>
      <c r="C536" t="s">
        <v>191</v>
      </c>
      <c r="D536" t="s">
        <v>81</v>
      </c>
      <c r="E536" t="s">
        <v>16</v>
      </c>
      <c r="F536">
        <v>540000</v>
      </c>
      <c r="G536">
        <v>5.4</v>
      </c>
      <c r="H536" t="s">
        <v>27</v>
      </c>
      <c r="I536" t="s">
        <v>28</v>
      </c>
      <c r="J536" s="8">
        <v>46135</v>
      </c>
      <c r="K536" t="s">
        <v>54</v>
      </c>
    </row>
    <row r="537" spans="1:11" x14ac:dyDescent="0.3">
      <c r="A537" t="s">
        <v>1325</v>
      </c>
      <c r="B537" t="s">
        <v>13</v>
      </c>
      <c r="C537" t="s">
        <v>191</v>
      </c>
      <c r="D537" t="s">
        <v>81</v>
      </c>
      <c r="E537" t="s">
        <v>16</v>
      </c>
      <c r="F537">
        <v>540000</v>
      </c>
      <c r="G537">
        <v>5.4</v>
      </c>
      <c r="H537" t="s">
        <v>27</v>
      </c>
      <c r="I537" t="s">
        <v>28</v>
      </c>
      <c r="J537" s="8">
        <v>46135</v>
      </c>
      <c r="K537" t="s">
        <v>846</v>
      </c>
    </row>
    <row r="538" spans="1:11" x14ac:dyDescent="0.3">
      <c r="A538" t="s">
        <v>1325</v>
      </c>
      <c r="B538" t="s">
        <v>13</v>
      </c>
      <c r="C538" t="s">
        <v>191</v>
      </c>
      <c r="D538" t="s">
        <v>81</v>
      </c>
      <c r="E538" t="s">
        <v>16</v>
      </c>
      <c r="F538">
        <v>540000</v>
      </c>
      <c r="G538">
        <v>5.4</v>
      </c>
      <c r="H538" t="s">
        <v>27</v>
      </c>
      <c r="I538" t="s">
        <v>28</v>
      </c>
      <c r="J538" s="8">
        <v>46135</v>
      </c>
      <c r="K538" t="s">
        <v>878</v>
      </c>
    </row>
    <row r="539" spans="1:11" x14ac:dyDescent="0.3">
      <c r="A539" t="s">
        <v>1328</v>
      </c>
      <c r="B539" t="s">
        <v>49</v>
      </c>
      <c r="C539" t="s">
        <v>260</v>
      </c>
      <c r="D539" t="s">
        <v>64</v>
      </c>
      <c r="E539" t="s">
        <v>52</v>
      </c>
      <c r="F539">
        <v>680000</v>
      </c>
      <c r="G539">
        <v>6.8</v>
      </c>
      <c r="H539" t="s">
        <v>17</v>
      </c>
      <c r="I539" t="s">
        <v>59</v>
      </c>
      <c r="J539" s="8">
        <v>46071</v>
      </c>
      <c r="K539" t="s">
        <v>54</v>
      </c>
    </row>
    <row r="540" spans="1:11" x14ac:dyDescent="0.3">
      <c r="A540" t="s">
        <v>1328</v>
      </c>
      <c r="B540" t="s">
        <v>49</v>
      </c>
      <c r="C540" t="s">
        <v>260</v>
      </c>
      <c r="D540" t="s">
        <v>64</v>
      </c>
      <c r="E540" t="s">
        <v>52</v>
      </c>
      <c r="F540">
        <v>680000</v>
      </c>
      <c r="G540">
        <v>6.8</v>
      </c>
      <c r="H540" t="s">
        <v>17</v>
      </c>
      <c r="I540" t="s">
        <v>59</v>
      </c>
      <c r="J540" s="8">
        <v>46071</v>
      </c>
      <c r="K540" t="s">
        <v>31</v>
      </c>
    </row>
    <row r="541" spans="1:11" x14ac:dyDescent="0.3">
      <c r="A541" t="s">
        <v>1328</v>
      </c>
      <c r="B541" t="s">
        <v>49</v>
      </c>
      <c r="C541" t="s">
        <v>260</v>
      </c>
      <c r="D541" t="s">
        <v>64</v>
      </c>
      <c r="E541" t="s">
        <v>52</v>
      </c>
      <c r="F541">
        <v>680000</v>
      </c>
      <c r="G541">
        <v>6.8</v>
      </c>
      <c r="H541" t="s">
        <v>17</v>
      </c>
      <c r="I541" t="s">
        <v>59</v>
      </c>
      <c r="J541" s="8">
        <v>46071</v>
      </c>
      <c r="K541" t="s">
        <v>874</v>
      </c>
    </row>
    <row r="542" spans="1:11" x14ac:dyDescent="0.3">
      <c r="A542" t="s">
        <v>1330</v>
      </c>
      <c r="B542" t="s">
        <v>960</v>
      </c>
      <c r="C542" t="s">
        <v>953</v>
      </c>
      <c r="D542" t="s">
        <v>76</v>
      </c>
      <c r="E542" t="s">
        <v>37</v>
      </c>
      <c r="F542">
        <v>1160000</v>
      </c>
      <c r="G542">
        <v>11.6</v>
      </c>
      <c r="H542" t="s">
        <v>27</v>
      </c>
      <c r="I542" t="s">
        <v>28</v>
      </c>
      <c r="J542" s="8">
        <v>46164</v>
      </c>
      <c r="K542" t="s">
        <v>31</v>
      </c>
    </row>
    <row r="543" spans="1:11" x14ac:dyDescent="0.3">
      <c r="A543" t="s">
        <v>1330</v>
      </c>
      <c r="B543" t="s">
        <v>960</v>
      </c>
      <c r="C543" t="s">
        <v>953</v>
      </c>
      <c r="D543" t="s">
        <v>76</v>
      </c>
      <c r="E543" t="s">
        <v>37</v>
      </c>
      <c r="F543">
        <v>1160000</v>
      </c>
      <c r="G543">
        <v>11.6</v>
      </c>
      <c r="H543" t="s">
        <v>27</v>
      </c>
      <c r="I543" t="s">
        <v>28</v>
      </c>
      <c r="J543" s="8">
        <v>46164</v>
      </c>
      <c r="K543" t="s">
        <v>846</v>
      </c>
    </row>
    <row r="544" spans="1:11" x14ac:dyDescent="0.3">
      <c r="A544" t="s">
        <v>1330</v>
      </c>
      <c r="B544" t="s">
        <v>960</v>
      </c>
      <c r="C544" t="s">
        <v>953</v>
      </c>
      <c r="D544" t="s">
        <v>76</v>
      </c>
      <c r="E544" t="s">
        <v>37</v>
      </c>
      <c r="F544">
        <v>1160000</v>
      </c>
      <c r="G544">
        <v>11.6</v>
      </c>
      <c r="H544" t="s">
        <v>27</v>
      </c>
      <c r="I544" t="s">
        <v>28</v>
      </c>
      <c r="J544" s="8">
        <v>46164</v>
      </c>
      <c r="K544" t="s">
        <v>937</v>
      </c>
    </row>
    <row r="545" spans="1:11" x14ac:dyDescent="0.3">
      <c r="A545" t="s">
        <v>1332</v>
      </c>
      <c r="B545" t="s">
        <v>24</v>
      </c>
      <c r="C545" t="s">
        <v>188</v>
      </c>
      <c r="D545" t="s">
        <v>44</v>
      </c>
      <c r="E545" t="s">
        <v>116</v>
      </c>
      <c r="F545">
        <v>1585000</v>
      </c>
      <c r="G545">
        <v>15.85</v>
      </c>
      <c r="H545" t="s">
        <v>27</v>
      </c>
      <c r="I545" t="s">
        <v>28</v>
      </c>
      <c r="J545" s="8">
        <v>46221</v>
      </c>
      <c r="K545" t="s">
        <v>908</v>
      </c>
    </row>
    <row r="546" spans="1:11" x14ac:dyDescent="0.3">
      <c r="A546" t="s">
        <v>1332</v>
      </c>
      <c r="B546" t="s">
        <v>24</v>
      </c>
      <c r="C546" t="s">
        <v>188</v>
      </c>
      <c r="D546" t="s">
        <v>44</v>
      </c>
      <c r="E546" t="s">
        <v>116</v>
      </c>
      <c r="F546">
        <v>1585000</v>
      </c>
      <c r="G546">
        <v>15.85</v>
      </c>
      <c r="H546" t="s">
        <v>27</v>
      </c>
      <c r="I546" t="s">
        <v>28</v>
      </c>
      <c r="J546" s="8">
        <v>46221</v>
      </c>
      <c r="K546" t="s">
        <v>846</v>
      </c>
    </row>
    <row r="547" spans="1:11" x14ac:dyDescent="0.3">
      <c r="A547" t="s">
        <v>1332</v>
      </c>
      <c r="B547" t="s">
        <v>24</v>
      </c>
      <c r="C547" t="s">
        <v>188</v>
      </c>
      <c r="D547" t="s">
        <v>44</v>
      </c>
      <c r="E547" t="s">
        <v>116</v>
      </c>
      <c r="F547">
        <v>1585000</v>
      </c>
      <c r="G547">
        <v>15.85</v>
      </c>
      <c r="H547" t="s">
        <v>27</v>
      </c>
      <c r="I547" t="s">
        <v>28</v>
      </c>
      <c r="J547" s="8">
        <v>46221</v>
      </c>
      <c r="K547" t="s">
        <v>29</v>
      </c>
    </row>
    <row r="548" spans="1:11" x14ac:dyDescent="0.3">
      <c r="A548" t="s">
        <v>1333</v>
      </c>
      <c r="B548" t="s">
        <v>62</v>
      </c>
      <c r="C548" t="s">
        <v>205</v>
      </c>
      <c r="D548" t="s">
        <v>44</v>
      </c>
      <c r="E548" t="s">
        <v>16</v>
      </c>
      <c r="F548">
        <v>535000</v>
      </c>
      <c r="G548">
        <v>5.35</v>
      </c>
      <c r="H548" t="s">
        <v>27</v>
      </c>
      <c r="I548" t="s">
        <v>28</v>
      </c>
      <c r="J548" s="8">
        <v>46204</v>
      </c>
      <c r="K548" t="s">
        <v>45</v>
      </c>
    </row>
    <row r="549" spans="1:11" x14ac:dyDescent="0.3">
      <c r="A549" t="s">
        <v>1333</v>
      </c>
      <c r="B549" t="s">
        <v>62</v>
      </c>
      <c r="C549" t="s">
        <v>205</v>
      </c>
      <c r="D549" t="s">
        <v>44</v>
      </c>
      <c r="E549" t="s">
        <v>16</v>
      </c>
      <c r="F549">
        <v>535000</v>
      </c>
      <c r="G549">
        <v>5.35</v>
      </c>
      <c r="H549" t="s">
        <v>27</v>
      </c>
      <c r="I549" t="s">
        <v>28</v>
      </c>
      <c r="J549" s="8">
        <v>46204</v>
      </c>
      <c r="K549" t="s">
        <v>29</v>
      </c>
    </row>
    <row r="550" spans="1:11" x14ac:dyDescent="0.3">
      <c r="A550" t="s">
        <v>1333</v>
      </c>
      <c r="B550" t="s">
        <v>62</v>
      </c>
      <c r="C550" t="s">
        <v>205</v>
      </c>
      <c r="D550" t="s">
        <v>44</v>
      </c>
      <c r="E550" t="s">
        <v>16</v>
      </c>
      <c r="F550">
        <v>535000</v>
      </c>
      <c r="G550">
        <v>5.35</v>
      </c>
      <c r="H550" t="s">
        <v>27</v>
      </c>
      <c r="I550" t="s">
        <v>28</v>
      </c>
      <c r="J550" s="8">
        <v>46204</v>
      </c>
      <c r="K550" t="s">
        <v>46</v>
      </c>
    </row>
    <row r="551" spans="1:11" x14ac:dyDescent="0.3">
      <c r="A551" t="s">
        <v>1334</v>
      </c>
      <c r="B551" t="s">
        <v>75</v>
      </c>
      <c r="C551" t="s">
        <v>872</v>
      </c>
      <c r="D551" t="s">
        <v>76</v>
      </c>
      <c r="E551" t="s">
        <v>52</v>
      </c>
      <c r="F551">
        <v>685000</v>
      </c>
      <c r="G551">
        <v>6.85</v>
      </c>
      <c r="H551" t="s">
        <v>27</v>
      </c>
      <c r="I551" t="s">
        <v>28</v>
      </c>
      <c r="J551" s="8">
        <v>46087</v>
      </c>
      <c r="K551" t="s">
        <v>31</v>
      </c>
    </row>
    <row r="552" spans="1:11" x14ac:dyDescent="0.3">
      <c r="A552" t="s">
        <v>1334</v>
      </c>
      <c r="B552" t="s">
        <v>75</v>
      </c>
      <c r="C552" t="s">
        <v>872</v>
      </c>
      <c r="D552" t="s">
        <v>76</v>
      </c>
      <c r="E552" t="s">
        <v>52</v>
      </c>
      <c r="F552">
        <v>685000</v>
      </c>
      <c r="G552">
        <v>6.85</v>
      </c>
      <c r="H552" t="s">
        <v>27</v>
      </c>
      <c r="I552" t="s">
        <v>28</v>
      </c>
      <c r="J552" s="8">
        <v>46087</v>
      </c>
      <c r="K552" t="s">
        <v>39</v>
      </c>
    </row>
    <row r="553" spans="1:11" x14ac:dyDescent="0.3">
      <c r="A553" t="s">
        <v>1334</v>
      </c>
      <c r="B553" t="s">
        <v>75</v>
      </c>
      <c r="C553" t="s">
        <v>872</v>
      </c>
      <c r="D553" t="s">
        <v>76</v>
      </c>
      <c r="E553" t="s">
        <v>52</v>
      </c>
      <c r="F553">
        <v>685000</v>
      </c>
      <c r="G553">
        <v>6.85</v>
      </c>
      <c r="H553" t="s">
        <v>27</v>
      </c>
      <c r="I553" t="s">
        <v>28</v>
      </c>
      <c r="J553" s="8">
        <v>46087</v>
      </c>
      <c r="K553" t="s">
        <v>45</v>
      </c>
    </row>
    <row r="554" spans="1:11" x14ac:dyDescent="0.3">
      <c r="A554" t="s">
        <v>1337</v>
      </c>
      <c r="B554" t="s">
        <v>49</v>
      </c>
      <c r="C554" t="s">
        <v>14</v>
      </c>
      <c r="D554" t="s">
        <v>26</v>
      </c>
      <c r="E554" t="s">
        <v>37</v>
      </c>
      <c r="F554">
        <v>2170000</v>
      </c>
      <c r="G554">
        <v>21.7</v>
      </c>
      <c r="H554" t="s">
        <v>27</v>
      </c>
      <c r="I554" t="s">
        <v>59</v>
      </c>
      <c r="J554" s="8">
        <v>46201</v>
      </c>
      <c r="K554" t="s">
        <v>874</v>
      </c>
    </row>
    <row r="555" spans="1:11" x14ac:dyDescent="0.3">
      <c r="A555" t="s">
        <v>1337</v>
      </c>
      <c r="B555" t="s">
        <v>49</v>
      </c>
      <c r="C555" t="s">
        <v>14</v>
      </c>
      <c r="D555" t="s">
        <v>26</v>
      </c>
      <c r="E555" t="s">
        <v>37</v>
      </c>
      <c r="F555">
        <v>2170000</v>
      </c>
      <c r="G555">
        <v>21.7</v>
      </c>
      <c r="H555" t="s">
        <v>27</v>
      </c>
      <c r="I555" t="s">
        <v>59</v>
      </c>
      <c r="J555" s="8">
        <v>46201</v>
      </c>
      <c r="K555" t="s">
        <v>20</v>
      </c>
    </row>
    <row r="556" spans="1:11" x14ac:dyDescent="0.3">
      <c r="A556" t="s">
        <v>1337</v>
      </c>
      <c r="B556" t="s">
        <v>49</v>
      </c>
      <c r="C556" t="s">
        <v>14</v>
      </c>
      <c r="D556" t="s">
        <v>26</v>
      </c>
      <c r="E556" t="s">
        <v>37</v>
      </c>
      <c r="F556">
        <v>2170000</v>
      </c>
      <c r="G556">
        <v>21.7</v>
      </c>
      <c r="H556" t="s">
        <v>27</v>
      </c>
      <c r="I556" t="s">
        <v>59</v>
      </c>
      <c r="J556" s="8">
        <v>46201</v>
      </c>
      <c r="K556" t="s">
        <v>30</v>
      </c>
    </row>
    <row r="557" spans="1:11" x14ac:dyDescent="0.3">
      <c r="A557" t="s">
        <v>1338</v>
      </c>
      <c r="B557" t="s">
        <v>960</v>
      </c>
      <c r="C557" t="s">
        <v>441</v>
      </c>
      <c r="D557" t="s">
        <v>81</v>
      </c>
      <c r="E557" t="s">
        <v>16</v>
      </c>
      <c r="F557">
        <v>680000</v>
      </c>
      <c r="G557">
        <v>6.8</v>
      </c>
      <c r="H557" t="s">
        <v>27</v>
      </c>
      <c r="I557" t="s">
        <v>845</v>
      </c>
      <c r="J557" s="8">
        <v>46165</v>
      </c>
      <c r="K557" t="s">
        <v>937</v>
      </c>
    </row>
    <row r="558" spans="1:11" x14ac:dyDescent="0.3">
      <c r="A558" t="s">
        <v>1338</v>
      </c>
      <c r="B558" t="s">
        <v>960</v>
      </c>
      <c r="C558" t="s">
        <v>441</v>
      </c>
      <c r="D558" t="s">
        <v>81</v>
      </c>
      <c r="E558" t="s">
        <v>16</v>
      </c>
      <c r="F558">
        <v>680000</v>
      </c>
      <c r="G558">
        <v>6.8</v>
      </c>
      <c r="H558" t="s">
        <v>27</v>
      </c>
      <c r="I558" t="s">
        <v>845</v>
      </c>
      <c r="J558" s="8">
        <v>46165</v>
      </c>
      <c r="K558" t="s">
        <v>854</v>
      </c>
    </row>
    <row r="559" spans="1:11" x14ac:dyDescent="0.3">
      <c r="A559" t="s">
        <v>1338</v>
      </c>
      <c r="B559" t="s">
        <v>960</v>
      </c>
      <c r="C559" t="s">
        <v>441</v>
      </c>
      <c r="D559" t="s">
        <v>81</v>
      </c>
      <c r="E559" t="s">
        <v>16</v>
      </c>
      <c r="F559">
        <v>680000</v>
      </c>
      <c r="G559">
        <v>6.8</v>
      </c>
      <c r="H559" t="s">
        <v>27</v>
      </c>
      <c r="I559" t="s">
        <v>845</v>
      </c>
      <c r="J559" s="8">
        <v>46165</v>
      </c>
      <c r="K559" t="s">
        <v>874</v>
      </c>
    </row>
    <row r="560" spans="1:11" x14ac:dyDescent="0.3">
      <c r="A560" t="s">
        <v>1340</v>
      </c>
      <c r="B560" t="s">
        <v>864</v>
      </c>
      <c r="C560" t="s">
        <v>1082</v>
      </c>
      <c r="D560" t="s">
        <v>64</v>
      </c>
      <c r="E560" t="s">
        <v>116</v>
      </c>
      <c r="F560">
        <v>1425000</v>
      </c>
      <c r="G560">
        <v>14.25</v>
      </c>
      <c r="H560" t="s">
        <v>27</v>
      </c>
      <c r="I560" t="s">
        <v>28</v>
      </c>
      <c r="J560" s="8">
        <v>46053</v>
      </c>
      <c r="K560" t="s">
        <v>937</v>
      </c>
    </row>
    <row r="561" spans="1:11" x14ac:dyDescent="0.3">
      <c r="A561" t="s">
        <v>1340</v>
      </c>
      <c r="B561" t="s">
        <v>864</v>
      </c>
      <c r="C561" t="s">
        <v>1082</v>
      </c>
      <c r="D561" t="s">
        <v>64</v>
      </c>
      <c r="E561" t="s">
        <v>116</v>
      </c>
      <c r="F561">
        <v>1425000</v>
      </c>
      <c r="G561">
        <v>14.25</v>
      </c>
      <c r="H561" t="s">
        <v>27</v>
      </c>
      <c r="I561" t="s">
        <v>28</v>
      </c>
      <c r="J561" s="8">
        <v>46053</v>
      </c>
      <c r="K561" t="s">
        <v>45</v>
      </c>
    </row>
    <row r="562" spans="1:11" x14ac:dyDescent="0.3">
      <c r="A562" t="s">
        <v>1340</v>
      </c>
      <c r="B562" t="s">
        <v>864</v>
      </c>
      <c r="C562" t="s">
        <v>1082</v>
      </c>
      <c r="D562" t="s">
        <v>64</v>
      </c>
      <c r="E562" t="s">
        <v>116</v>
      </c>
      <c r="F562">
        <v>1425000</v>
      </c>
      <c r="G562">
        <v>14.25</v>
      </c>
      <c r="H562" t="s">
        <v>27</v>
      </c>
      <c r="I562" t="s">
        <v>28</v>
      </c>
      <c r="J562" s="8">
        <v>46053</v>
      </c>
      <c r="K562" t="s">
        <v>908</v>
      </c>
    </row>
    <row r="563" spans="1:11" x14ac:dyDescent="0.3">
      <c r="A563" t="s">
        <v>1343</v>
      </c>
      <c r="B563" t="s">
        <v>49</v>
      </c>
      <c r="C563" t="s">
        <v>441</v>
      </c>
      <c r="D563" t="s">
        <v>71</v>
      </c>
      <c r="E563" t="s">
        <v>37</v>
      </c>
      <c r="F563">
        <v>2105000</v>
      </c>
      <c r="G563">
        <v>21.05</v>
      </c>
      <c r="H563" t="s">
        <v>27</v>
      </c>
      <c r="I563" t="s">
        <v>845</v>
      </c>
      <c r="J563" s="8">
        <v>46086</v>
      </c>
      <c r="K563" t="s">
        <v>30</v>
      </c>
    </row>
    <row r="564" spans="1:11" x14ac:dyDescent="0.3">
      <c r="A564" t="s">
        <v>1343</v>
      </c>
      <c r="B564" t="s">
        <v>49</v>
      </c>
      <c r="C564" t="s">
        <v>441</v>
      </c>
      <c r="D564" t="s">
        <v>71</v>
      </c>
      <c r="E564" t="s">
        <v>37</v>
      </c>
      <c r="F564">
        <v>2105000</v>
      </c>
      <c r="G564">
        <v>21.05</v>
      </c>
      <c r="H564" t="s">
        <v>27</v>
      </c>
      <c r="I564" t="s">
        <v>845</v>
      </c>
      <c r="J564" s="8">
        <v>46086</v>
      </c>
      <c r="K564" t="s">
        <v>846</v>
      </c>
    </row>
    <row r="565" spans="1:11" x14ac:dyDescent="0.3">
      <c r="A565" t="s">
        <v>1343</v>
      </c>
      <c r="B565" t="s">
        <v>49</v>
      </c>
      <c r="C565" t="s">
        <v>441</v>
      </c>
      <c r="D565" t="s">
        <v>71</v>
      </c>
      <c r="E565" t="s">
        <v>37</v>
      </c>
      <c r="F565">
        <v>2105000</v>
      </c>
      <c r="G565">
        <v>21.05</v>
      </c>
      <c r="H565" t="s">
        <v>27</v>
      </c>
      <c r="I565" t="s">
        <v>845</v>
      </c>
      <c r="J565" s="8">
        <v>46086</v>
      </c>
      <c r="K565" t="s">
        <v>878</v>
      </c>
    </row>
    <row r="566" spans="1:11" x14ac:dyDescent="0.3">
      <c r="A566" t="s">
        <v>1344</v>
      </c>
      <c r="B566" t="s">
        <v>49</v>
      </c>
      <c r="C566" t="s">
        <v>99</v>
      </c>
      <c r="D566" t="s">
        <v>96</v>
      </c>
      <c r="E566" t="s">
        <v>37</v>
      </c>
      <c r="F566">
        <v>2105000</v>
      </c>
      <c r="G566">
        <v>21.05</v>
      </c>
      <c r="H566" t="s">
        <v>17</v>
      </c>
      <c r="I566" t="s">
        <v>28</v>
      </c>
      <c r="J566" s="8">
        <v>46028</v>
      </c>
      <c r="K566" t="s">
        <v>31</v>
      </c>
    </row>
    <row r="567" spans="1:11" x14ac:dyDescent="0.3">
      <c r="A567" t="s">
        <v>1344</v>
      </c>
      <c r="B567" t="s">
        <v>49</v>
      </c>
      <c r="C567" t="s">
        <v>99</v>
      </c>
      <c r="D567" t="s">
        <v>96</v>
      </c>
      <c r="E567" t="s">
        <v>37</v>
      </c>
      <c r="F567">
        <v>2105000</v>
      </c>
      <c r="G567">
        <v>21.05</v>
      </c>
      <c r="H567" t="s">
        <v>17</v>
      </c>
      <c r="I567" t="s">
        <v>28</v>
      </c>
      <c r="J567" s="8">
        <v>46028</v>
      </c>
      <c r="K567" t="s">
        <v>21</v>
      </c>
    </row>
    <row r="568" spans="1:11" x14ac:dyDescent="0.3">
      <c r="A568" t="s">
        <v>1344</v>
      </c>
      <c r="B568" t="s">
        <v>49</v>
      </c>
      <c r="C568" t="s">
        <v>99</v>
      </c>
      <c r="D568" t="s">
        <v>96</v>
      </c>
      <c r="E568" t="s">
        <v>37</v>
      </c>
      <c r="F568">
        <v>2105000</v>
      </c>
      <c r="G568">
        <v>21.05</v>
      </c>
      <c r="H568" t="s">
        <v>17</v>
      </c>
      <c r="I568" t="s">
        <v>28</v>
      </c>
      <c r="J568" s="8">
        <v>46028</v>
      </c>
      <c r="K568" t="s">
        <v>54</v>
      </c>
    </row>
    <row r="569" spans="1:11" x14ac:dyDescent="0.3">
      <c r="A569" t="s">
        <v>1345</v>
      </c>
      <c r="B569" t="s">
        <v>996</v>
      </c>
      <c r="C569" t="s">
        <v>130</v>
      </c>
      <c r="D569" t="s">
        <v>44</v>
      </c>
      <c r="E569" t="s">
        <v>77</v>
      </c>
      <c r="F569">
        <v>4015000</v>
      </c>
      <c r="G569">
        <v>40.15</v>
      </c>
      <c r="H569" t="s">
        <v>27</v>
      </c>
      <c r="I569" t="s">
        <v>28</v>
      </c>
      <c r="J569" s="8">
        <v>46210</v>
      </c>
      <c r="K569" t="s">
        <v>30</v>
      </c>
    </row>
    <row r="570" spans="1:11" x14ac:dyDescent="0.3">
      <c r="A570" t="s">
        <v>1345</v>
      </c>
      <c r="B570" t="s">
        <v>996</v>
      </c>
      <c r="C570" t="s">
        <v>130</v>
      </c>
      <c r="D570" t="s">
        <v>44</v>
      </c>
      <c r="E570" t="s">
        <v>77</v>
      </c>
      <c r="F570">
        <v>4015000</v>
      </c>
      <c r="G570">
        <v>40.15</v>
      </c>
      <c r="H570" t="s">
        <v>27</v>
      </c>
      <c r="I570" t="s">
        <v>28</v>
      </c>
      <c r="J570" s="8">
        <v>46210</v>
      </c>
      <c r="K570" t="s">
        <v>20</v>
      </c>
    </row>
    <row r="571" spans="1:11" x14ac:dyDescent="0.3">
      <c r="A571" t="s">
        <v>1345</v>
      </c>
      <c r="B571" t="s">
        <v>996</v>
      </c>
      <c r="C571" t="s">
        <v>130</v>
      </c>
      <c r="D571" t="s">
        <v>44</v>
      </c>
      <c r="E571" t="s">
        <v>77</v>
      </c>
      <c r="F571">
        <v>4015000</v>
      </c>
      <c r="G571">
        <v>40.15</v>
      </c>
      <c r="H571" t="s">
        <v>27</v>
      </c>
      <c r="I571" t="s">
        <v>28</v>
      </c>
      <c r="J571" s="8">
        <v>46210</v>
      </c>
      <c r="K571" t="s">
        <v>937</v>
      </c>
    </row>
    <row r="572" spans="1:11" x14ac:dyDescent="0.3">
      <c r="A572" t="s">
        <v>1347</v>
      </c>
      <c r="B572" t="s">
        <v>24</v>
      </c>
      <c r="C572" t="s">
        <v>887</v>
      </c>
      <c r="D572" t="s">
        <v>71</v>
      </c>
      <c r="E572" t="s">
        <v>52</v>
      </c>
      <c r="F572">
        <v>385000</v>
      </c>
      <c r="G572">
        <v>3.85</v>
      </c>
      <c r="H572" t="s">
        <v>53</v>
      </c>
      <c r="I572" t="s">
        <v>28</v>
      </c>
      <c r="J572" s="8">
        <v>46137</v>
      </c>
      <c r="K572" t="s">
        <v>46</v>
      </c>
    </row>
    <row r="573" spans="1:11" x14ac:dyDescent="0.3">
      <c r="A573" t="s">
        <v>1347</v>
      </c>
      <c r="B573" t="s">
        <v>24</v>
      </c>
      <c r="C573" t="s">
        <v>887</v>
      </c>
      <c r="D573" t="s">
        <v>71</v>
      </c>
      <c r="E573" t="s">
        <v>52</v>
      </c>
      <c r="F573">
        <v>385000</v>
      </c>
      <c r="G573">
        <v>3.85</v>
      </c>
      <c r="H573" t="s">
        <v>53</v>
      </c>
      <c r="I573" t="s">
        <v>28</v>
      </c>
      <c r="J573" s="8">
        <v>46137</v>
      </c>
      <c r="K573" t="s">
        <v>45</v>
      </c>
    </row>
    <row r="574" spans="1:11" x14ac:dyDescent="0.3">
      <c r="A574" t="s">
        <v>1347</v>
      </c>
      <c r="B574" t="s">
        <v>24</v>
      </c>
      <c r="C574" t="s">
        <v>887</v>
      </c>
      <c r="D574" t="s">
        <v>71</v>
      </c>
      <c r="E574" t="s">
        <v>52</v>
      </c>
      <c r="F574">
        <v>385000</v>
      </c>
      <c r="G574">
        <v>3.85</v>
      </c>
      <c r="H574" t="s">
        <v>53</v>
      </c>
      <c r="I574" t="s">
        <v>28</v>
      </c>
      <c r="J574" s="8">
        <v>46137</v>
      </c>
      <c r="K574" t="s">
        <v>908</v>
      </c>
    </row>
    <row r="575" spans="1:11" x14ac:dyDescent="0.3">
      <c r="A575" t="s">
        <v>1349</v>
      </c>
      <c r="B575" t="s">
        <v>24</v>
      </c>
      <c r="C575" t="s">
        <v>220</v>
      </c>
      <c r="D575" t="s">
        <v>36</v>
      </c>
      <c r="E575" t="s">
        <v>16</v>
      </c>
      <c r="F575">
        <v>845000</v>
      </c>
      <c r="G575">
        <v>8.4499999999999993</v>
      </c>
      <c r="H575" t="s">
        <v>17</v>
      </c>
      <c r="I575" t="s">
        <v>59</v>
      </c>
      <c r="J575" s="8">
        <v>46144</v>
      </c>
      <c r="K575" t="s">
        <v>908</v>
      </c>
    </row>
    <row r="576" spans="1:11" x14ac:dyDescent="0.3">
      <c r="A576" t="s">
        <v>1349</v>
      </c>
      <c r="B576" t="s">
        <v>24</v>
      </c>
      <c r="C576" t="s">
        <v>220</v>
      </c>
      <c r="D576" t="s">
        <v>36</v>
      </c>
      <c r="E576" t="s">
        <v>16</v>
      </c>
      <c r="F576">
        <v>845000</v>
      </c>
      <c r="G576">
        <v>8.4499999999999993</v>
      </c>
      <c r="H576" t="s">
        <v>17</v>
      </c>
      <c r="I576" t="s">
        <v>59</v>
      </c>
      <c r="J576" s="8">
        <v>46144</v>
      </c>
      <c r="K576" t="s">
        <v>39</v>
      </c>
    </row>
    <row r="577" spans="1:11" x14ac:dyDescent="0.3">
      <c r="A577" t="s">
        <v>1349</v>
      </c>
      <c r="B577" t="s">
        <v>24</v>
      </c>
      <c r="C577" t="s">
        <v>220</v>
      </c>
      <c r="D577" t="s">
        <v>36</v>
      </c>
      <c r="E577" t="s">
        <v>16</v>
      </c>
      <c r="F577">
        <v>845000</v>
      </c>
      <c r="G577">
        <v>8.4499999999999993</v>
      </c>
      <c r="H577" t="s">
        <v>17</v>
      </c>
      <c r="I577" t="s">
        <v>59</v>
      </c>
      <c r="J577" s="8">
        <v>46144</v>
      </c>
      <c r="K577" t="s">
        <v>874</v>
      </c>
    </row>
    <row r="578" spans="1:11" x14ac:dyDescent="0.3">
      <c r="A578" t="s">
        <v>1352</v>
      </c>
      <c r="B578" t="s">
        <v>24</v>
      </c>
      <c r="C578" t="s">
        <v>217</v>
      </c>
      <c r="D578" t="s">
        <v>71</v>
      </c>
      <c r="E578" t="s">
        <v>16</v>
      </c>
      <c r="F578">
        <v>605000</v>
      </c>
      <c r="G578">
        <v>6.05</v>
      </c>
      <c r="H578" t="s">
        <v>27</v>
      </c>
      <c r="I578" t="s">
        <v>845</v>
      </c>
      <c r="J578" s="8">
        <v>46265</v>
      </c>
      <c r="K578" t="s">
        <v>45</v>
      </c>
    </row>
    <row r="579" spans="1:11" x14ac:dyDescent="0.3">
      <c r="A579" t="s">
        <v>1352</v>
      </c>
      <c r="B579" t="s">
        <v>24</v>
      </c>
      <c r="C579" t="s">
        <v>217</v>
      </c>
      <c r="D579" t="s">
        <v>71</v>
      </c>
      <c r="E579" t="s">
        <v>16</v>
      </c>
      <c r="F579">
        <v>605000</v>
      </c>
      <c r="G579">
        <v>6.05</v>
      </c>
      <c r="H579" t="s">
        <v>27</v>
      </c>
      <c r="I579" t="s">
        <v>845</v>
      </c>
      <c r="J579" s="8">
        <v>46265</v>
      </c>
      <c r="K579" t="s">
        <v>21</v>
      </c>
    </row>
    <row r="580" spans="1:11" x14ac:dyDescent="0.3">
      <c r="A580" t="s">
        <v>1352</v>
      </c>
      <c r="B580" t="s">
        <v>24</v>
      </c>
      <c r="C580" t="s">
        <v>217</v>
      </c>
      <c r="D580" t="s">
        <v>71</v>
      </c>
      <c r="E580" t="s">
        <v>16</v>
      </c>
      <c r="F580">
        <v>605000</v>
      </c>
      <c r="G580">
        <v>6.05</v>
      </c>
      <c r="H580" t="s">
        <v>27</v>
      </c>
      <c r="I580" t="s">
        <v>845</v>
      </c>
      <c r="J580" s="8">
        <v>46265</v>
      </c>
      <c r="K580" t="s">
        <v>908</v>
      </c>
    </row>
    <row r="581" spans="1:11" x14ac:dyDescent="0.3">
      <c r="A581" t="s">
        <v>1355</v>
      </c>
      <c r="B581" t="s">
        <v>49</v>
      </c>
      <c r="C581" t="s">
        <v>271</v>
      </c>
      <c r="D581" t="s">
        <v>15</v>
      </c>
      <c r="E581" t="s">
        <v>52</v>
      </c>
      <c r="F581">
        <v>480000</v>
      </c>
      <c r="G581">
        <v>4.8</v>
      </c>
      <c r="H581" t="s">
        <v>27</v>
      </c>
      <c r="I581" t="s">
        <v>28</v>
      </c>
      <c r="J581" s="8">
        <v>46180</v>
      </c>
      <c r="K581" t="s">
        <v>54</v>
      </c>
    </row>
    <row r="582" spans="1:11" x14ac:dyDescent="0.3">
      <c r="A582" t="s">
        <v>1355</v>
      </c>
      <c r="B582" t="s">
        <v>49</v>
      </c>
      <c r="C582" t="s">
        <v>271</v>
      </c>
      <c r="D582" t="s">
        <v>15</v>
      </c>
      <c r="E582" t="s">
        <v>52</v>
      </c>
      <c r="F582">
        <v>480000</v>
      </c>
      <c r="G582">
        <v>4.8</v>
      </c>
      <c r="H582" t="s">
        <v>27</v>
      </c>
      <c r="I582" t="s">
        <v>28</v>
      </c>
      <c r="J582" s="8">
        <v>46180</v>
      </c>
      <c r="K582" t="s">
        <v>31</v>
      </c>
    </row>
    <row r="583" spans="1:11" x14ac:dyDescent="0.3">
      <c r="A583" t="s">
        <v>1355</v>
      </c>
      <c r="B583" t="s">
        <v>49</v>
      </c>
      <c r="C583" t="s">
        <v>271</v>
      </c>
      <c r="D583" t="s">
        <v>15</v>
      </c>
      <c r="E583" t="s">
        <v>52</v>
      </c>
      <c r="F583">
        <v>480000</v>
      </c>
      <c r="G583">
        <v>4.8</v>
      </c>
      <c r="H583" t="s">
        <v>27</v>
      </c>
      <c r="I583" t="s">
        <v>28</v>
      </c>
      <c r="J583" s="8">
        <v>46180</v>
      </c>
      <c r="K583" t="s">
        <v>46</v>
      </c>
    </row>
    <row r="584" spans="1:11" x14ac:dyDescent="0.3">
      <c r="A584" t="s">
        <v>1357</v>
      </c>
      <c r="B584" t="s">
        <v>24</v>
      </c>
      <c r="C584" t="s">
        <v>295</v>
      </c>
      <c r="D584" t="s">
        <v>71</v>
      </c>
      <c r="E584" t="s">
        <v>16</v>
      </c>
      <c r="F584">
        <v>955000</v>
      </c>
      <c r="G584">
        <v>9.5500000000000007</v>
      </c>
      <c r="H584" t="s">
        <v>17</v>
      </c>
      <c r="I584" t="s">
        <v>59</v>
      </c>
      <c r="J584" s="8">
        <v>46101</v>
      </c>
      <c r="K584" t="s">
        <v>846</v>
      </c>
    </row>
    <row r="585" spans="1:11" x14ac:dyDescent="0.3">
      <c r="A585" t="s">
        <v>1357</v>
      </c>
      <c r="B585" t="s">
        <v>24</v>
      </c>
      <c r="C585" t="s">
        <v>295</v>
      </c>
      <c r="D585" t="s">
        <v>71</v>
      </c>
      <c r="E585" t="s">
        <v>16</v>
      </c>
      <c r="F585">
        <v>955000</v>
      </c>
      <c r="G585">
        <v>9.5500000000000007</v>
      </c>
      <c r="H585" t="s">
        <v>17</v>
      </c>
      <c r="I585" t="s">
        <v>59</v>
      </c>
      <c r="J585" s="8">
        <v>46101</v>
      </c>
      <c r="K585" t="s">
        <v>908</v>
      </c>
    </row>
    <row r="586" spans="1:11" x14ac:dyDescent="0.3">
      <c r="A586" t="s">
        <v>1357</v>
      </c>
      <c r="B586" t="s">
        <v>24</v>
      </c>
      <c r="C586" t="s">
        <v>295</v>
      </c>
      <c r="D586" t="s">
        <v>71</v>
      </c>
      <c r="E586" t="s">
        <v>16</v>
      </c>
      <c r="F586">
        <v>955000</v>
      </c>
      <c r="G586">
        <v>9.5500000000000007</v>
      </c>
      <c r="H586" t="s">
        <v>17</v>
      </c>
      <c r="I586" t="s">
        <v>59</v>
      </c>
      <c r="J586" s="8">
        <v>46101</v>
      </c>
      <c r="K586" t="s">
        <v>54</v>
      </c>
    </row>
    <row r="587" spans="1:11" x14ac:dyDescent="0.3">
      <c r="A587" t="s">
        <v>1360</v>
      </c>
      <c r="B587" t="s">
        <v>13</v>
      </c>
      <c r="C587" t="s">
        <v>441</v>
      </c>
      <c r="D587" t="s">
        <v>26</v>
      </c>
      <c r="E587" t="s">
        <v>16</v>
      </c>
      <c r="F587">
        <v>630000</v>
      </c>
      <c r="G587">
        <v>6.3</v>
      </c>
      <c r="H587" t="s">
        <v>27</v>
      </c>
      <c r="I587" t="s">
        <v>59</v>
      </c>
      <c r="J587" s="8">
        <v>46198</v>
      </c>
      <c r="K587" t="s">
        <v>45</v>
      </c>
    </row>
    <row r="588" spans="1:11" x14ac:dyDescent="0.3">
      <c r="A588" t="s">
        <v>1360</v>
      </c>
      <c r="B588" t="s">
        <v>13</v>
      </c>
      <c r="C588" t="s">
        <v>441</v>
      </c>
      <c r="D588" t="s">
        <v>26</v>
      </c>
      <c r="E588" t="s">
        <v>16</v>
      </c>
      <c r="F588">
        <v>630000</v>
      </c>
      <c r="G588">
        <v>6.3</v>
      </c>
      <c r="H588" t="s">
        <v>27</v>
      </c>
      <c r="I588" t="s">
        <v>59</v>
      </c>
      <c r="J588" s="8">
        <v>46198</v>
      </c>
      <c r="K588" t="s">
        <v>21</v>
      </c>
    </row>
    <row r="589" spans="1:11" x14ac:dyDescent="0.3">
      <c r="A589" t="s">
        <v>1360</v>
      </c>
      <c r="B589" t="s">
        <v>13</v>
      </c>
      <c r="C589" t="s">
        <v>441</v>
      </c>
      <c r="D589" t="s">
        <v>26</v>
      </c>
      <c r="E589" t="s">
        <v>16</v>
      </c>
      <c r="F589">
        <v>630000</v>
      </c>
      <c r="G589">
        <v>6.3</v>
      </c>
      <c r="H589" t="s">
        <v>27</v>
      </c>
      <c r="I589" t="s">
        <v>59</v>
      </c>
      <c r="J589" s="8">
        <v>46198</v>
      </c>
      <c r="K589" t="s">
        <v>54</v>
      </c>
    </row>
    <row r="590" spans="1:11" x14ac:dyDescent="0.3">
      <c r="A590" t="s">
        <v>1361</v>
      </c>
      <c r="B590" t="s">
        <v>62</v>
      </c>
      <c r="C590" t="s">
        <v>125</v>
      </c>
      <c r="D590" t="s">
        <v>71</v>
      </c>
      <c r="E590" t="s">
        <v>52</v>
      </c>
      <c r="F590">
        <v>780000</v>
      </c>
      <c r="G590">
        <v>7.8</v>
      </c>
      <c r="H590" t="s">
        <v>27</v>
      </c>
      <c r="I590" t="s">
        <v>845</v>
      </c>
      <c r="J590" s="8">
        <v>46118</v>
      </c>
      <c r="K590" t="s">
        <v>46</v>
      </c>
    </row>
    <row r="591" spans="1:11" x14ac:dyDescent="0.3">
      <c r="A591" t="s">
        <v>1361</v>
      </c>
      <c r="B591" t="s">
        <v>62</v>
      </c>
      <c r="C591" t="s">
        <v>125</v>
      </c>
      <c r="D591" t="s">
        <v>71</v>
      </c>
      <c r="E591" t="s">
        <v>52</v>
      </c>
      <c r="F591">
        <v>780000</v>
      </c>
      <c r="G591">
        <v>7.8</v>
      </c>
      <c r="H591" t="s">
        <v>27</v>
      </c>
      <c r="I591" t="s">
        <v>845</v>
      </c>
      <c r="J591" s="8">
        <v>46118</v>
      </c>
      <c r="K591" t="s">
        <v>30</v>
      </c>
    </row>
    <row r="592" spans="1:11" x14ac:dyDescent="0.3">
      <c r="A592" t="s">
        <v>1361</v>
      </c>
      <c r="B592" t="s">
        <v>62</v>
      </c>
      <c r="C592" t="s">
        <v>125</v>
      </c>
      <c r="D592" t="s">
        <v>71</v>
      </c>
      <c r="E592" t="s">
        <v>52</v>
      </c>
      <c r="F592">
        <v>780000</v>
      </c>
      <c r="G592">
        <v>7.8</v>
      </c>
      <c r="H592" t="s">
        <v>27</v>
      </c>
      <c r="I592" t="s">
        <v>845</v>
      </c>
      <c r="J592" s="8">
        <v>46118</v>
      </c>
      <c r="K592" t="s">
        <v>20</v>
      </c>
    </row>
    <row r="593" spans="1:11" x14ac:dyDescent="0.3">
      <c r="A593" t="s">
        <v>1363</v>
      </c>
      <c r="B593" t="s">
        <v>852</v>
      </c>
      <c r="C593" t="s">
        <v>112</v>
      </c>
      <c r="D593" t="s">
        <v>71</v>
      </c>
      <c r="E593" t="s">
        <v>37</v>
      </c>
      <c r="F593">
        <v>1850000</v>
      </c>
      <c r="G593">
        <v>18.5</v>
      </c>
      <c r="H593" t="s">
        <v>27</v>
      </c>
      <c r="I593" t="s">
        <v>59</v>
      </c>
      <c r="J593" s="8">
        <v>46163</v>
      </c>
      <c r="K593" t="s">
        <v>908</v>
      </c>
    </row>
    <row r="594" spans="1:11" x14ac:dyDescent="0.3">
      <c r="A594" t="s">
        <v>1363</v>
      </c>
      <c r="B594" t="s">
        <v>852</v>
      </c>
      <c r="C594" t="s">
        <v>112</v>
      </c>
      <c r="D594" t="s">
        <v>71</v>
      </c>
      <c r="E594" t="s">
        <v>37</v>
      </c>
      <c r="F594">
        <v>1850000</v>
      </c>
      <c r="G594">
        <v>18.5</v>
      </c>
      <c r="H594" t="s">
        <v>27</v>
      </c>
      <c r="I594" t="s">
        <v>59</v>
      </c>
      <c r="J594" s="8">
        <v>46163</v>
      </c>
      <c r="K594" t="s">
        <v>20</v>
      </c>
    </row>
    <row r="595" spans="1:11" x14ac:dyDescent="0.3">
      <c r="A595" t="s">
        <v>1363</v>
      </c>
      <c r="B595" t="s">
        <v>852</v>
      </c>
      <c r="C595" t="s">
        <v>112</v>
      </c>
      <c r="D595" t="s">
        <v>71</v>
      </c>
      <c r="E595" t="s">
        <v>37</v>
      </c>
      <c r="F595">
        <v>1850000</v>
      </c>
      <c r="G595">
        <v>18.5</v>
      </c>
      <c r="H595" t="s">
        <v>27</v>
      </c>
      <c r="I595" t="s">
        <v>59</v>
      </c>
      <c r="J595" s="8">
        <v>46163</v>
      </c>
      <c r="K595" t="s">
        <v>30</v>
      </c>
    </row>
    <row r="596" spans="1:11" x14ac:dyDescent="0.3">
      <c r="A596" t="s">
        <v>1366</v>
      </c>
      <c r="B596" t="s">
        <v>49</v>
      </c>
      <c r="C596" t="s">
        <v>1367</v>
      </c>
      <c r="D596" t="s">
        <v>44</v>
      </c>
      <c r="E596" t="s">
        <v>77</v>
      </c>
      <c r="F596">
        <v>3240000</v>
      </c>
      <c r="G596">
        <v>32.4</v>
      </c>
      <c r="H596" t="s">
        <v>27</v>
      </c>
      <c r="I596" t="s">
        <v>28</v>
      </c>
      <c r="J596" s="8">
        <v>46140</v>
      </c>
      <c r="K596" t="s">
        <v>54</v>
      </c>
    </row>
    <row r="597" spans="1:11" x14ac:dyDescent="0.3">
      <c r="A597" t="s">
        <v>1366</v>
      </c>
      <c r="B597" t="s">
        <v>49</v>
      </c>
      <c r="C597" t="s">
        <v>1367</v>
      </c>
      <c r="D597" t="s">
        <v>44</v>
      </c>
      <c r="E597" t="s">
        <v>77</v>
      </c>
      <c r="F597">
        <v>3240000</v>
      </c>
      <c r="G597">
        <v>32.4</v>
      </c>
      <c r="H597" t="s">
        <v>27</v>
      </c>
      <c r="I597" t="s">
        <v>28</v>
      </c>
      <c r="J597" s="8">
        <v>46140</v>
      </c>
      <c r="K597" t="s">
        <v>846</v>
      </c>
    </row>
    <row r="598" spans="1:11" x14ac:dyDescent="0.3">
      <c r="A598" t="s">
        <v>1366</v>
      </c>
      <c r="B598" t="s">
        <v>49</v>
      </c>
      <c r="C598" t="s">
        <v>1367</v>
      </c>
      <c r="D598" t="s">
        <v>44</v>
      </c>
      <c r="E598" t="s">
        <v>77</v>
      </c>
      <c r="F598">
        <v>3240000</v>
      </c>
      <c r="G598">
        <v>32.4</v>
      </c>
      <c r="H598" t="s">
        <v>27</v>
      </c>
      <c r="I598" t="s">
        <v>28</v>
      </c>
      <c r="J598" s="8">
        <v>46140</v>
      </c>
      <c r="K598" t="s">
        <v>878</v>
      </c>
    </row>
    <row r="599" spans="1:11" x14ac:dyDescent="0.3">
      <c r="A599" t="s">
        <v>1370</v>
      </c>
      <c r="B599" t="s">
        <v>996</v>
      </c>
      <c r="C599" t="s">
        <v>283</v>
      </c>
      <c r="D599" t="s">
        <v>96</v>
      </c>
      <c r="E599" t="s">
        <v>16</v>
      </c>
      <c r="F599">
        <v>1005000</v>
      </c>
      <c r="G599">
        <v>10.050000000000001</v>
      </c>
      <c r="H599" t="s">
        <v>27</v>
      </c>
      <c r="I599" t="s">
        <v>845</v>
      </c>
      <c r="J599" s="8">
        <v>46217</v>
      </c>
      <c r="K599" t="s">
        <v>29</v>
      </c>
    </row>
    <row r="600" spans="1:11" x14ac:dyDescent="0.3">
      <c r="A600" t="s">
        <v>1370</v>
      </c>
      <c r="B600" t="s">
        <v>996</v>
      </c>
      <c r="C600" t="s">
        <v>283</v>
      </c>
      <c r="D600" t="s">
        <v>96</v>
      </c>
      <c r="E600" t="s">
        <v>16</v>
      </c>
      <c r="F600">
        <v>1005000</v>
      </c>
      <c r="G600">
        <v>10.050000000000001</v>
      </c>
      <c r="H600" t="s">
        <v>27</v>
      </c>
      <c r="I600" t="s">
        <v>845</v>
      </c>
      <c r="J600" s="8">
        <v>46217</v>
      </c>
      <c r="K600" t="s">
        <v>46</v>
      </c>
    </row>
    <row r="601" spans="1:11" x14ac:dyDescent="0.3">
      <c r="A601" t="s">
        <v>1370</v>
      </c>
      <c r="B601" t="s">
        <v>996</v>
      </c>
      <c r="C601" t="s">
        <v>283</v>
      </c>
      <c r="D601" t="s">
        <v>96</v>
      </c>
      <c r="E601" t="s">
        <v>16</v>
      </c>
      <c r="F601">
        <v>1005000</v>
      </c>
      <c r="G601">
        <v>10.050000000000001</v>
      </c>
      <c r="H601" t="s">
        <v>27</v>
      </c>
      <c r="I601" t="s">
        <v>845</v>
      </c>
      <c r="J601" s="8">
        <v>46217</v>
      </c>
      <c r="K601" t="s">
        <v>45</v>
      </c>
    </row>
    <row r="602" spans="1:11" x14ac:dyDescent="0.3">
      <c r="A602" t="s">
        <v>1371</v>
      </c>
      <c r="B602" t="s">
        <v>13</v>
      </c>
      <c r="C602" t="s">
        <v>967</v>
      </c>
      <c r="D602" t="s">
        <v>96</v>
      </c>
      <c r="E602" t="s">
        <v>116</v>
      </c>
      <c r="F602">
        <v>1015000</v>
      </c>
      <c r="G602">
        <v>10.15</v>
      </c>
      <c r="H602" t="s">
        <v>17</v>
      </c>
      <c r="I602" t="s">
        <v>845</v>
      </c>
      <c r="J602" s="8">
        <v>46202</v>
      </c>
      <c r="K602" t="s">
        <v>45</v>
      </c>
    </row>
    <row r="603" spans="1:11" x14ac:dyDescent="0.3">
      <c r="A603" t="s">
        <v>1371</v>
      </c>
      <c r="B603" t="s">
        <v>13</v>
      </c>
      <c r="C603" t="s">
        <v>967</v>
      </c>
      <c r="D603" t="s">
        <v>96</v>
      </c>
      <c r="E603" t="s">
        <v>116</v>
      </c>
      <c r="F603">
        <v>1015000</v>
      </c>
      <c r="G603">
        <v>10.15</v>
      </c>
      <c r="H603" t="s">
        <v>17</v>
      </c>
      <c r="I603" t="s">
        <v>845</v>
      </c>
      <c r="J603" s="8">
        <v>46202</v>
      </c>
      <c r="K603" t="s">
        <v>878</v>
      </c>
    </row>
    <row r="604" spans="1:11" x14ac:dyDescent="0.3">
      <c r="A604" t="s">
        <v>1371</v>
      </c>
      <c r="B604" t="s">
        <v>13</v>
      </c>
      <c r="C604" t="s">
        <v>967</v>
      </c>
      <c r="D604" t="s">
        <v>96</v>
      </c>
      <c r="E604" t="s">
        <v>116</v>
      </c>
      <c r="F604">
        <v>1015000</v>
      </c>
      <c r="G604">
        <v>10.15</v>
      </c>
      <c r="H604" t="s">
        <v>17</v>
      </c>
      <c r="I604" t="s">
        <v>845</v>
      </c>
      <c r="J604" s="8">
        <v>46202</v>
      </c>
      <c r="K604" t="s">
        <v>54</v>
      </c>
    </row>
    <row r="605" spans="1:11" x14ac:dyDescent="0.3">
      <c r="A605" t="s">
        <v>1373</v>
      </c>
      <c r="B605" t="s">
        <v>49</v>
      </c>
      <c r="C605" t="s">
        <v>919</v>
      </c>
      <c r="D605" t="s">
        <v>26</v>
      </c>
      <c r="E605" t="s">
        <v>16</v>
      </c>
      <c r="F605">
        <v>955000</v>
      </c>
      <c r="G605">
        <v>9.5500000000000007</v>
      </c>
      <c r="H605" t="s">
        <v>27</v>
      </c>
      <c r="I605" t="s">
        <v>28</v>
      </c>
      <c r="J605" s="8">
        <v>46236</v>
      </c>
      <c r="K605" t="s">
        <v>21</v>
      </c>
    </row>
    <row r="606" spans="1:11" x14ac:dyDescent="0.3">
      <c r="A606" t="s">
        <v>1373</v>
      </c>
      <c r="B606" t="s">
        <v>49</v>
      </c>
      <c r="C606" t="s">
        <v>919</v>
      </c>
      <c r="D606" t="s">
        <v>26</v>
      </c>
      <c r="E606" t="s">
        <v>16</v>
      </c>
      <c r="F606">
        <v>955000</v>
      </c>
      <c r="G606">
        <v>9.5500000000000007</v>
      </c>
      <c r="H606" t="s">
        <v>27</v>
      </c>
      <c r="I606" t="s">
        <v>28</v>
      </c>
      <c r="J606" s="8">
        <v>46236</v>
      </c>
      <c r="K606" t="s">
        <v>54</v>
      </c>
    </row>
    <row r="607" spans="1:11" x14ac:dyDescent="0.3">
      <c r="A607" t="s">
        <v>1373</v>
      </c>
      <c r="B607" t="s">
        <v>49</v>
      </c>
      <c r="C607" t="s">
        <v>919</v>
      </c>
      <c r="D607" t="s">
        <v>26</v>
      </c>
      <c r="E607" t="s">
        <v>16</v>
      </c>
      <c r="F607">
        <v>955000</v>
      </c>
      <c r="G607">
        <v>9.5500000000000007</v>
      </c>
      <c r="H607" t="s">
        <v>27</v>
      </c>
      <c r="I607" t="s">
        <v>28</v>
      </c>
      <c r="J607" s="8">
        <v>46236</v>
      </c>
      <c r="K607" t="s">
        <v>878</v>
      </c>
    </row>
    <row r="608" spans="1:11" x14ac:dyDescent="0.3">
      <c r="A608" t="s">
        <v>1375</v>
      </c>
      <c r="B608" t="s">
        <v>852</v>
      </c>
      <c r="C608" t="s">
        <v>953</v>
      </c>
      <c r="D608" t="s">
        <v>26</v>
      </c>
      <c r="E608" t="s">
        <v>37</v>
      </c>
      <c r="F608">
        <v>2025000</v>
      </c>
      <c r="G608">
        <v>20.25</v>
      </c>
      <c r="H608" t="s">
        <v>27</v>
      </c>
      <c r="I608" t="s">
        <v>59</v>
      </c>
      <c r="J608" s="8">
        <v>46191</v>
      </c>
      <c r="K608" t="s">
        <v>878</v>
      </c>
    </row>
    <row r="609" spans="1:11" x14ac:dyDescent="0.3">
      <c r="A609" t="s">
        <v>1375</v>
      </c>
      <c r="B609" t="s">
        <v>852</v>
      </c>
      <c r="C609" t="s">
        <v>953</v>
      </c>
      <c r="D609" t="s">
        <v>26</v>
      </c>
      <c r="E609" t="s">
        <v>37</v>
      </c>
      <c r="F609">
        <v>2025000</v>
      </c>
      <c r="G609">
        <v>20.25</v>
      </c>
      <c r="H609" t="s">
        <v>27</v>
      </c>
      <c r="I609" t="s">
        <v>59</v>
      </c>
      <c r="J609" s="8">
        <v>46191</v>
      </c>
      <c r="K609" t="s">
        <v>31</v>
      </c>
    </row>
    <row r="610" spans="1:11" x14ac:dyDescent="0.3">
      <c r="A610" t="s">
        <v>1375</v>
      </c>
      <c r="B610" t="s">
        <v>852</v>
      </c>
      <c r="C610" t="s">
        <v>953</v>
      </c>
      <c r="D610" t="s">
        <v>26</v>
      </c>
      <c r="E610" t="s">
        <v>37</v>
      </c>
      <c r="F610">
        <v>2025000</v>
      </c>
      <c r="G610">
        <v>20.25</v>
      </c>
      <c r="H610" t="s">
        <v>27</v>
      </c>
      <c r="I610" t="s">
        <v>59</v>
      </c>
      <c r="J610" s="8">
        <v>46191</v>
      </c>
      <c r="K610" t="s">
        <v>908</v>
      </c>
    </row>
    <row r="611" spans="1:11" x14ac:dyDescent="0.3">
      <c r="A611" t="s">
        <v>1377</v>
      </c>
      <c r="B611" t="s">
        <v>42</v>
      </c>
      <c r="C611" t="s">
        <v>99</v>
      </c>
      <c r="D611" t="s">
        <v>64</v>
      </c>
      <c r="E611" t="s">
        <v>77</v>
      </c>
      <c r="F611">
        <v>2500000</v>
      </c>
      <c r="G611">
        <v>25</v>
      </c>
      <c r="H611" t="s">
        <v>27</v>
      </c>
      <c r="I611" t="s">
        <v>28</v>
      </c>
      <c r="J611" s="8">
        <v>46128</v>
      </c>
      <c r="K611" t="s">
        <v>20</v>
      </c>
    </row>
    <row r="612" spans="1:11" x14ac:dyDescent="0.3">
      <c r="A612" t="s">
        <v>1377</v>
      </c>
      <c r="B612" t="s">
        <v>42</v>
      </c>
      <c r="C612" t="s">
        <v>99</v>
      </c>
      <c r="D612" t="s">
        <v>64</v>
      </c>
      <c r="E612" t="s">
        <v>77</v>
      </c>
      <c r="F612">
        <v>2500000</v>
      </c>
      <c r="G612">
        <v>25</v>
      </c>
      <c r="H612" t="s">
        <v>27</v>
      </c>
      <c r="I612" t="s">
        <v>28</v>
      </c>
      <c r="J612" s="8">
        <v>46128</v>
      </c>
      <c r="K612" t="s">
        <v>54</v>
      </c>
    </row>
    <row r="613" spans="1:11" x14ac:dyDescent="0.3">
      <c r="A613" t="s">
        <v>1377</v>
      </c>
      <c r="B613" t="s">
        <v>42</v>
      </c>
      <c r="C613" t="s">
        <v>99</v>
      </c>
      <c r="D613" t="s">
        <v>64</v>
      </c>
      <c r="E613" t="s">
        <v>77</v>
      </c>
      <c r="F613">
        <v>2500000</v>
      </c>
      <c r="G613">
        <v>25</v>
      </c>
      <c r="H613" t="s">
        <v>27</v>
      </c>
      <c r="I613" t="s">
        <v>28</v>
      </c>
      <c r="J613" s="8">
        <v>46128</v>
      </c>
      <c r="K613" t="s">
        <v>29</v>
      </c>
    </row>
    <row r="614" spans="1:11" x14ac:dyDescent="0.3">
      <c r="A614" t="s">
        <v>1380</v>
      </c>
      <c r="B614" t="s">
        <v>996</v>
      </c>
      <c r="C614" t="s">
        <v>87</v>
      </c>
      <c r="D614" t="s">
        <v>76</v>
      </c>
      <c r="E614" t="s">
        <v>116</v>
      </c>
      <c r="F614">
        <v>1680000</v>
      </c>
      <c r="G614">
        <v>16.8</v>
      </c>
      <c r="H614" t="s">
        <v>27</v>
      </c>
      <c r="I614" t="s">
        <v>28</v>
      </c>
      <c r="J614" s="8">
        <v>46069</v>
      </c>
      <c r="K614" t="s">
        <v>21</v>
      </c>
    </row>
    <row r="615" spans="1:11" x14ac:dyDescent="0.3">
      <c r="A615" t="s">
        <v>1380</v>
      </c>
      <c r="B615" t="s">
        <v>996</v>
      </c>
      <c r="C615" t="s">
        <v>87</v>
      </c>
      <c r="D615" t="s">
        <v>76</v>
      </c>
      <c r="E615" t="s">
        <v>116</v>
      </c>
      <c r="F615">
        <v>1680000</v>
      </c>
      <c r="G615">
        <v>16.8</v>
      </c>
      <c r="H615" t="s">
        <v>27</v>
      </c>
      <c r="I615" t="s">
        <v>28</v>
      </c>
      <c r="J615" s="8">
        <v>46069</v>
      </c>
      <c r="K615" t="s">
        <v>29</v>
      </c>
    </row>
    <row r="616" spans="1:11" x14ac:dyDescent="0.3">
      <c r="A616" t="s">
        <v>1380</v>
      </c>
      <c r="B616" t="s">
        <v>996</v>
      </c>
      <c r="C616" t="s">
        <v>87</v>
      </c>
      <c r="D616" t="s">
        <v>76</v>
      </c>
      <c r="E616" t="s">
        <v>116</v>
      </c>
      <c r="F616">
        <v>1680000</v>
      </c>
      <c r="G616">
        <v>16.8</v>
      </c>
      <c r="H616" t="s">
        <v>27</v>
      </c>
      <c r="I616" t="s">
        <v>28</v>
      </c>
      <c r="J616" s="8">
        <v>46069</v>
      </c>
      <c r="K616" t="s">
        <v>854</v>
      </c>
    </row>
    <row r="617" spans="1:11" x14ac:dyDescent="0.3">
      <c r="A617" t="s">
        <v>1382</v>
      </c>
      <c r="B617" t="s">
        <v>864</v>
      </c>
      <c r="C617" t="s">
        <v>260</v>
      </c>
      <c r="D617" t="s">
        <v>71</v>
      </c>
      <c r="E617" t="s">
        <v>52</v>
      </c>
      <c r="F617">
        <v>360000</v>
      </c>
      <c r="G617">
        <v>3.6</v>
      </c>
      <c r="H617" t="s">
        <v>17</v>
      </c>
      <c r="I617" t="s">
        <v>28</v>
      </c>
      <c r="J617" s="8">
        <v>46244</v>
      </c>
      <c r="K617" t="s">
        <v>54</v>
      </c>
    </row>
    <row r="618" spans="1:11" x14ac:dyDescent="0.3">
      <c r="A618" t="s">
        <v>1382</v>
      </c>
      <c r="B618" t="s">
        <v>864</v>
      </c>
      <c r="C618" t="s">
        <v>260</v>
      </c>
      <c r="D618" t="s">
        <v>71</v>
      </c>
      <c r="E618" t="s">
        <v>52</v>
      </c>
      <c r="F618">
        <v>360000</v>
      </c>
      <c r="G618">
        <v>3.6</v>
      </c>
      <c r="H618" t="s">
        <v>17</v>
      </c>
      <c r="I618" t="s">
        <v>28</v>
      </c>
      <c r="J618" s="8">
        <v>46244</v>
      </c>
      <c r="K618" t="s">
        <v>846</v>
      </c>
    </row>
    <row r="619" spans="1:11" x14ac:dyDescent="0.3">
      <c r="A619" t="s">
        <v>1382</v>
      </c>
      <c r="B619" t="s">
        <v>864</v>
      </c>
      <c r="C619" t="s">
        <v>260</v>
      </c>
      <c r="D619" t="s">
        <v>71</v>
      </c>
      <c r="E619" t="s">
        <v>52</v>
      </c>
      <c r="F619">
        <v>360000</v>
      </c>
      <c r="G619">
        <v>3.6</v>
      </c>
      <c r="H619" t="s">
        <v>17</v>
      </c>
      <c r="I619" t="s">
        <v>28</v>
      </c>
      <c r="J619" s="8">
        <v>46244</v>
      </c>
      <c r="K619" t="s">
        <v>21</v>
      </c>
    </row>
    <row r="620" spans="1:11" x14ac:dyDescent="0.3">
      <c r="A620" t="s">
        <v>1384</v>
      </c>
      <c r="B620" t="s">
        <v>960</v>
      </c>
      <c r="C620" t="s">
        <v>214</v>
      </c>
      <c r="D620" t="s">
        <v>44</v>
      </c>
      <c r="E620" t="s">
        <v>16</v>
      </c>
      <c r="F620">
        <v>655000</v>
      </c>
      <c r="G620">
        <v>6.55</v>
      </c>
      <c r="H620" t="s">
        <v>27</v>
      </c>
      <c r="I620" t="s">
        <v>59</v>
      </c>
      <c r="J620" s="8">
        <v>46091</v>
      </c>
      <c r="K620" t="s">
        <v>878</v>
      </c>
    </row>
    <row r="621" spans="1:11" x14ac:dyDescent="0.3">
      <c r="A621" t="s">
        <v>1384</v>
      </c>
      <c r="B621" t="s">
        <v>960</v>
      </c>
      <c r="C621" t="s">
        <v>214</v>
      </c>
      <c r="D621" t="s">
        <v>44</v>
      </c>
      <c r="E621" t="s">
        <v>16</v>
      </c>
      <c r="F621">
        <v>655000</v>
      </c>
      <c r="G621">
        <v>6.55</v>
      </c>
      <c r="H621" t="s">
        <v>27</v>
      </c>
      <c r="I621" t="s">
        <v>59</v>
      </c>
      <c r="J621" s="8">
        <v>46091</v>
      </c>
      <c r="K621" t="s">
        <v>29</v>
      </c>
    </row>
    <row r="622" spans="1:11" x14ac:dyDescent="0.3">
      <c r="A622" t="s">
        <v>1384</v>
      </c>
      <c r="B622" t="s">
        <v>960</v>
      </c>
      <c r="C622" t="s">
        <v>214</v>
      </c>
      <c r="D622" t="s">
        <v>44</v>
      </c>
      <c r="E622" t="s">
        <v>16</v>
      </c>
      <c r="F622">
        <v>655000</v>
      </c>
      <c r="G622">
        <v>6.55</v>
      </c>
      <c r="H622" t="s">
        <v>27</v>
      </c>
      <c r="I622" t="s">
        <v>59</v>
      </c>
      <c r="J622" s="8">
        <v>46091</v>
      </c>
      <c r="K622" t="s">
        <v>46</v>
      </c>
    </row>
    <row r="623" spans="1:11" x14ac:dyDescent="0.3">
      <c r="A623" t="s">
        <v>1387</v>
      </c>
      <c r="B623" t="s">
        <v>49</v>
      </c>
      <c r="C623" t="s">
        <v>872</v>
      </c>
      <c r="D623" t="s">
        <v>36</v>
      </c>
      <c r="E623" t="s">
        <v>37</v>
      </c>
      <c r="F623">
        <v>1605000</v>
      </c>
      <c r="G623">
        <v>16.05</v>
      </c>
      <c r="H623" t="s">
        <v>27</v>
      </c>
      <c r="I623" t="s">
        <v>28</v>
      </c>
      <c r="J623" s="8">
        <v>46087</v>
      </c>
      <c r="K623" t="s">
        <v>31</v>
      </c>
    </row>
    <row r="624" spans="1:11" x14ac:dyDescent="0.3">
      <c r="A624" t="s">
        <v>1387</v>
      </c>
      <c r="B624" t="s">
        <v>49</v>
      </c>
      <c r="C624" t="s">
        <v>872</v>
      </c>
      <c r="D624" t="s">
        <v>36</v>
      </c>
      <c r="E624" t="s">
        <v>37</v>
      </c>
      <c r="F624">
        <v>1605000</v>
      </c>
      <c r="G624">
        <v>16.05</v>
      </c>
      <c r="H624" t="s">
        <v>27</v>
      </c>
      <c r="I624" t="s">
        <v>28</v>
      </c>
      <c r="J624" s="8">
        <v>46087</v>
      </c>
      <c r="K624" t="s">
        <v>937</v>
      </c>
    </row>
    <row r="625" spans="1:11" x14ac:dyDescent="0.3">
      <c r="A625" t="s">
        <v>1387</v>
      </c>
      <c r="B625" t="s">
        <v>49</v>
      </c>
      <c r="C625" t="s">
        <v>872</v>
      </c>
      <c r="D625" t="s">
        <v>36</v>
      </c>
      <c r="E625" t="s">
        <v>37</v>
      </c>
      <c r="F625">
        <v>1605000</v>
      </c>
      <c r="G625">
        <v>16.05</v>
      </c>
      <c r="H625" t="s">
        <v>27</v>
      </c>
      <c r="I625" t="s">
        <v>28</v>
      </c>
      <c r="J625" s="8">
        <v>46087</v>
      </c>
      <c r="K625" t="s">
        <v>30</v>
      </c>
    </row>
    <row r="626" spans="1:11" x14ac:dyDescent="0.3">
      <c r="A626" t="s">
        <v>1389</v>
      </c>
      <c r="B626" t="s">
        <v>960</v>
      </c>
      <c r="C626" t="s">
        <v>1367</v>
      </c>
      <c r="D626" t="s">
        <v>44</v>
      </c>
      <c r="E626" t="s">
        <v>116</v>
      </c>
      <c r="F626">
        <v>1545000</v>
      </c>
      <c r="G626">
        <v>15.45</v>
      </c>
      <c r="H626" t="s">
        <v>27</v>
      </c>
      <c r="I626" t="s">
        <v>845</v>
      </c>
      <c r="J626" s="8">
        <v>46112</v>
      </c>
      <c r="K626" t="s">
        <v>45</v>
      </c>
    </row>
    <row r="627" spans="1:11" x14ac:dyDescent="0.3">
      <c r="A627" t="s">
        <v>1389</v>
      </c>
      <c r="B627" t="s">
        <v>960</v>
      </c>
      <c r="C627" t="s">
        <v>1367</v>
      </c>
      <c r="D627" t="s">
        <v>44</v>
      </c>
      <c r="E627" t="s">
        <v>116</v>
      </c>
      <c r="F627">
        <v>1545000</v>
      </c>
      <c r="G627">
        <v>15.45</v>
      </c>
      <c r="H627" t="s">
        <v>27</v>
      </c>
      <c r="I627" t="s">
        <v>845</v>
      </c>
      <c r="J627" s="8">
        <v>46112</v>
      </c>
      <c r="K627" t="s">
        <v>29</v>
      </c>
    </row>
    <row r="628" spans="1:11" x14ac:dyDescent="0.3">
      <c r="A628" t="s">
        <v>1389</v>
      </c>
      <c r="B628" t="s">
        <v>960</v>
      </c>
      <c r="C628" t="s">
        <v>1367</v>
      </c>
      <c r="D628" t="s">
        <v>44</v>
      </c>
      <c r="E628" t="s">
        <v>116</v>
      </c>
      <c r="F628">
        <v>1545000</v>
      </c>
      <c r="G628">
        <v>15.45</v>
      </c>
      <c r="H628" t="s">
        <v>27</v>
      </c>
      <c r="I628" t="s">
        <v>845</v>
      </c>
      <c r="J628" s="8">
        <v>46112</v>
      </c>
      <c r="K628" t="s">
        <v>937</v>
      </c>
    </row>
    <row r="629" spans="1:11" x14ac:dyDescent="0.3">
      <c r="A629" t="s">
        <v>1392</v>
      </c>
      <c r="B629" t="s">
        <v>864</v>
      </c>
      <c r="C629" t="s">
        <v>106</v>
      </c>
      <c r="D629" t="s">
        <v>64</v>
      </c>
      <c r="E629" t="s">
        <v>37</v>
      </c>
      <c r="F629">
        <v>1220000</v>
      </c>
      <c r="G629">
        <v>12.2</v>
      </c>
      <c r="H629" t="s">
        <v>17</v>
      </c>
      <c r="I629" t="s">
        <v>28</v>
      </c>
      <c r="J629" s="8">
        <v>46220</v>
      </c>
      <c r="K629" t="s">
        <v>45</v>
      </c>
    </row>
    <row r="630" spans="1:11" x14ac:dyDescent="0.3">
      <c r="A630" t="s">
        <v>1392</v>
      </c>
      <c r="B630" t="s">
        <v>864</v>
      </c>
      <c r="C630" t="s">
        <v>106</v>
      </c>
      <c r="D630" t="s">
        <v>64</v>
      </c>
      <c r="E630" t="s">
        <v>37</v>
      </c>
      <c r="F630">
        <v>1220000</v>
      </c>
      <c r="G630">
        <v>12.2</v>
      </c>
      <c r="H630" t="s">
        <v>17</v>
      </c>
      <c r="I630" t="s">
        <v>28</v>
      </c>
      <c r="J630" s="8">
        <v>46220</v>
      </c>
      <c r="K630" t="s">
        <v>54</v>
      </c>
    </row>
    <row r="631" spans="1:11" x14ac:dyDescent="0.3">
      <c r="A631" t="s">
        <v>1392</v>
      </c>
      <c r="B631" t="s">
        <v>864</v>
      </c>
      <c r="C631" t="s">
        <v>106</v>
      </c>
      <c r="D631" t="s">
        <v>64</v>
      </c>
      <c r="E631" t="s">
        <v>37</v>
      </c>
      <c r="F631">
        <v>1220000</v>
      </c>
      <c r="G631">
        <v>12.2</v>
      </c>
      <c r="H631" t="s">
        <v>17</v>
      </c>
      <c r="I631" t="s">
        <v>28</v>
      </c>
      <c r="J631" s="8">
        <v>46220</v>
      </c>
      <c r="K631" t="s">
        <v>21</v>
      </c>
    </row>
    <row r="632" spans="1:11" x14ac:dyDescent="0.3">
      <c r="A632" t="s">
        <v>1394</v>
      </c>
      <c r="B632" t="s">
        <v>864</v>
      </c>
      <c r="C632" t="s">
        <v>172</v>
      </c>
      <c r="D632" t="s">
        <v>81</v>
      </c>
      <c r="E632" t="s">
        <v>52</v>
      </c>
      <c r="F632">
        <v>535000</v>
      </c>
      <c r="G632">
        <v>5.35</v>
      </c>
      <c r="H632" t="s">
        <v>27</v>
      </c>
      <c r="I632" t="s">
        <v>28</v>
      </c>
      <c r="J632" s="8">
        <v>46120</v>
      </c>
      <c r="K632" t="s">
        <v>878</v>
      </c>
    </row>
    <row r="633" spans="1:11" x14ac:dyDescent="0.3">
      <c r="A633" t="s">
        <v>1394</v>
      </c>
      <c r="B633" t="s">
        <v>864</v>
      </c>
      <c r="C633" t="s">
        <v>172</v>
      </c>
      <c r="D633" t="s">
        <v>81</v>
      </c>
      <c r="E633" t="s">
        <v>52</v>
      </c>
      <c r="F633">
        <v>535000</v>
      </c>
      <c r="G633">
        <v>5.35</v>
      </c>
      <c r="H633" t="s">
        <v>27</v>
      </c>
      <c r="I633" t="s">
        <v>28</v>
      </c>
      <c r="J633" s="8">
        <v>46120</v>
      </c>
      <c r="K633" t="s">
        <v>874</v>
      </c>
    </row>
    <row r="634" spans="1:11" x14ac:dyDescent="0.3">
      <c r="A634" t="s">
        <v>1394</v>
      </c>
      <c r="B634" t="s">
        <v>864</v>
      </c>
      <c r="C634" t="s">
        <v>172</v>
      </c>
      <c r="D634" t="s">
        <v>81</v>
      </c>
      <c r="E634" t="s">
        <v>52</v>
      </c>
      <c r="F634">
        <v>535000</v>
      </c>
      <c r="G634">
        <v>5.35</v>
      </c>
      <c r="H634" t="s">
        <v>27</v>
      </c>
      <c r="I634" t="s">
        <v>28</v>
      </c>
      <c r="J634" s="8">
        <v>46120</v>
      </c>
      <c r="K634" t="s">
        <v>31</v>
      </c>
    </row>
    <row r="635" spans="1:11" x14ac:dyDescent="0.3">
      <c r="A635" t="s">
        <v>1395</v>
      </c>
      <c r="B635" t="s">
        <v>49</v>
      </c>
      <c r="C635" t="s">
        <v>1082</v>
      </c>
      <c r="D635" t="s">
        <v>51</v>
      </c>
      <c r="E635" t="s">
        <v>16</v>
      </c>
      <c r="F635">
        <v>805000</v>
      </c>
      <c r="G635">
        <v>8.0500000000000007</v>
      </c>
      <c r="H635" t="s">
        <v>27</v>
      </c>
      <c r="I635" t="s">
        <v>28</v>
      </c>
      <c r="J635" s="8">
        <v>46029</v>
      </c>
      <c r="K635" t="s">
        <v>29</v>
      </c>
    </row>
    <row r="636" spans="1:11" x14ac:dyDescent="0.3">
      <c r="A636" t="s">
        <v>1395</v>
      </c>
      <c r="B636" t="s">
        <v>49</v>
      </c>
      <c r="C636" t="s">
        <v>1082</v>
      </c>
      <c r="D636" t="s">
        <v>51</v>
      </c>
      <c r="E636" t="s">
        <v>16</v>
      </c>
      <c r="F636">
        <v>805000</v>
      </c>
      <c r="G636">
        <v>8.0500000000000007</v>
      </c>
      <c r="H636" t="s">
        <v>27</v>
      </c>
      <c r="I636" t="s">
        <v>28</v>
      </c>
      <c r="J636" s="8">
        <v>46029</v>
      </c>
      <c r="K636" t="s">
        <v>878</v>
      </c>
    </row>
    <row r="637" spans="1:11" x14ac:dyDescent="0.3">
      <c r="A637" t="s">
        <v>1395</v>
      </c>
      <c r="B637" t="s">
        <v>49</v>
      </c>
      <c r="C637" t="s">
        <v>1082</v>
      </c>
      <c r="D637" t="s">
        <v>51</v>
      </c>
      <c r="E637" t="s">
        <v>16</v>
      </c>
      <c r="F637">
        <v>805000</v>
      </c>
      <c r="G637">
        <v>8.0500000000000007</v>
      </c>
      <c r="H637" t="s">
        <v>27</v>
      </c>
      <c r="I637" t="s">
        <v>28</v>
      </c>
      <c r="J637" s="8">
        <v>46029</v>
      </c>
      <c r="K637" t="s">
        <v>854</v>
      </c>
    </row>
    <row r="638" spans="1:11" x14ac:dyDescent="0.3">
      <c r="A638" t="s">
        <v>1398</v>
      </c>
      <c r="B638" t="s">
        <v>24</v>
      </c>
      <c r="C638" t="s">
        <v>112</v>
      </c>
      <c r="D638" t="s">
        <v>71</v>
      </c>
      <c r="E638" t="s">
        <v>52</v>
      </c>
      <c r="F638">
        <v>290000</v>
      </c>
      <c r="G638">
        <v>2.9</v>
      </c>
      <c r="H638" t="s">
        <v>53</v>
      </c>
      <c r="I638" t="s">
        <v>28</v>
      </c>
      <c r="J638" s="8">
        <v>46213</v>
      </c>
      <c r="K638" t="s">
        <v>908</v>
      </c>
    </row>
    <row r="639" spans="1:11" x14ac:dyDescent="0.3">
      <c r="A639" t="s">
        <v>1398</v>
      </c>
      <c r="B639" t="s">
        <v>24</v>
      </c>
      <c r="C639" t="s">
        <v>112</v>
      </c>
      <c r="D639" t="s">
        <v>71</v>
      </c>
      <c r="E639" t="s">
        <v>52</v>
      </c>
      <c r="F639">
        <v>290000</v>
      </c>
      <c r="G639">
        <v>2.9</v>
      </c>
      <c r="H639" t="s">
        <v>53</v>
      </c>
      <c r="I639" t="s">
        <v>28</v>
      </c>
      <c r="J639" s="8">
        <v>46213</v>
      </c>
      <c r="K639" t="s">
        <v>21</v>
      </c>
    </row>
    <row r="640" spans="1:11" x14ac:dyDescent="0.3">
      <c r="A640" t="s">
        <v>1398</v>
      </c>
      <c r="B640" t="s">
        <v>24</v>
      </c>
      <c r="C640" t="s">
        <v>112</v>
      </c>
      <c r="D640" t="s">
        <v>71</v>
      </c>
      <c r="E640" t="s">
        <v>52</v>
      </c>
      <c r="F640">
        <v>290000</v>
      </c>
      <c r="G640">
        <v>2.9</v>
      </c>
      <c r="H640" t="s">
        <v>53</v>
      </c>
      <c r="I640" t="s">
        <v>28</v>
      </c>
      <c r="J640" s="8">
        <v>46213</v>
      </c>
      <c r="K640" t="s">
        <v>45</v>
      </c>
    </row>
    <row r="641" spans="1:11" x14ac:dyDescent="0.3">
      <c r="A641" t="s">
        <v>1400</v>
      </c>
      <c r="B641" t="s">
        <v>75</v>
      </c>
      <c r="C641" t="s">
        <v>321</v>
      </c>
      <c r="D641" t="s">
        <v>64</v>
      </c>
      <c r="E641" t="s">
        <v>52</v>
      </c>
      <c r="F641">
        <v>435000</v>
      </c>
      <c r="G641">
        <v>4.3499999999999996</v>
      </c>
      <c r="H641" t="s">
        <v>27</v>
      </c>
      <c r="I641" t="s">
        <v>28</v>
      </c>
      <c r="J641" s="8">
        <v>46149</v>
      </c>
      <c r="K641" t="s">
        <v>21</v>
      </c>
    </row>
    <row r="642" spans="1:11" x14ac:dyDescent="0.3">
      <c r="A642" t="s">
        <v>1400</v>
      </c>
      <c r="B642" t="s">
        <v>75</v>
      </c>
      <c r="C642" t="s">
        <v>321</v>
      </c>
      <c r="D642" t="s">
        <v>64</v>
      </c>
      <c r="E642" t="s">
        <v>52</v>
      </c>
      <c r="F642">
        <v>435000</v>
      </c>
      <c r="G642">
        <v>4.3499999999999996</v>
      </c>
      <c r="H642" t="s">
        <v>27</v>
      </c>
      <c r="I642" t="s">
        <v>28</v>
      </c>
      <c r="J642" s="8">
        <v>46149</v>
      </c>
      <c r="K642" t="s">
        <v>846</v>
      </c>
    </row>
    <row r="643" spans="1:11" x14ac:dyDescent="0.3">
      <c r="A643" t="s">
        <v>1400</v>
      </c>
      <c r="B643" t="s">
        <v>75</v>
      </c>
      <c r="C643" t="s">
        <v>321</v>
      </c>
      <c r="D643" t="s">
        <v>64</v>
      </c>
      <c r="E643" t="s">
        <v>52</v>
      </c>
      <c r="F643">
        <v>435000</v>
      </c>
      <c r="G643">
        <v>4.3499999999999996</v>
      </c>
      <c r="H643" t="s">
        <v>27</v>
      </c>
      <c r="I643" t="s">
        <v>28</v>
      </c>
      <c r="J643" s="8">
        <v>46149</v>
      </c>
      <c r="K643" t="s">
        <v>54</v>
      </c>
    </row>
    <row r="644" spans="1:11" x14ac:dyDescent="0.3">
      <c r="A644" t="s">
        <v>1401</v>
      </c>
      <c r="B644" t="s">
        <v>49</v>
      </c>
      <c r="C644" t="s">
        <v>163</v>
      </c>
      <c r="D644" t="s">
        <v>76</v>
      </c>
      <c r="E644" t="s">
        <v>77</v>
      </c>
      <c r="F644">
        <v>1620000</v>
      </c>
      <c r="G644">
        <v>16.2</v>
      </c>
      <c r="H644" t="s">
        <v>27</v>
      </c>
      <c r="I644" t="s">
        <v>28</v>
      </c>
      <c r="J644" s="8">
        <v>46087</v>
      </c>
      <c r="K644" t="s">
        <v>29</v>
      </c>
    </row>
    <row r="645" spans="1:11" x14ac:dyDescent="0.3">
      <c r="A645" t="s">
        <v>1401</v>
      </c>
      <c r="B645" t="s">
        <v>49</v>
      </c>
      <c r="C645" t="s">
        <v>163</v>
      </c>
      <c r="D645" t="s">
        <v>76</v>
      </c>
      <c r="E645" t="s">
        <v>77</v>
      </c>
      <c r="F645">
        <v>1620000</v>
      </c>
      <c r="G645">
        <v>16.2</v>
      </c>
      <c r="H645" t="s">
        <v>27</v>
      </c>
      <c r="I645" t="s">
        <v>28</v>
      </c>
      <c r="J645" s="8">
        <v>46087</v>
      </c>
      <c r="K645" t="s">
        <v>45</v>
      </c>
    </row>
    <row r="646" spans="1:11" x14ac:dyDescent="0.3">
      <c r="A646" t="s">
        <v>1401</v>
      </c>
      <c r="B646" t="s">
        <v>49</v>
      </c>
      <c r="C646" t="s">
        <v>163</v>
      </c>
      <c r="D646" t="s">
        <v>76</v>
      </c>
      <c r="E646" t="s">
        <v>77</v>
      </c>
      <c r="F646">
        <v>1620000</v>
      </c>
      <c r="G646">
        <v>16.2</v>
      </c>
      <c r="H646" t="s">
        <v>27</v>
      </c>
      <c r="I646" t="s">
        <v>28</v>
      </c>
      <c r="J646" s="8">
        <v>46087</v>
      </c>
      <c r="K646" t="s">
        <v>31</v>
      </c>
    </row>
    <row r="647" spans="1:11" x14ac:dyDescent="0.3">
      <c r="A647" t="s">
        <v>1403</v>
      </c>
      <c r="B647" t="s">
        <v>62</v>
      </c>
      <c r="C647" t="s">
        <v>109</v>
      </c>
      <c r="D647" t="s">
        <v>81</v>
      </c>
      <c r="E647" t="s">
        <v>77</v>
      </c>
      <c r="F647">
        <v>3110000</v>
      </c>
      <c r="G647">
        <v>31.1</v>
      </c>
      <c r="H647" t="s">
        <v>27</v>
      </c>
      <c r="I647" t="s">
        <v>59</v>
      </c>
      <c r="J647" s="8">
        <v>46093</v>
      </c>
      <c r="K647" t="s">
        <v>46</v>
      </c>
    </row>
    <row r="648" spans="1:11" x14ac:dyDescent="0.3">
      <c r="A648" t="s">
        <v>1403</v>
      </c>
      <c r="B648" t="s">
        <v>62</v>
      </c>
      <c r="C648" t="s">
        <v>109</v>
      </c>
      <c r="D648" t="s">
        <v>81</v>
      </c>
      <c r="E648" t="s">
        <v>77</v>
      </c>
      <c r="F648">
        <v>3110000</v>
      </c>
      <c r="G648">
        <v>31.1</v>
      </c>
      <c r="H648" t="s">
        <v>27</v>
      </c>
      <c r="I648" t="s">
        <v>59</v>
      </c>
      <c r="J648" s="8">
        <v>46093</v>
      </c>
      <c r="K648" t="s">
        <v>29</v>
      </c>
    </row>
    <row r="649" spans="1:11" x14ac:dyDescent="0.3">
      <c r="A649" t="s">
        <v>1403</v>
      </c>
      <c r="B649" t="s">
        <v>62</v>
      </c>
      <c r="C649" t="s">
        <v>109</v>
      </c>
      <c r="D649" t="s">
        <v>81</v>
      </c>
      <c r="E649" t="s">
        <v>77</v>
      </c>
      <c r="F649">
        <v>3110000</v>
      </c>
      <c r="G649">
        <v>31.1</v>
      </c>
      <c r="H649" t="s">
        <v>27</v>
      </c>
      <c r="I649" t="s">
        <v>59</v>
      </c>
      <c r="J649" s="8">
        <v>46093</v>
      </c>
      <c r="K649" t="s">
        <v>20</v>
      </c>
    </row>
    <row r="650" spans="1:11" x14ac:dyDescent="0.3">
      <c r="A650" t="s">
        <v>1405</v>
      </c>
      <c r="B650" t="s">
        <v>75</v>
      </c>
      <c r="C650" t="s">
        <v>906</v>
      </c>
      <c r="D650" t="s">
        <v>64</v>
      </c>
      <c r="E650" t="s">
        <v>37</v>
      </c>
      <c r="F650">
        <v>1415000</v>
      </c>
      <c r="G650">
        <v>14.15</v>
      </c>
      <c r="H650" t="s">
        <v>27</v>
      </c>
      <c r="I650" t="s">
        <v>28</v>
      </c>
      <c r="J650" s="8">
        <v>46082</v>
      </c>
      <c r="K650" t="s">
        <v>45</v>
      </c>
    </row>
    <row r="651" spans="1:11" x14ac:dyDescent="0.3">
      <c r="A651" t="s">
        <v>1405</v>
      </c>
      <c r="B651" t="s">
        <v>75</v>
      </c>
      <c r="C651" t="s">
        <v>906</v>
      </c>
      <c r="D651" t="s">
        <v>64</v>
      </c>
      <c r="E651" t="s">
        <v>37</v>
      </c>
      <c r="F651">
        <v>1415000</v>
      </c>
      <c r="G651">
        <v>14.15</v>
      </c>
      <c r="H651" t="s">
        <v>27</v>
      </c>
      <c r="I651" t="s">
        <v>28</v>
      </c>
      <c r="J651" s="8">
        <v>46082</v>
      </c>
      <c r="K651" t="s">
        <v>31</v>
      </c>
    </row>
    <row r="652" spans="1:11" x14ac:dyDescent="0.3">
      <c r="A652" t="s">
        <v>1405</v>
      </c>
      <c r="B652" t="s">
        <v>75</v>
      </c>
      <c r="C652" t="s">
        <v>906</v>
      </c>
      <c r="D652" t="s">
        <v>64</v>
      </c>
      <c r="E652" t="s">
        <v>37</v>
      </c>
      <c r="F652">
        <v>1415000</v>
      </c>
      <c r="G652">
        <v>14.15</v>
      </c>
      <c r="H652" t="s">
        <v>27</v>
      </c>
      <c r="I652" t="s">
        <v>28</v>
      </c>
      <c r="J652" s="8">
        <v>46082</v>
      </c>
      <c r="K652" t="s">
        <v>874</v>
      </c>
    </row>
    <row r="653" spans="1:11" x14ac:dyDescent="0.3">
      <c r="A653" t="s">
        <v>1406</v>
      </c>
      <c r="B653" t="s">
        <v>42</v>
      </c>
      <c r="C653" t="s">
        <v>260</v>
      </c>
      <c r="D653" t="s">
        <v>71</v>
      </c>
      <c r="E653" t="s">
        <v>52</v>
      </c>
      <c r="F653">
        <v>500000</v>
      </c>
      <c r="G653">
        <v>5</v>
      </c>
      <c r="H653" t="s">
        <v>17</v>
      </c>
      <c r="I653" t="s">
        <v>28</v>
      </c>
      <c r="J653" s="8">
        <v>46048</v>
      </c>
      <c r="K653" t="s">
        <v>874</v>
      </c>
    </row>
    <row r="654" spans="1:11" x14ac:dyDescent="0.3">
      <c r="A654" t="s">
        <v>1406</v>
      </c>
      <c r="B654" t="s">
        <v>42</v>
      </c>
      <c r="C654" t="s">
        <v>260</v>
      </c>
      <c r="D654" t="s">
        <v>71</v>
      </c>
      <c r="E654" t="s">
        <v>52</v>
      </c>
      <c r="F654">
        <v>500000</v>
      </c>
      <c r="G654">
        <v>5</v>
      </c>
      <c r="H654" t="s">
        <v>17</v>
      </c>
      <c r="I654" t="s">
        <v>28</v>
      </c>
      <c r="J654" s="8">
        <v>46048</v>
      </c>
      <c r="K654" t="s">
        <v>45</v>
      </c>
    </row>
    <row r="655" spans="1:11" x14ac:dyDescent="0.3">
      <c r="A655" t="s">
        <v>1406</v>
      </c>
      <c r="B655" t="s">
        <v>42</v>
      </c>
      <c r="C655" t="s">
        <v>260</v>
      </c>
      <c r="D655" t="s">
        <v>71</v>
      </c>
      <c r="E655" t="s">
        <v>52</v>
      </c>
      <c r="F655">
        <v>500000</v>
      </c>
      <c r="G655">
        <v>5</v>
      </c>
      <c r="H655" t="s">
        <v>17</v>
      </c>
      <c r="I655" t="s">
        <v>28</v>
      </c>
      <c r="J655" s="8">
        <v>46048</v>
      </c>
      <c r="K655" t="s">
        <v>39</v>
      </c>
    </row>
    <row r="656" spans="1:11" x14ac:dyDescent="0.3">
      <c r="A656" t="s">
        <v>1408</v>
      </c>
      <c r="B656" t="s">
        <v>24</v>
      </c>
      <c r="C656" t="s">
        <v>1127</v>
      </c>
      <c r="D656" t="s">
        <v>26</v>
      </c>
      <c r="E656" t="s">
        <v>52</v>
      </c>
      <c r="F656">
        <v>670000</v>
      </c>
      <c r="G656">
        <v>6.7</v>
      </c>
      <c r="H656" t="s">
        <v>27</v>
      </c>
      <c r="I656" t="s">
        <v>28</v>
      </c>
      <c r="J656" s="8">
        <v>46082</v>
      </c>
      <c r="K656" t="s">
        <v>846</v>
      </c>
    </row>
    <row r="657" spans="1:11" x14ac:dyDescent="0.3">
      <c r="A657" t="s">
        <v>1408</v>
      </c>
      <c r="B657" t="s">
        <v>24</v>
      </c>
      <c r="C657" t="s">
        <v>1127</v>
      </c>
      <c r="D657" t="s">
        <v>26</v>
      </c>
      <c r="E657" t="s">
        <v>52</v>
      </c>
      <c r="F657">
        <v>670000</v>
      </c>
      <c r="G657">
        <v>6.7</v>
      </c>
      <c r="H657" t="s">
        <v>27</v>
      </c>
      <c r="I657" t="s">
        <v>28</v>
      </c>
      <c r="J657" s="8">
        <v>46082</v>
      </c>
      <c r="K657" t="s">
        <v>46</v>
      </c>
    </row>
    <row r="658" spans="1:11" x14ac:dyDescent="0.3">
      <c r="A658" t="s">
        <v>1408</v>
      </c>
      <c r="B658" t="s">
        <v>24</v>
      </c>
      <c r="C658" t="s">
        <v>1127</v>
      </c>
      <c r="D658" t="s">
        <v>26</v>
      </c>
      <c r="E658" t="s">
        <v>52</v>
      </c>
      <c r="F658">
        <v>670000</v>
      </c>
      <c r="G658">
        <v>6.7</v>
      </c>
      <c r="H658" t="s">
        <v>27</v>
      </c>
      <c r="I658" t="s">
        <v>28</v>
      </c>
      <c r="J658" s="8">
        <v>46082</v>
      </c>
      <c r="K658" t="s">
        <v>874</v>
      </c>
    </row>
    <row r="659" spans="1:11" x14ac:dyDescent="0.3">
      <c r="A659" t="s">
        <v>1410</v>
      </c>
      <c r="B659" t="s">
        <v>960</v>
      </c>
      <c r="C659" t="s">
        <v>260</v>
      </c>
      <c r="D659" t="s">
        <v>44</v>
      </c>
      <c r="E659" t="s">
        <v>16</v>
      </c>
      <c r="F659">
        <v>1010000</v>
      </c>
      <c r="G659">
        <v>10.1</v>
      </c>
      <c r="H659" t="s">
        <v>27</v>
      </c>
      <c r="I659" t="s">
        <v>28</v>
      </c>
      <c r="J659" s="8">
        <v>46027</v>
      </c>
      <c r="K659" t="s">
        <v>20</v>
      </c>
    </row>
    <row r="660" spans="1:11" x14ac:dyDescent="0.3">
      <c r="A660" t="s">
        <v>1410</v>
      </c>
      <c r="B660" t="s">
        <v>960</v>
      </c>
      <c r="C660" t="s">
        <v>260</v>
      </c>
      <c r="D660" t="s">
        <v>44</v>
      </c>
      <c r="E660" t="s">
        <v>16</v>
      </c>
      <c r="F660">
        <v>1010000</v>
      </c>
      <c r="G660">
        <v>10.1</v>
      </c>
      <c r="H660" t="s">
        <v>27</v>
      </c>
      <c r="I660" t="s">
        <v>28</v>
      </c>
      <c r="J660" s="8">
        <v>46027</v>
      </c>
      <c r="K660" t="s">
        <v>846</v>
      </c>
    </row>
    <row r="661" spans="1:11" x14ac:dyDescent="0.3">
      <c r="A661" t="s">
        <v>1410</v>
      </c>
      <c r="B661" t="s">
        <v>960</v>
      </c>
      <c r="C661" t="s">
        <v>260</v>
      </c>
      <c r="D661" t="s">
        <v>44</v>
      </c>
      <c r="E661" t="s">
        <v>16</v>
      </c>
      <c r="F661">
        <v>1010000</v>
      </c>
      <c r="G661">
        <v>10.1</v>
      </c>
      <c r="H661" t="s">
        <v>27</v>
      </c>
      <c r="I661" t="s">
        <v>28</v>
      </c>
      <c r="J661" s="8">
        <v>46027</v>
      </c>
      <c r="K661" t="s">
        <v>937</v>
      </c>
    </row>
    <row r="662" spans="1:11" x14ac:dyDescent="0.3">
      <c r="A662" t="s">
        <v>1411</v>
      </c>
      <c r="B662" t="s">
        <v>42</v>
      </c>
      <c r="C662" t="s">
        <v>357</v>
      </c>
      <c r="D662" t="s">
        <v>44</v>
      </c>
      <c r="E662" t="s">
        <v>116</v>
      </c>
      <c r="F662">
        <v>1120000</v>
      </c>
      <c r="G662">
        <v>11.2</v>
      </c>
      <c r="H662" t="s">
        <v>27</v>
      </c>
      <c r="I662" t="s">
        <v>59</v>
      </c>
      <c r="J662" s="8">
        <v>46032</v>
      </c>
      <c r="K662" t="s">
        <v>54</v>
      </c>
    </row>
    <row r="663" spans="1:11" x14ac:dyDescent="0.3">
      <c r="A663" t="s">
        <v>1411</v>
      </c>
      <c r="B663" t="s">
        <v>42</v>
      </c>
      <c r="C663" t="s">
        <v>357</v>
      </c>
      <c r="D663" t="s">
        <v>44</v>
      </c>
      <c r="E663" t="s">
        <v>116</v>
      </c>
      <c r="F663">
        <v>1120000</v>
      </c>
      <c r="G663">
        <v>11.2</v>
      </c>
      <c r="H663" t="s">
        <v>27</v>
      </c>
      <c r="I663" t="s">
        <v>59</v>
      </c>
      <c r="J663" s="8">
        <v>46032</v>
      </c>
      <c r="K663" t="s">
        <v>39</v>
      </c>
    </row>
    <row r="664" spans="1:11" x14ac:dyDescent="0.3">
      <c r="A664" t="s">
        <v>1411</v>
      </c>
      <c r="B664" t="s">
        <v>42</v>
      </c>
      <c r="C664" t="s">
        <v>357</v>
      </c>
      <c r="D664" t="s">
        <v>44</v>
      </c>
      <c r="E664" t="s">
        <v>116</v>
      </c>
      <c r="F664">
        <v>1120000</v>
      </c>
      <c r="G664">
        <v>11.2</v>
      </c>
      <c r="H664" t="s">
        <v>27</v>
      </c>
      <c r="I664" t="s">
        <v>59</v>
      </c>
      <c r="J664" s="8">
        <v>46032</v>
      </c>
      <c r="K664" t="s">
        <v>874</v>
      </c>
    </row>
    <row r="665" spans="1:11" x14ac:dyDescent="0.3">
      <c r="A665" t="s">
        <v>1413</v>
      </c>
      <c r="B665" t="s">
        <v>996</v>
      </c>
      <c r="C665" t="s">
        <v>139</v>
      </c>
      <c r="D665" t="s">
        <v>96</v>
      </c>
      <c r="E665" t="s">
        <v>52</v>
      </c>
      <c r="F665">
        <v>725000</v>
      </c>
      <c r="G665">
        <v>7.25</v>
      </c>
      <c r="H665" t="s">
        <v>27</v>
      </c>
      <c r="I665" t="s">
        <v>59</v>
      </c>
      <c r="J665" s="8">
        <v>46031</v>
      </c>
      <c r="K665" t="s">
        <v>874</v>
      </c>
    </row>
    <row r="666" spans="1:11" x14ac:dyDescent="0.3">
      <c r="A666" t="s">
        <v>1413</v>
      </c>
      <c r="B666" t="s">
        <v>996</v>
      </c>
      <c r="C666" t="s">
        <v>139</v>
      </c>
      <c r="D666" t="s">
        <v>96</v>
      </c>
      <c r="E666" t="s">
        <v>52</v>
      </c>
      <c r="F666">
        <v>725000</v>
      </c>
      <c r="G666">
        <v>7.25</v>
      </c>
      <c r="H666" t="s">
        <v>27</v>
      </c>
      <c r="I666" t="s">
        <v>59</v>
      </c>
      <c r="J666" s="8">
        <v>46031</v>
      </c>
      <c r="K666" t="s">
        <v>854</v>
      </c>
    </row>
    <row r="667" spans="1:11" x14ac:dyDescent="0.3">
      <c r="A667" t="s">
        <v>1413</v>
      </c>
      <c r="B667" t="s">
        <v>996</v>
      </c>
      <c r="C667" t="s">
        <v>139</v>
      </c>
      <c r="D667" t="s">
        <v>96</v>
      </c>
      <c r="E667" t="s">
        <v>52</v>
      </c>
      <c r="F667">
        <v>725000</v>
      </c>
      <c r="G667">
        <v>7.25</v>
      </c>
      <c r="H667" t="s">
        <v>27</v>
      </c>
      <c r="I667" t="s">
        <v>59</v>
      </c>
      <c r="J667" s="8">
        <v>46031</v>
      </c>
      <c r="K667" t="s">
        <v>937</v>
      </c>
    </row>
    <row r="668" spans="1:11" x14ac:dyDescent="0.3">
      <c r="A668" t="s">
        <v>1415</v>
      </c>
      <c r="B668" t="s">
        <v>42</v>
      </c>
      <c r="C668" t="s">
        <v>1367</v>
      </c>
      <c r="D668" t="s">
        <v>96</v>
      </c>
      <c r="E668" t="s">
        <v>52</v>
      </c>
      <c r="F668">
        <v>430000</v>
      </c>
      <c r="G668">
        <v>4.3</v>
      </c>
      <c r="H668" t="s">
        <v>27</v>
      </c>
      <c r="I668" t="s">
        <v>28</v>
      </c>
      <c r="J668" s="8">
        <v>46225</v>
      </c>
      <c r="K668" t="s">
        <v>854</v>
      </c>
    </row>
    <row r="669" spans="1:11" x14ac:dyDescent="0.3">
      <c r="A669" t="s">
        <v>1415</v>
      </c>
      <c r="B669" t="s">
        <v>42</v>
      </c>
      <c r="C669" t="s">
        <v>1367</v>
      </c>
      <c r="D669" t="s">
        <v>96</v>
      </c>
      <c r="E669" t="s">
        <v>52</v>
      </c>
      <c r="F669">
        <v>430000</v>
      </c>
      <c r="G669">
        <v>4.3</v>
      </c>
      <c r="H669" t="s">
        <v>27</v>
      </c>
      <c r="I669" t="s">
        <v>28</v>
      </c>
      <c r="J669" s="8">
        <v>46225</v>
      </c>
      <c r="K669" t="s">
        <v>45</v>
      </c>
    </row>
    <row r="670" spans="1:11" x14ac:dyDescent="0.3">
      <c r="A670" t="s">
        <v>1415</v>
      </c>
      <c r="B670" t="s">
        <v>42</v>
      </c>
      <c r="C670" t="s">
        <v>1367</v>
      </c>
      <c r="D670" t="s">
        <v>96</v>
      </c>
      <c r="E670" t="s">
        <v>52</v>
      </c>
      <c r="F670">
        <v>430000</v>
      </c>
      <c r="G670">
        <v>4.3</v>
      </c>
      <c r="H670" t="s">
        <v>27</v>
      </c>
      <c r="I670" t="s">
        <v>28</v>
      </c>
      <c r="J670" s="8">
        <v>46225</v>
      </c>
      <c r="K670" t="s">
        <v>30</v>
      </c>
    </row>
    <row r="671" spans="1:11" x14ac:dyDescent="0.3">
      <c r="A671" t="s">
        <v>1417</v>
      </c>
      <c r="B671" t="s">
        <v>24</v>
      </c>
      <c r="C671" t="s">
        <v>1195</v>
      </c>
      <c r="D671" t="s">
        <v>64</v>
      </c>
      <c r="E671" t="s">
        <v>77</v>
      </c>
      <c r="F671">
        <v>2370000</v>
      </c>
      <c r="G671">
        <v>23.7</v>
      </c>
      <c r="H671" t="s">
        <v>27</v>
      </c>
      <c r="I671" t="s">
        <v>28</v>
      </c>
      <c r="J671" s="8">
        <v>46023</v>
      </c>
      <c r="K671" t="s">
        <v>908</v>
      </c>
    </row>
    <row r="672" spans="1:11" x14ac:dyDescent="0.3">
      <c r="A672" t="s">
        <v>1417</v>
      </c>
      <c r="B672" t="s">
        <v>24</v>
      </c>
      <c r="C672" t="s">
        <v>1195</v>
      </c>
      <c r="D672" t="s">
        <v>64</v>
      </c>
      <c r="E672" t="s">
        <v>77</v>
      </c>
      <c r="F672">
        <v>2370000</v>
      </c>
      <c r="G672">
        <v>23.7</v>
      </c>
      <c r="H672" t="s">
        <v>27</v>
      </c>
      <c r="I672" t="s">
        <v>28</v>
      </c>
      <c r="J672" s="8">
        <v>46023</v>
      </c>
      <c r="K672" t="s">
        <v>846</v>
      </c>
    </row>
    <row r="673" spans="1:11" x14ac:dyDescent="0.3">
      <c r="A673" t="s">
        <v>1417</v>
      </c>
      <c r="B673" t="s">
        <v>24</v>
      </c>
      <c r="C673" t="s">
        <v>1195</v>
      </c>
      <c r="D673" t="s">
        <v>64</v>
      </c>
      <c r="E673" t="s">
        <v>77</v>
      </c>
      <c r="F673">
        <v>2370000</v>
      </c>
      <c r="G673">
        <v>23.7</v>
      </c>
      <c r="H673" t="s">
        <v>27</v>
      </c>
      <c r="I673" t="s">
        <v>28</v>
      </c>
      <c r="J673" s="8">
        <v>46023</v>
      </c>
      <c r="K673" t="s">
        <v>20</v>
      </c>
    </row>
    <row r="674" spans="1:11" x14ac:dyDescent="0.3">
      <c r="A674" t="s">
        <v>1420</v>
      </c>
      <c r="B674" t="s">
        <v>13</v>
      </c>
      <c r="C674" t="s">
        <v>992</v>
      </c>
      <c r="D674" t="s">
        <v>15</v>
      </c>
      <c r="E674" t="s">
        <v>52</v>
      </c>
      <c r="F674">
        <v>770000</v>
      </c>
      <c r="G674">
        <v>7.7</v>
      </c>
      <c r="H674" t="s">
        <v>27</v>
      </c>
      <c r="I674" t="s">
        <v>845</v>
      </c>
      <c r="J674" s="8">
        <v>46194</v>
      </c>
      <c r="K674" t="s">
        <v>21</v>
      </c>
    </row>
    <row r="675" spans="1:11" x14ac:dyDescent="0.3">
      <c r="A675" t="s">
        <v>1420</v>
      </c>
      <c r="B675" t="s">
        <v>13</v>
      </c>
      <c r="C675" t="s">
        <v>992</v>
      </c>
      <c r="D675" t="s">
        <v>15</v>
      </c>
      <c r="E675" t="s">
        <v>52</v>
      </c>
      <c r="F675">
        <v>770000</v>
      </c>
      <c r="G675">
        <v>7.7</v>
      </c>
      <c r="H675" t="s">
        <v>27</v>
      </c>
      <c r="I675" t="s">
        <v>845</v>
      </c>
      <c r="J675" s="8">
        <v>46194</v>
      </c>
      <c r="K675" t="s">
        <v>29</v>
      </c>
    </row>
    <row r="676" spans="1:11" x14ac:dyDescent="0.3">
      <c r="A676" t="s">
        <v>1420</v>
      </c>
      <c r="B676" t="s">
        <v>13</v>
      </c>
      <c r="C676" t="s">
        <v>992</v>
      </c>
      <c r="D676" t="s">
        <v>15</v>
      </c>
      <c r="E676" t="s">
        <v>52</v>
      </c>
      <c r="F676">
        <v>770000</v>
      </c>
      <c r="G676">
        <v>7.7</v>
      </c>
      <c r="H676" t="s">
        <v>27</v>
      </c>
      <c r="I676" t="s">
        <v>845</v>
      </c>
      <c r="J676" s="8">
        <v>46194</v>
      </c>
      <c r="K676" t="s">
        <v>54</v>
      </c>
    </row>
    <row r="677" spans="1:11" x14ac:dyDescent="0.3">
      <c r="A677" t="s">
        <v>1422</v>
      </c>
      <c r="B677" t="s">
        <v>24</v>
      </c>
      <c r="C677" t="s">
        <v>80</v>
      </c>
      <c r="D677" t="s">
        <v>64</v>
      </c>
      <c r="E677" t="s">
        <v>16</v>
      </c>
      <c r="F677">
        <v>770000</v>
      </c>
      <c r="G677">
        <v>7.7</v>
      </c>
      <c r="H677" t="s">
        <v>27</v>
      </c>
      <c r="I677" t="s">
        <v>845</v>
      </c>
      <c r="J677" s="8">
        <v>46079</v>
      </c>
      <c r="K677" t="s">
        <v>39</v>
      </c>
    </row>
    <row r="678" spans="1:11" x14ac:dyDescent="0.3">
      <c r="A678" t="s">
        <v>1422</v>
      </c>
      <c r="B678" t="s">
        <v>24</v>
      </c>
      <c r="C678" t="s">
        <v>80</v>
      </c>
      <c r="D678" t="s">
        <v>64</v>
      </c>
      <c r="E678" t="s">
        <v>16</v>
      </c>
      <c r="F678">
        <v>770000</v>
      </c>
      <c r="G678">
        <v>7.7</v>
      </c>
      <c r="H678" t="s">
        <v>27</v>
      </c>
      <c r="I678" t="s">
        <v>845</v>
      </c>
      <c r="J678" s="8">
        <v>46079</v>
      </c>
      <c r="K678" t="s">
        <v>908</v>
      </c>
    </row>
    <row r="679" spans="1:11" x14ac:dyDescent="0.3">
      <c r="A679" t="s">
        <v>1422</v>
      </c>
      <c r="B679" t="s">
        <v>24</v>
      </c>
      <c r="C679" t="s">
        <v>80</v>
      </c>
      <c r="D679" t="s">
        <v>64</v>
      </c>
      <c r="E679" t="s">
        <v>16</v>
      </c>
      <c r="F679">
        <v>770000</v>
      </c>
      <c r="G679">
        <v>7.7</v>
      </c>
      <c r="H679" t="s">
        <v>27</v>
      </c>
      <c r="I679" t="s">
        <v>845</v>
      </c>
      <c r="J679" s="8">
        <v>46079</v>
      </c>
      <c r="K679" t="s">
        <v>846</v>
      </c>
    </row>
    <row r="680" spans="1:11" x14ac:dyDescent="0.3">
      <c r="A680" t="s">
        <v>1423</v>
      </c>
      <c r="B680" t="s">
        <v>49</v>
      </c>
      <c r="C680" t="s">
        <v>919</v>
      </c>
      <c r="D680" t="s">
        <v>15</v>
      </c>
      <c r="E680" t="s">
        <v>52</v>
      </c>
      <c r="F680">
        <v>290000</v>
      </c>
      <c r="G680">
        <v>2.9</v>
      </c>
      <c r="H680" t="s">
        <v>53</v>
      </c>
      <c r="I680" t="s">
        <v>28</v>
      </c>
      <c r="J680" s="8">
        <v>46165</v>
      </c>
      <c r="K680" t="s">
        <v>31</v>
      </c>
    </row>
    <row r="681" spans="1:11" x14ac:dyDescent="0.3">
      <c r="A681" t="s">
        <v>1423</v>
      </c>
      <c r="B681" t="s">
        <v>49</v>
      </c>
      <c r="C681" t="s">
        <v>919</v>
      </c>
      <c r="D681" t="s">
        <v>15</v>
      </c>
      <c r="E681" t="s">
        <v>52</v>
      </c>
      <c r="F681">
        <v>290000</v>
      </c>
      <c r="G681">
        <v>2.9</v>
      </c>
      <c r="H681" t="s">
        <v>53</v>
      </c>
      <c r="I681" t="s">
        <v>28</v>
      </c>
      <c r="J681" s="8">
        <v>46165</v>
      </c>
      <c r="K681" t="s">
        <v>29</v>
      </c>
    </row>
    <row r="682" spans="1:11" x14ac:dyDescent="0.3">
      <c r="A682" t="s">
        <v>1423</v>
      </c>
      <c r="B682" t="s">
        <v>49</v>
      </c>
      <c r="C682" t="s">
        <v>919</v>
      </c>
      <c r="D682" t="s">
        <v>15</v>
      </c>
      <c r="E682" t="s">
        <v>52</v>
      </c>
      <c r="F682">
        <v>290000</v>
      </c>
      <c r="G682">
        <v>2.9</v>
      </c>
      <c r="H682" t="s">
        <v>53</v>
      </c>
      <c r="I682" t="s">
        <v>28</v>
      </c>
      <c r="J682" s="8">
        <v>46165</v>
      </c>
      <c r="K682" t="s">
        <v>874</v>
      </c>
    </row>
    <row r="683" spans="1:11" x14ac:dyDescent="0.3">
      <c r="A683" t="s">
        <v>1424</v>
      </c>
      <c r="B683" t="s">
        <v>864</v>
      </c>
      <c r="C683" t="s">
        <v>119</v>
      </c>
      <c r="D683" t="s">
        <v>64</v>
      </c>
      <c r="E683" t="s">
        <v>116</v>
      </c>
      <c r="F683">
        <v>1495000</v>
      </c>
      <c r="G683">
        <v>14.95</v>
      </c>
      <c r="H683" t="s">
        <v>27</v>
      </c>
      <c r="I683" t="s">
        <v>28</v>
      </c>
      <c r="J683" s="8">
        <v>46213</v>
      </c>
      <c r="K683" t="s">
        <v>29</v>
      </c>
    </row>
    <row r="684" spans="1:11" x14ac:dyDescent="0.3">
      <c r="A684" t="s">
        <v>1424</v>
      </c>
      <c r="B684" t="s">
        <v>864</v>
      </c>
      <c r="C684" t="s">
        <v>119</v>
      </c>
      <c r="D684" t="s">
        <v>64</v>
      </c>
      <c r="E684" t="s">
        <v>116</v>
      </c>
      <c r="F684">
        <v>1495000</v>
      </c>
      <c r="G684">
        <v>14.95</v>
      </c>
      <c r="H684" t="s">
        <v>27</v>
      </c>
      <c r="I684" t="s">
        <v>28</v>
      </c>
      <c r="J684" s="8">
        <v>46213</v>
      </c>
      <c r="K684" t="s">
        <v>878</v>
      </c>
    </row>
    <row r="685" spans="1:11" x14ac:dyDescent="0.3">
      <c r="A685" t="s">
        <v>1424</v>
      </c>
      <c r="B685" t="s">
        <v>864</v>
      </c>
      <c r="C685" t="s">
        <v>119</v>
      </c>
      <c r="D685" t="s">
        <v>64</v>
      </c>
      <c r="E685" t="s">
        <v>116</v>
      </c>
      <c r="F685">
        <v>1495000</v>
      </c>
      <c r="G685">
        <v>14.95</v>
      </c>
      <c r="H685" t="s">
        <v>27</v>
      </c>
      <c r="I685" t="s">
        <v>28</v>
      </c>
      <c r="J685" s="8">
        <v>46213</v>
      </c>
      <c r="K685" t="s">
        <v>39</v>
      </c>
    </row>
    <row r="686" spans="1:11" x14ac:dyDescent="0.3">
      <c r="A686" t="s">
        <v>1426</v>
      </c>
      <c r="B686" t="s">
        <v>24</v>
      </c>
      <c r="C686" t="s">
        <v>87</v>
      </c>
      <c r="D686" t="s">
        <v>15</v>
      </c>
      <c r="E686" t="s">
        <v>52</v>
      </c>
      <c r="F686">
        <v>585000</v>
      </c>
      <c r="G686">
        <v>5.85</v>
      </c>
      <c r="H686" t="s">
        <v>27</v>
      </c>
      <c r="I686" t="s">
        <v>28</v>
      </c>
      <c r="J686" s="8">
        <v>46254</v>
      </c>
      <c r="K686" t="s">
        <v>846</v>
      </c>
    </row>
    <row r="687" spans="1:11" x14ac:dyDescent="0.3">
      <c r="A687" t="s">
        <v>1426</v>
      </c>
      <c r="B687" t="s">
        <v>24</v>
      </c>
      <c r="C687" t="s">
        <v>87</v>
      </c>
      <c r="D687" t="s">
        <v>15</v>
      </c>
      <c r="E687" t="s">
        <v>52</v>
      </c>
      <c r="F687">
        <v>585000</v>
      </c>
      <c r="G687">
        <v>5.85</v>
      </c>
      <c r="H687" t="s">
        <v>27</v>
      </c>
      <c r="I687" t="s">
        <v>28</v>
      </c>
      <c r="J687" s="8">
        <v>46254</v>
      </c>
      <c r="K687" t="s">
        <v>21</v>
      </c>
    </row>
    <row r="688" spans="1:11" x14ac:dyDescent="0.3">
      <c r="A688" t="s">
        <v>1426</v>
      </c>
      <c r="B688" t="s">
        <v>24</v>
      </c>
      <c r="C688" t="s">
        <v>87</v>
      </c>
      <c r="D688" t="s">
        <v>15</v>
      </c>
      <c r="E688" t="s">
        <v>52</v>
      </c>
      <c r="F688">
        <v>585000</v>
      </c>
      <c r="G688">
        <v>5.85</v>
      </c>
      <c r="H688" t="s">
        <v>27</v>
      </c>
      <c r="I688" t="s">
        <v>28</v>
      </c>
      <c r="J688" s="8">
        <v>46254</v>
      </c>
      <c r="K688" t="s">
        <v>937</v>
      </c>
    </row>
    <row r="689" spans="1:11" x14ac:dyDescent="0.3">
      <c r="A689" t="s">
        <v>1428</v>
      </c>
      <c r="B689" t="s">
        <v>960</v>
      </c>
      <c r="C689" t="s">
        <v>205</v>
      </c>
      <c r="D689" t="s">
        <v>15</v>
      </c>
      <c r="E689" t="s">
        <v>52</v>
      </c>
      <c r="F689">
        <v>755000</v>
      </c>
      <c r="G689">
        <v>7.55</v>
      </c>
      <c r="H689" t="s">
        <v>27</v>
      </c>
      <c r="I689" t="s">
        <v>59</v>
      </c>
      <c r="J689" s="8">
        <v>46227</v>
      </c>
      <c r="K689" t="s">
        <v>878</v>
      </c>
    </row>
    <row r="690" spans="1:11" x14ac:dyDescent="0.3">
      <c r="A690" t="s">
        <v>1428</v>
      </c>
      <c r="B690" t="s">
        <v>960</v>
      </c>
      <c r="C690" t="s">
        <v>205</v>
      </c>
      <c r="D690" t="s">
        <v>15</v>
      </c>
      <c r="E690" t="s">
        <v>52</v>
      </c>
      <c r="F690">
        <v>755000</v>
      </c>
      <c r="G690">
        <v>7.55</v>
      </c>
      <c r="H690" t="s">
        <v>27</v>
      </c>
      <c r="I690" t="s">
        <v>59</v>
      </c>
      <c r="J690" s="8">
        <v>46227</v>
      </c>
      <c r="K690" t="s">
        <v>31</v>
      </c>
    </row>
    <row r="691" spans="1:11" x14ac:dyDescent="0.3">
      <c r="A691" t="s">
        <v>1428</v>
      </c>
      <c r="B691" t="s">
        <v>960</v>
      </c>
      <c r="C691" t="s">
        <v>205</v>
      </c>
      <c r="D691" t="s">
        <v>15</v>
      </c>
      <c r="E691" t="s">
        <v>52</v>
      </c>
      <c r="F691">
        <v>755000</v>
      </c>
      <c r="G691">
        <v>7.55</v>
      </c>
      <c r="H691" t="s">
        <v>27</v>
      </c>
      <c r="I691" t="s">
        <v>59</v>
      </c>
      <c r="J691" s="8">
        <v>46227</v>
      </c>
      <c r="K691" t="s">
        <v>937</v>
      </c>
    </row>
    <row r="692" spans="1:11" x14ac:dyDescent="0.3">
      <c r="A692" t="s">
        <v>1430</v>
      </c>
      <c r="B692" t="s">
        <v>996</v>
      </c>
      <c r="C692" t="s">
        <v>865</v>
      </c>
      <c r="D692" t="s">
        <v>64</v>
      </c>
      <c r="E692" t="s">
        <v>37</v>
      </c>
      <c r="F692">
        <v>1415000</v>
      </c>
      <c r="G692">
        <v>14.15</v>
      </c>
      <c r="H692" t="s">
        <v>27</v>
      </c>
      <c r="I692" t="s">
        <v>28</v>
      </c>
      <c r="J692" s="8">
        <v>46222</v>
      </c>
      <c r="K692" t="s">
        <v>20</v>
      </c>
    </row>
    <row r="693" spans="1:11" x14ac:dyDescent="0.3">
      <c r="A693" t="s">
        <v>1430</v>
      </c>
      <c r="B693" t="s">
        <v>996</v>
      </c>
      <c r="C693" t="s">
        <v>865</v>
      </c>
      <c r="D693" t="s">
        <v>64</v>
      </c>
      <c r="E693" t="s">
        <v>37</v>
      </c>
      <c r="F693">
        <v>1415000</v>
      </c>
      <c r="G693">
        <v>14.15</v>
      </c>
      <c r="H693" t="s">
        <v>27</v>
      </c>
      <c r="I693" t="s">
        <v>28</v>
      </c>
      <c r="J693" s="8">
        <v>46222</v>
      </c>
      <c r="K693" t="s">
        <v>46</v>
      </c>
    </row>
    <row r="694" spans="1:11" x14ac:dyDescent="0.3">
      <c r="A694" t="s">
        <v>1430</v>
      </c>
      <c r="B694" t="s">
        <v>996</v>
      </c>
      <c r="C694" t="s">
        <v>865</v>
      </c>
      <c r="D694" t="s">
        <v>64</v>
      </c>
      <c r="E694" t="s">
        <v>37</v>
      </c>
      <c r="F694">
        <v>1415000</v>
      </c>
      <c r="G694">
        <v>14.15</v>
      </c>
      <c r="H694" t="s">
        <v>27</v>
      </c>
      <c r="I694" t="s">
        <v>28</v>
      </c>
      <c r="J694" s="8">
        <v>46222</v>
      </c>
      <c r="K694" t="s">
        <v>21</v>
      </c>
    </row>
    <row r="695" spans="1:11" x14ac:dyDescent="0.3">
      <c r="A695" t="s">
        <v>1432</v>
      </c>
      <c r="B695" t="s">
        <v>62</v>
      </c>
      <c r="C695" t="s">
        <v>899</v>
      </c>
      <c r="D695" t="s">
        <v>44</v>
      </c>
      <c r="E695" t="s">
        <v>77</v>
      </c>
      <c r="F695">
        <v>2750000</v>
      </c>
      <c r="G695">
        <v>27.5</v>
      </c>
      <c r="H695" t="s">
        <v>27</v>
      </c>
      <c r="I695" t="s">
        <v>28</v>
      </c>
      <c r="J695" s="8">
        <v>46061</v>
      </c>
      <c r="K695" t="s">
        <v>874</v>
      </c>
    </row>
    <row r="696" spans="1:11" x14ac:dyDescent="0.3">
      <c r="A696" t="s">
        <v>1432</v>
      </c>
      <c r="B696" t="s">
        <v>62</v>
      </c>
      <c r="C696" t="s">
        <v>899</v>
      </c>
      <c r="D696" t="s">
        <v>44</v>
      </c>
      <c r="E696" t="s">
        <v>77</v>
      </c>
      <c r="F696">
        <v>2750000</v>
      </c>
      <c r="G696">
        <v>27.5</v>
      </c>
      <c r="H696" t="s">
        <v>27</v>
      </c>
      <c r="I696" t="s">
        <v>28</v>
      </c>
      <c r="J696" s="8">
        <v>46061</v>
      </c>
      <c r="K696" t="s">
        <v>46</v>
      </c>
    </row>
    <row r="697" spans="1:11" x14ac:dyDescent="0.3">
      <c r="A697" t="s">
        <v>1432</v>
      </c>
      <c r="B697" t="s">
        <v>62</v>
      </c>
      <c r="C697" t="s">
        <v>899</v>
      </c>
      <c r="D697" t="s">
        <v>44</v>
      </c>
      <c r="E697" t="s">
        <v>77</v>
      </c>
      <c r="F697">
        <v>2750000</v>
      </c>
      <c r="G697">
        <v>27.5</v>
      </c>
      <c r="H697" t="s">
        <v>27</v>
      </c>
      <c r="I697" t="s">
        <v>28</v>
      </c>
      <c r="J697" s="8">
        <v>46061</v>
      </c>
      <c r="K697" t="s">
        <v>20</v>
      </c>
    </row>
    <row r="698" spans="1:11" x14ac:dyDescent="0.3">
      <c r="A698" t="s">
        <v>1434</v>
      </c>
      <c r="B698" t="s">
        <v>852</v>
      </c>
      <c r="C698" t="s">
        <v>214</v>
      </c>
      <c r="D698" t="s">
        <v>44</v>
      </c>
      <c r="E698" t="s">
        <v>16</v>
      </c>
      <c r="F698">
        <v>885000</v>
      </c>
      <c r="G698">
        <v>8.85</v>
      </c>
      <c r="H698" t="s">
        <v>27</v>
      </c>
      <c r="I698" t="s">
        <v>59</v>
      </c>
      <c r="J698" s="8">
        <v>46183</v>
      </c>
      <c r="K698" t="s">
        <v>20</v>
      </c>
    </row>
    <row r="699" spans="1:11" x14ac:dyDescent="0.3">
      <c r="A699" t="s">
        <v>1434</v>
      </c>
      <c r="B699" t="s">
        <v>852</v>
      </c>
      <c r="C699" t="s">
        <v>214</v>
      </c>
      <c r="D699" t="s">
        <v>44</v>
      </c>
      <c r="E699" t="s">
        <v>16</v>
      </c>
      <c r="F699">
        <v>885000</v>
      </c>
      <c r="G699">
        <v>8.85</v>
      </c>
      <c r="H699" t="s">
        <v>27</v>
      </c>
      <c r="I699" t="s">
        <v>59</v>
      </c>
      <c r="J699" s="8">
        <v>46183</v>
      </c>
      <c r="K699" t="s">
        <v>854</v>
      </c>
    </row>
    <row r="700" spans="1:11" x14ac:dyDescent="0.3">
      <c r="A700" t="s">
        <v>1434</v>
      </c>
      <c r="B700" t="s">
        <v>852</v>
      </c>
      <c r="C700" t="s">
        <v>214</v>
      </c>
      <c r="D700" t="s">
        <v>44</v>
      </c>
      <c r="E700" t="s">
        <v>16</v>
      </c>
      <c r="F700">
        <v>885000</v>
      </c>
      <c r="G700">
        <v>8.85</v>
      </c>
      <c r="H700" t="s">
        <v>27</v>
      </c>
      <c r="I700" t="s">
        <v>59</v>
      </c>
      <c r="J700" s="8">
        <v>46183</v>
      </c>
      <c r="K700" t="s">
        <v>29</v>
      </c>
    </row>
    <row r="701" spans="1:11" x14ac:dyDescent="0.3">
      <c r="A701" t="s">
        <v>1436</v>
      </c>
      <c r="B701" t="s">
        <v>960</v>
      </c>
      <c r="C701" t="s">
        <v>106</v>
      </c>
      <c r="D701" t="s">
        <v>51</v>
      </c>
      <c r="E701" t="s">
        <v>37</v>
      </c>
      <c r="F701">
        <v>1540000</v>
      </c>
      <c r="G701">
        <v>15.4</v>
      </c>
      <c r="H701" t="s">
        <v>27</v>
      </c>
      <c r="I701" t="s">
        <v>845</v>
      </c>
      <c r="J701" s="8">
        <v>46164</v>
      </c>
      <c r="K701" t="s">
        <v>874</v>
      </c>
    </row>
    <row r="702" spans="1:11" x14ac:dyDescent="0.3">
      <c r="A702" t="s">
        <v>1436</v>
      </c>
      <c r="B702" t="s">
        <v>960</v>
      </c>
      <c r="C702" t="s">
        <v>106</v>
      </c>
      <c r="D702" t="s">
        <v>51</v>
      </c>
      <c r="E702" t="s">
        <v>37</v>
      </c>
      <c r="F702">
        <v>1540000</v>
      </c>
      <c r="G702">
        <v>15.4</v>
      </c>
      <c r="H702" t="s">
        <v>27</v>
      </c>
      <c r="I702" t="s">
        <v>845</v>
      </c>
      <c r="J702" s="8">
        <v>46164</v>
      </c>
      <c r="K702" t="s">
        <v>846</v>
      </c>
    </row>
    <row r="703" spans="1:11" x14ac:dyDescent="0.3">
      <c r="A703" t="s">
        <v>1436</v>
      </c>
      <c r="B703" t="s">
        <v>960</v>
      </c>
      <c r="C703" t="s">
        <v>106</v>
      </c>
      <c r="D703" t="s">
        <v>51</v>
      </c>
      <c r="E703" t="s">
        <v>37</v>
      </c>
      <c r="F703">
        <v>1540000</v>
      </c>
      <c r="G703">
        <v>15.4</v>
      </c>
      <c r="H703" t="s">
        <v>27</v>
      </c>
      <c r="I703" t="s">
        <v>845</v>
      </c>
      <c r="J703" s="8">
        <v>46164</v>
      </c>
      <c r="K703" t="s">
        <v>45</v>
      </c>
    </row>
    <row r="704" spans="1:11" x14ac:dyDescent="0.3">
      <c r="A704" t="s">
        <v>1438</v>
      </c>
      <c r="B704" t="s">
        <v>24</v>
      </c>
      <c r="C704" t="s">
        <v>865</v>
      </c>
      <c r="D704" t="s">
        <v>71</v>
      </c>
      <c r="E704" t="s">
        <v>52</v>
      </c>
      <c r="F704">
        <v>285000</v>
      </c>
      <c r="G704">
        <v>2.85</v>
      </c>
      <c r="H704" t="s">
        <v>53</v>
      </c>
      <c r="I704" t="s">
        <v>28</v>
      </c>
      <c r="J704" s="8">
        <v>46232</v>
      </c>
      <c r="K704" t="s">
        <v>45</v>
      </c>
    </row>
    <row r="705" spans="1:11" x14ac:dyDescent="0.3">
      <c r="A705" t="s">
        <v>1438</v>
      </c>
      <c r="B705" t="s">
        <v>24</v>
      </c>
      <c r="C705" t="s">
        <v>865</v>
      </c>
      <c r="D705" t="s">
        <v>71</v>
      </c>
      <c r="E705" t="s">
        <v>52</v>
      </c>
      <c r="F705">
        <v>285000</v>
      </c>
      <c r="G705">
        <v>2.85</v>
      </c>
      <c r="H705" t="s">
        <v>53</v>
      </c>
      <c r="I705" t="s">
        <v>28</v>
      </c>
      <c r="J705" s="8">
        <v>46232</v>
      </c>
      <c r="K705" t="s">
        <v>39</v>
      </c>
    </row>
    <row r="706" spans="1:11" x14ac:dyDescent="0.3">
      <c r="A706" t="s">
        <v>1438</v>
      </c>
      <c r="B706" t="s">
        <v>24</v>
      </c>
      <c r="C706" t="s">
        <v>865</v>
      </c>
      <c r="D706" t="s">
        <v>71</v>
      </c>
      <c r="E706" t="s">
        <v>52</v>
      </c>
      <c r="F706">
        <v>285000</v>
      </c>
      <c r="G706">
        <v>2.85</v>
      </c>
      <c r="H706" t="s">
        <v>53</v>
      </c>
      <c r="I706" t="s">
        <v>28</v>
      </c>
      <c r="J706" s="8">
        <v>46232</v>
      </c>
      <c r="K706" t="s">
        <v>908</v>
      </c>
    </row>
    <row r="707" spans="1:11" x14ac:dyDescent="0.3">
      <c r="A707" t="s">
        <v>1440</v>
      </c>
      <c r="B707" t="s">
        <v>75</v>
      </c>
      <c r="C707" t="s">
        <v>119</v>
      </c>
      <c r="D707" t="s">
        <v>36</v>
      </c>
      <c r="E707" t="s">
        <v>77</v>
      </c>
      <c r="F707">
        <v>1820000</v>
      </c>
      <c r="G707">
        <v>18.2</v>
      </c>
      <c r="H707" t="s">
        <v>27</v>
      </c>
      <c r="I707" t="s">
        <v>28</v>
      </c>
      <c r="J707" s="8">
        <v>46041</v>
      </c>
      <c r="K707" t="s">
        <v>878</v>
      </c>
    </row>
    <row r="708" spans="1:11" x14ac:dyDescent="0.3">
      <c r="A708" t="s">
        <v>1440</v>
      </c>
      <c r="B708" t="s">
        <v>75</v>
      </c>
      <c r="C708" t="s">
        <v>119</v>
      </c>
      <c r="D708" t="s">
        <v>36</v>
      </c>
      <c r="E708" t="s">
        <v>77</v>
      </c>
      <c r="F708">
        <v>1820000</v>
      </c>
      <c r="G708">
        <v>18.2</v>
      </c>
      <c r="H708" t="s">
        <v>27</v>
      </c>
      <c r="I708" t="s">
        <v>28</v>
      </c>
      <c r="J708" s="8">
        <v>46041</v>
      </c>
      <c r="K708" t="s">
        <v>54</v>
      </c>
    </row>
    <row r="709" spans="1:11" x14ac:dyDescent="0.3">
      <c r="A709" t="s">
        <v>1440</v>
      </c>
      <c r="B709" t="s">
        <v>75</v>
      </c>
      <c r="C709" t="s">
        <v>119</v>
      </c>
      <c r="D709" t="s">
        <v>36</v>
      </c>
      <c r="E709" t="s">
        <v>77</v>
      </c>
      <c r="F709">
        <v>1820000</v>
      </c>
      <c r="G709">
        <v>18.2</v>
      </c>
      <c r="H709" t="s">
        <v>27</v>
      </c>
      <c r="I709" t="s">
        <v>28</v>
      </c>
      <c r="J709" s="8">
        <v>46041</v>
      </c>
      <c r="K709" t="s">
        <v>45</v>
      </c>
    </row>
    <row r="710" spans="1:11" x14ac:dyDescent="0.3">
      <c r="A710" t="s">
        <v>1442</v>
      </c>
      <c r="B710" t="s">
        <v>42</v>
      </c>
      <c r="C710" t="s">
        <v>25</v>
      </c>
      <c r="D710" t="s">
        <v>26</v>
      </c>
      <c r="E710" t="s">
        <v>52</v>
      </c>
      <c r="F710">
        <v>740000</v>
      </c>
      <c r="G710">
        <v>7.4</v>
      </c>
      <c r="H710" t="s">
        <v>27</v>
      </c>
      <c r="I710" t="s">
        <v>845</v>
      </c>
      <c r="J710" s="8">
        <v>46099</v>
      </c>
      <c r="K710" t="s">
        <v>29</v>
      </c>
    </row>
    <row r="711" spans="1:11" x14ac:dyDescent="0.3">
      <c r="A711" t="s">
        <v>1442</v>
      </c>
      <c r="B711" t="s">
        <v>42</v>
      </c>
      <c r="C711" t="s">
        <v>25</v>
      </c>
      <c r="D711" t="s">
        <v>26</v>
      </c>
      <c r="E711" t="s">
        <v>52</v>
      </c>
      <c r="F711">
        <v>740000</v>
      </c>
      <c r="G711">
        <v>7.4</v>
      </c>
      <c r="H711" t="s">
        <v>27</v>
      </c>
      <c r="I711" t="s">
        <v>845</v>
      </c>
      <c r="J711" s="8">
        <v>46099</v>
      </c>
      <c r="K711" t="s">
        <v>31</v>
      </c>
    </row>
    <row r="712" spans="1:11" x14ac:dyDescent="0.3">
      <c r="A712" t="s">
        <v>1442</v>
      </c>
      <c r="B712" t="s">
        <v>42</v>
      </c>
      <c r="C712" t="s">
        <v>25</v>
      </c>
      <c r="D712" t="s">
        <v>26</v>
      </c>
      <c r="E712" t="s">
        <v>52</v>
      </c>
      <c r="F712">
        <v>740000</v>
      </c>
      <c r="G712">
        <v>7.4</v>
      </c>
      <c r="H712" t="s">
        <v>27</v>
      </c>
      <c r="I712" t="s">
        <v>845</v>
      </c>
      <c r="J712" s="8">
        <v>46099</v>
      </c>
      <c r="K712" t="s">
        <v>874</v>
      </c>
    </row>
    <row r="713" spans="1:11" x14ac:dyDescent="0.3">
      <c r="A713" t="s">
        <v>1445</v>
      </c>
      <c r="B713" t="s">
        <v>42</v>
      </c>
      <c r="C713" t="s">
        <v>919</v>
      </c>
      <c r="D713" t="s">
        <v>51</v>
      </c>
      <c r="E713" t="s">
        <v>116</v>
      </c>
      <c r="F713">
        <v>885000</v>
      </c>
      <c r="G713">
        <v>8.85</v>
      </c>
      <c r="H713" t="s">
        <v>27</v>
      </c>
      <c r="I713" t="s">
        <v>28</v>
      </c>
      <c r="J713" s="8">
        <v>46174</v>
      </c>
      <c r="K713" t="s">
        <v>45</v>
      </c>
    </row>
    <row r="714" spans="1:11" x14ac:dyDescent="0.3">
      <c r="A714" t="s">
        <v>1445</v>
      </c>
      <c r="B714" t="s">
        <v>42</v>
      </c>
      <c r="C714" t="s">
        <v>919</v>
      </c>
      <c r="D714" t="s">
        <v>51</v>
      </c>
      <c r="E714" t="s">
        <v>116</v>
      </c>
      <c r="F714">
        <v>885000</v>
      </c>
      <c r="G714">
        <v>8.85</v>
      </c>
      <c r="H714" t="s">
        <v>27</v>
      </c>
      <c r="I714" t="s">
        <v>28</v>
      </c>
      <c r="J714" s="8">
        <v>46174</v>
      </c>
      <c r="K714" t="s">
        <v>54</v>
      </c>
    </row>
    <row r="715" spans="1:11" x14ac:dyDescent="0.3">
      <c r="A715" t="s">
        <v>1445</v>
      </c>
      <c r="B715" t="s">
        <v>42</v>
      </c>
      <c r="C715" t="s">
        <v>919</v>
      </c>
      <c r="D715" t="s">
        <v>51</v>
      </c>
      <c r="E715" t="s">
        <v>116</v>
      </c>
      <c r="F715">
        <v>885000</v>
      </c>
      <c r="G715">
        <v>8.85</v>
      </c>
      <c r="H715" t="s">
        <v>27</v>
      </c>
      <c r="I715" t="s">
        <v>28</v>
      </c>
      <c r="J715" s="8">
        <v>46174</v>
      </c>
      <c r="K715" t="s">
        <v>20</v>
      </c>
    </row>
    <row r="716" spans="1:11" x14ac:dyDescent="0.3">
      <c r="A716" t="s">
        <v>1446</v>
      </c>
      <c r="B716" t="s">
        <v>996</v>
      </c>
      <c r="C716" t="s">
        <v>268</v>
      </c>
      <c r="D716" t="s">
        <v>44</v>
      </c>
      <c r="E716" t="s">
        <v>77</v>
      </c>
      <c r="F716">
        <v>2015000</v>
      </c>
      <c r="G716">
        <v>20.149999999999999</v>
      </c>
      <c r="H716" t="s">
        <v>27</v>
      </c>
      <c r="I716" t="s">
        <v>28</v>
      </c>
      <c r="J716" s="8">
        <v>46240</v>
      </c>
      <c r="K716" t="s">
        <v>846</v>
      </c>
    </row>
    <row r="717" spans="1:11" x14ac:dyDescent="0.3">
      <c r="A717" t="s">
        <v>1446</v>
      </c>
      <c r="B717" t="s">
        <v>996</v>
      </c>
      <c r="C717" t="s">
        <v>268</v>
      </c>
      <c r="D717" t="s">
        <v>44</v>
      </c>
      <c r="E717" t="s">
        <v>77</v>
      </c>
      <c r="F717">
        <v>2015000</v>
      </c>
      <c r="G717">
        <v>20.149999999999999</v>
      </c>
      <c r="H717" t="s">
        <v>27</v>
      </c>
      <c r="I717" t="s">
        <v>28</v>
      </c>
      <c r="J717" s="8">
        <v>46240</v>
      </c>
      <c r="K717" t="s">
        <v>874</v>
      </c>
    </row>
    <row r="718" spans="1:11" x14ac:dyDescent="0.3">
      <c r="A718" t="s">
        <v>1446</v>
      </c>
      <c r="B718" t="s">
        <v>996</v>
      </c>
      <c r="C718" t="s">
        <v>268</v>
      </c>
      <c r="D718" t="s">
        <v>44</v>
      </c>
      <c r="E718" t="s">
        <v>77</v>
      </c>
      <c r="F718">
        <v>2015000</v>
      </c>
      <c r="G718">
        <v>20.149999999999999</v>
      </c>
      <c r="H718" t="s">
        <v>27</v>
      </c>
      <c r="I718" t="s">
        <v>28</v>
      </c>
      <c r="J718" s="8">
        <v>46240</v>
      </c>
      <c r="K718" t="s">
        <v>46</v>
      </c>
    </row>
    <row r="719" spans="1:11" x14ac:dyDescent="0.3">
      <c r="A719" t="s">
        <v>1448</v>
      </c>
      <c r="B719" t="s">
        <v>852</v>
      </c>
      <c r="C719" t="s">
        <v>999</v>
      </c>
      <c r="D719" t="s">
        <v>64</v>
      </c>
      <c r="E719" t="s">
        <v>116</v>
      </c>
      <c r="F719">
        <v>845000</v>
      </c>
      <c r="G719">
        <v>8.4499999999999993</v>
      </c>
      <c r="H719" t="s">
        <v>27</v>
      </c>
      <c r="I719" t="s">
        <v>28</v>
      </c>
      <c r="J719" s="8">
        <v>46106</v>
      </c>
      <c r="K719" t="s">
        <v>854</v>
      </c>
    </row>
    <row r="720" spans="1:11" x14ac:dyDescent="0.3">
      <c r="A720" t="s">
        <v>1448</v>
      </c>
      <c r="B720" t="s">
        <v>852</v>
      </c>
      <c r="C720" t="s">
        <v>999</v>
      </c>
      <c r="D720" t="s">
        <v>64</v>
      </c>
      <c r="E720" t="s">
        <v>116</v>
      </c>
      <c r="F720">
        <v>845000</v>
      </c>
      <c r="G720">
        <v>8.4499999999999993</v>
      </c>
      <c r="H720" t="s">
        <v>27</v>
      </c>
      <c r="I720" t="s">
        <v>28</v>
      </c>
      <c r="J720" s="8">
        <v>46106</v>
      </c>
      <c r="K720" t="s">
        <v>908</v>
      </c>
    </row>
    <row r="721" spans="1:11" x14ac:dyDescent="0.3">
      <c r="A721" t="s">
        <v>1448</v>
      </c>
      <c r="B721" t="s">
        <v>852</v>
      </c>
      <c r="C721" t="s">
        <v>999</v>
      </c>
      <c r="D721" t="s">
        <v>64</v>
      </c>
      <c r="E721" t="s">
        <v>116</v>
      </c>
      <c r="F721">
        <v>845000</v>
      </c>
      <c r="G721">
        <v>8.4499999999999993</v>
      </c>
      <c r="H721" t="s">
        <v>27</v>
      </c>
      <c r="I721" t="s">
        <v>28</v>
      </c>
      <c r="J721" s="8">
        <v>46106</v>
      </c>
      <c r="K721" t="s">
        <v>30</v>
      </c>
    </row>
    <row r="722" spans="1:11" x14ac:dyDescent="0.3">
      <c r="A722" t="s">
        <v>1450</v>
      </c>
      <c r="B722" t="s">
        <v>864</v>
      </c>
      <c r="C722" t="s">
        <v>211</v>
      </c>
      <c r="D722" t="s">
        <v>26</v>
      </c>
      <c r="E722" t="s">
        <v>52</v>
      </c>
      <c r="F722">
        <v>415000</v>
      </c>
      <c r="G722">
        <v>4.1500000000000004</v>
      </c>
      <c r="H722" t="s">
        <v>53</v>
      </c>
      <c r="I722" t="s">
        <v>28</v>
      </c>
      <c r="J722" s="8">
        <v>46108</v>
      </c>
      <c r="K722" t="s">
        <v>31</v>
      </c>
    </row>
    <row r="723" spans="1:11" x14ac:dyDescent="0.3">
      <c r="A723" t="s">
        <v>1450</v>
      </c>
      <c r="B723" t="s">
        <v>864</v>
      </c>
      <c r="C723" t="s">
        <v>211</v>
      </c>
      <c r="D723" t="s">
        <v>26</v>
      </c>
      <c r="E723" t="s">
        <v>52</v>
      </c>
      <c r="F723">
        <v>415000</v>
      </c>
      <c r="G723">
        <v>4.1500000000000004</v>
      </c>
      <c r="H723" t="s">
        <v>53</v>
      </c>
      <c r="I723" t="s">
        <v>28</v>
      </c>
      <c r="J723" s="8">
        <v>46108</v>
      </c>
      <c r="K723" t="s">
        <v>878</v>
      </c>
    </row>
    <row r="724" spans="1:11" x14ac:dyDescent="0.3">
      <c r="A724" t="s">
        <v>1450</v>
      </c>
      <c r="B724" t="s">
        <v>864</v>
      </c>
      <c r="C724" t="s">
        <v>211</v>
      </c>
      <c r="D724" t="s">
        <v>26</v>
      </c>
      <c r="E724" t="s">
        <v>52</v>
      </c>
      <c r="F724">
        <v>415000</v>
      </c>
      <c r="G724">
        <v>4.1500000000000004</v>
      </c>
      <c r="H724" t="s">
        <v>53</v>
      </c>
      <c r="I724" t="s">
        <v>28</v>
      </c>
      <c r="J724" s="8">
        <v>46108</v>
      </c>
      <c r="K724" t="s">
        <v>21</v>
      </c>
    </row>
    <row r="725" spans="1:11" x14ac:dyDescent="0.3">
      <c r="A725" t="s">
        <v>1452</v>
      </c>
      <c r="B725" t="s">
        <v>24</v>
      </c>
      <c r="C725" t="s">
        <v>14</v>
      </c>
      <c r="D725" t="s">
        <v>96</v>
      </c>
      <c r="E725" t="s">
        <v>52</v>
      </c>
      <c r="F725">
        <v>460000</v>
      </c>
      <c r="G725">
        <v>4.5999999999999996</v>
      </c>
      <c r="H725" t="s">
        <v>27</v>
      </c>
      <c r="I725" t="s">
        <v>845</v>
      </c>
      <c r="J725" s="8">
        <v>46149</v>
      </c>
      <c r="K725" t="s">
        <v>46</v>
      </c>
    </row>
    <row r="726" spans="1:11" x14ac:dyDescent="0.3">
      <c r="A726" t="s">
        <v>1452</v>
      </c>
      <c r="B726" t="s">
        <v>24</v>
      </c>
      <c r="C726" t="s">
        <v>14</v>
      </c>
      <c r="D726" t="s">
        <v>96</v>
      </c>
      <c r="E726" t="s">
        <v>52</v>
      </c>
      <c r="F726">
        <v>460000</v>
      </c>
      <c r="G726">
        <v>4.5999999999999996</v>
      </c>
      <c r="H726" t="s">
        <v>27</v>
      </c>
      <c r="I726" t="s">
        <v>845</v>
      </c>
      <c r="J726" s="8">
        <v>46149</v>
      </c>
      <c r="K726" t="s">
        <v>45</v>
      </c>
    </row>
    <row r="727" spans="1:11" x14ac:dyDescent="0.3">
      <c r="A727" t="s">
        <v>1452</v>
      </c>
      <c r="B727" t="s">
        <v>24</v>
      </c>
      <c r="C727" t="s">
        <v>14</v>
      </c>
      <c r="D727" t="s">
        <v>96</v>
      </c>
      <c r="E727" t="s">
        <v>52</v>
      </c>
      <c r="F727">
        <v>460000</v>
      </c>
      <c r="G727">
        <v>4.5999999999999996</v>
      </c>
      <c r="H727" t="s">
        <v>27</v>
      </c>
      <c r="I727" t="s">
        <v>845</v>
      </c>
      <c r="J727" s="8">
        <v>46149</v>
      </c>
      <c r="K727" t="s">
        <v>39</v>
      </c>
    </row>
    <row r="728" spans="1:11" x14ac:dyDescent="0.3">
      <c r="A728" t="s">
        <v>1453</v>
      </c>
      <c r="B728" t="s">
        <v>42</v>
      </c>
      <c r="C728" t="s">
        <v>214</v>
      </c>
      <c r="D728" t="s">
        <v>64</v>
      </c>
      <c r="E728" t="s">
        <v>77</v>
      </c>
      <c r="F728">
        <v>2960000</v>
      </c>
      <c r="G728">
        <v>29.6</v>
      </c>
      <c r="H728" t="s">
        <v>27</v>
      </c>
      <c r="I728" t="s">
        <v>59</v>
      </c>
      <c r="J728" s="8">
        <v>46127</v>
      </c>
      <c r="K728" t="s">
        <v>29</v>
      </c>
    </row>
    <row r="729" spans="1:11" x14ac:dyDescent="0.3">
      <c r="A729" t="s">
        <v>1453</v>
      </c>
      <c r="B729" t="s">
        <v>42</v>
      </c>
      <c r="C729" t="s">
        <v>214</v>
      </c>
      <c r="D729" t="s">
        <v>64</v>
      </c>
      <c r="E729" t="s">
        <v>77</v>
      </c>
      <c r="F729">
        <v>2960000</v>
      </c>
      <c r="G729">
        <v>29.6</v>
      </c>
      <c r="H729" t="s">
        <v>27</v>
      </c>
      <c r="I729" t="s">
        <v>59</v>
      </c>
      <c r="J729" s="8">
        <v>46127</v>
      </c>
      <c r="K729" t="s">
        <v>854</v>
      </c>
    </row>
    <row r="730" spans="1:11" x14ac:dyDescent="0.3">
      <c r="A730" t="s">
        <v>1453</v>
      </c>
      <c r="B730" t="s">
        <v>42</v>
      </c>
      <c r="C730" t="s">
        <v>214</v>
      </c>
      <c r="D730" t="s">
        <v>64</v>
      </c>
      <c r="E730" t="s">
        <v>77</v>
      </c>
      <c r="F730">
        <v>2960000</v>
      </c>
      <c r="G730">
        <v>29.6</v>
      </c>
      <c r="H730" t="s">
        <v>27</v>
      </c>
      <c r="I730" t="s">
        <v>59</v>
      </c>
      <c r="J730" s="8">
        <v>46127</v>
      </c>
      <c r="K730" t="s">
        <v>46</v>
      </c>
    </row>
    <row r="731" spans="1:11" x14ac:dyDescent="0.3">
      <c r="A731" t="s">
        <v>1455</v>
      </c>
      <c r="B731" t="s">
        <v>42</v>
      </c>
      <c r="C731" t="s">
        <v>35</v>
      </c>
      <c r="D731" t="s">
        <v>96</v>
      </c>
      <c r="E731" t="s">
        <v>52</v>
      </c>
      <c r="F731">
        <v>390000</v>
      </c>
      <c r="G731">
        <v>3.9</v>
      </c>
      <c r="H731" t="s">
        <v>53</v>
      </c>
      <c r="I731" t="s">
        <v>28</v>
      </c>
      <c r="J731" s="8">
        <v>46119</v>
      </c>
      <c r="K731" t="s">
        <v>20</v>
      </c>
    </row>
    <row r="732" spans="1:11" x14ac:dyDescent="0.3">
      <c r="A732" t="s">
        <v>1455</v>
      </c>
      <c r="B732" t="s">
        <v>42</v>
      </c>
      <c r="C732" t="s">
        <v>35</v>
      </c>
      <c r="D732" t="s">
        <v>96</v>
      </c>
      <c r="E732" t="s">
        <v>52</v>
      </c>
      <c r="F732">
        <v>390000</v>
      </c>
      <c r="G732">
        <v>3.9</v>
      </c>
      <c r="H732" t="s">
        <v>53</v>
      </c>
      <c r="I732" t="s">
        <v>28</v>
      </c>
      <c r="J732" s="8">
        <v>46119</v>
      </c>
      <c r="K732" t="s">
        <v>908</v>
      </c>
    </row>
    <row r="733" spans="1:11" x14ac:dyDescent="0.3">
      <c r="A733" t="s">
        <v>1455</v>
      </c>
      <c r="B733" t="s">
        <v>42</v>
      </c>
      <c r="C733" t="s">
        <v>35</v>
      </c>
      <c r="D733" t="s">
        <v>96</v>
      </c>
      <c r="E733" t="s">
        <v>52</v>
      </c>
      <c r="F733">
        <v>390000</v>
      </c>
      <c r="G733">
        <v>3.9</v>
      </c>
      <c r="H733" t="s">
        <v>53</v>
      </c>
      <c r="I733" t="s">
        <v>28</v>
      </c>
      <c r="J733" s="8">
        <v>46119</v>
      </c>
      <c r="K733" t="s">
        <v>854</v>
      </c>
    </row>
    <row r="734" spans="1:11" x14ac:dyDescent="0.3">
      <c r="A734" t="s">
        <v>1456</v>
      </c>
      <c r="B734" t="s">
        <v>852</v>
      </c>
      <c r="C734" t="s">
        <v>109</v>
      </c>
      <c r="D734" t="s">
        <v>36</v>
      </c>
      <c r="E734" t="s">
        <v>37</v>
      </c>
      <c r="F734">
        <v>1900000</v>
      </c>
      <c r="G734">
        <v>19</v>
      </c>
      <c r="H734" t="s">
        <v>27</v>
      </c>
      <c r="I734" t="s">
        <v>59</v>
      </c>
      <c r="J734" s="8">
        <v>46238</v>
      </c>
      <c r="K734" t="s">
        <v>31</v>
      </c>
    </row>
    <row r="735" spans="1:11" x14ac:dyDescent="0.3">
      <c r="A735" t="s">
        <v>1456</v>
      </c>
      <c r="B735" t="s">
        <v>852</v>
      </c>
      <c r="C735" t="s">
        <v>109</v>
      </c>
      <c r="D735" t="s">
        <v>36</v>
      </c>
      <c r="E735" t="s">
        <v>37</v>
      </c>
      <c r="F735">
        <v>1900000</v>
      </c>
      <c r="G735">
        <v>19</v>
      </c>
      <c r="H735" t="s">
        <v>27</v>
      </c>
      <c r="I735" t="s">
        <v>59</v>
      </c>
      <c r="J735" s="8">
        <v>46238</v>
      </c>
      <c r="K735" t="s">
        <v>46</v>
      </c>
    </row>
    <row r="736" spans="1:11" x14ac:dyDescent="0.3">
      <c r="A736" t="s">
        <v>1456</v>
      </c>
      <c r="B736" t="s">
        <v>852</v>
      </c>
      <c r="C736" t="s">
        <v>109</v>
      </c>
      <c r="D736" t="s">
        <v>36</v>
      </c>
      <c r="E736" t="s">
        <v>37</v>
      </c>
      <c r="F736">
        <v>1900000</v>
      </c>
      <c r="G736">
        <v>19</v>
      </c>
      <c r="H736" t="s">
        <v>27</v>
      </c>
      <c r="I736" t="s">
        <v>59</v>
      </c>
      <c r="J736" s="8">
        <v>46238</v>
      </c>
      <c r="K736" t="s">
        <v>20</v>
      </c>
    </row>
    <row r="737" spans="1:11" x14ac:dyDescent="0.3">
      <c r="A737" t="s">
        <v>1458</v>
      </c>
      <c r="B737" t="s">
        <v>49</v>
      </c>
      <c r="C737" t="s">
        <v>205</v>
      </c>
      <c r="D737" t="s">
        <v>26</v>
      </c>
      <c r="E737" t="s">
        <v>52</v>
      </c>
      <c r="F737">
        <v>610000</v>
      </c>
      <c r="G737">
        <v>6.1</v>
      </c>
      <c r="H737" t="s">
        <v>27</v>
      </c>
      <c r="I737" t="s">
        <v>59</v>
      </c>
      <c r="J737" s="8">
        <v>46247</v>
      </c>
      <c r="K737" t="s">
        <v>54</v>
      </c>
    </row>
    <row r="738" spans="1:11" x14ac:dyDescent="0.3">
      <c r="A738" t="s">
        <v>1458</v>
      </c>
      <c r="B738" t="s">
        <v>49</v>
      </c>
      <c r="C738" t="s">
        <v>205</v>
      </c>
      <c r="D738" t="s">
        <v>26</v>
      </c>
      <c r="E738" t="s">
        <v>52</v>
      </c>
      <c r="F738">
        <v>610000</v>
      </c>
      <c r="G738">
        <v>6.1</v>
      </c>
      <c r="H738" t="s">
        <v>27</v>
      </c>
      <c r="I738" t="s">
        <v>59</v>
      </c>
      <c r="J738" s="8">
        <v>46247</v>
      </c>
      <c r="K738" t="s">
        <v>846</v>
      </c>
    </row>
    <row r="739" spans="1:11" x14ac:dyDescent="0.3">
      <c r="A739" t="s">
        <v>1458</v>
      </c>
      <c r="B739" t="s">
        <v>49</v>
      </c>
      <c r="C739" t="s">
        <v>205</v>
      </c>
      <c r="D739" t="s">
        <v>26</v>
      </c>
      <c r="E739" t="s">
        <v>52</v>
      </c>
      <c r="F739">
        <v>610000</v>
      </c>
      <c r="G739">
        <v>6.1</v>
      </c>
      <c r="H739" t="s">
        <v>27</v>
      </c>
      <c r="I739" t="s">
        <v>59</v>
      </c>
      <c r="J739" s="8">
        <v>46247</v>
      </c>
      <c r="K739" t="s">
        <v>31</v>
      </c>
    </row>
    <row r="740" spans="1:11" x14ac:dyDescent="0.3">
      <c r="A740" t="s">
        <v>1460</v>
      </c>
      <c r="B740" t="s">
        <v>864</v>
      </c>
      <c r="C740" t="s">
        <v>80</v>
      </c>
      <c r="D740" t="s">
        <v>15</v>
      </c>
      <c r="E740" t="s">
        <v>16</v>
      </c>
      <c r="F740">
        <v>970000</v>
      </c>
      <c r="G740">
        <v>9.6999999999999993</v>
      </c>
      <c r="H740" t="s">
        <v>17</v>
      </c>
      <c r="I740" t="s">
        <v>845</v>
      </c>
      <c r="J740" s="8">
        <v>46097</v>
      </c>
      <c r="K740" t="s">
        <v>846</v>
      </c>
    </row>
    <row r="741" spans="1:11" x14ac:dyDescent="0.3">
      <c r="A741" t="s">
        <v>1460</v>
      </c>
      <c r="B741" t="s">
        <v>864</v>
      </c>
      <c r="C741" t="s">
        <v>80</v>
      </c>
      <c r="D741" t="s">
        <v>15</v>
      </c>
      <c r="E741" t="s">
        <v>16</v>
      </c>
      <c r="F741">
        <v>970000</v>
      </c>
      <c r="G741">
        <v>9.6999999999999993</v>
      </c>
      <c r="H741" t="s">
        <v>17</v>
      </c>
      <c r="I741" t="s">
        <v>845</v>
      </c>
      <c r="J741" s="8">
        <v>46097</v>
      </c>
      <c r="K741" t="s">
        <v>908</v>
      </c>
    </row>
    <row r="742" spans="1:11" x14ac:dyDescent="0.3">
      <c r="A742" t="s">
        <v>1460</v>
      </c>
      <c r="B742" t="s">
        <v>864</v>
      </c>
      <c r="C742" t="s">
        <v>80</v>
      </c>
      <c r="D742" t="s">
        <v>15</v>
      </c>
      <c r="E742" t="s">
        <v>16</v>
      </c>
      <c r="F742">
        <v>970000</v>
      </c>
      <c r="G742">
        <v>9.6999999999999993</v>
      </c>
      <c r="H742" t="s">
        <v>17</v>
      </c>
      <c r="I742" t="s">
        <v>845</v>
      </c>
      <c r="J742" s="8">
        <v>46097</v>
      </c>
      <c r="K742" t="s">
        <v>45</v>
      </c>
    </row>
    <row r="743" spans="1:11" x14ac:dyDescent="0.3">
      <c r="A743" t="s">
        <v>1462</v>
      </c>
      <c r="B743" t="s">
        <v>42</v>
      </c>
      <c r="C743" t="s">
        <v>899</v>
      </c>
      <c r="D743" t="s">
        <v>96</v>
      </c>
      <c r="E743" t="s">
        <v>52</v>
      </c>
      <c r="F743">
        <v>420000</v>
      </c>
      <c r="G743">
        <v>4.2</v>
      </c>
      <c r="H743" t="s">
        <v>27</v>
      </c>
      <c r="I743" t="s">
        <v>28</v>
      </c>
      <c r="J743" s="8">
        <v>46164</v>
      </c>
      <c r="K743" t="s">
        <v>908</v>
      </c>
    </row>
    <row r="744" spans="1:11" x14ac:dyDescent="0.3">
      <c r="A744" t="s">
        <v>1462</v>
      </c>
      <c r="B744" t="s">
        <v>42</v>
      </c>
      <c r="C744" t="s">
        <v>899</v>
      </c>
      <c r="D744" t="s">
        <v>96</v>
      </c>
      <c r="E744" t="s">
        <v>52</v>
      </c>
      <c r="F744">
        <v>420000</v>
      </c>
      <c r="G744">
        <v>4.2</v>
      </c>
      <c r="H744" t="s">
        <v>27</v>
      </c>
      <c r="I744" t="s">
        <v>28</v>
      </c>
      <c r="J744" s="8">
        <v>46164</v>
      </c>
      <c r="K744" t="s">
        <v>874</v>
      </c>
    </row>
    <row r="745" spans="1:11" x14ac:dyDescent="0.3">
      <c r="A745" t="s">
        <v>1462</v>
      </c>
      <c r="B745" t="s">
        <v>42</v>
      </c>
      <c r="C745" t="s">
        <v>899</v>
      </c>
      <c r="D745" t="s">
        <v>96</v>
      </c>
      <c r="E745" t="s">
        <v>52</v>
      </c>
      <c r="F745">
        <v>420000</v>
      </c>
      <c r="G745">
        <v>4.2</v>
      </c>
      <c r="H745" t="s">
        <v>27</v>
      </c>
      <c r="I745" t="s">
        <v>28</v>
      </c>
      <c r="J745" s="8">
        <v>46164</v>
      </c>
      <c r="K745" t="s">
        <v>20</v>
      </c>
    </row>
    <row r="746" spans="1:11" x14ac:dyDescent="0.3">
      <c r="A746" t="s">
        <v>1464</v>
      </c>
      <c r="B746" t="s">
        <v>62</v>
      </c>
      <c r="C746" t="s">
        <v>530</v>
      </c>
      <c r="D746" t="s">
        <v>44</v>
      </c>
      <c r="E746" t="s">
        <v>16</v>
      </c>
      <c r="F746">
        <v>1080000</v>
      </c>
      <c r="G746">
        <v>10.8</v>
      </c>
      <c r="H746" t="s">
        <v>17</v>
      </c>
      <c r="I746" t="s">
        <v>28</v>
      </c>
      <c r="J746" s="8">
        <v>46224</v>
      </c>
      <c r="K746" t="s">
        <v>45</v>
      </c>
    </row>
    <row r="747" spans="1:11" x14ac:dyDescent="0.3">
      <c r="A747" t="s">
        <v>1464</v>
      </c>
      <c r="B747" t="s">
        <v>62</v>
      </c>
      <c r="C747" t="s">
        <v>530</v>
      </c>
      <c r="D747" t="s">
        <v>44</v>
      </c>
      <c r="E747" t="s">
        <v>16</v>
      </c>
      <c r="F747">
        <v>1080000</v>
      </c>
      <c r="G747">
        <v>10.8</v>
      </c>
      <c r="H747" t="s">
        <v>17</v>
      </c>
      <c r="I747" t="s">
        <v>28</v>
      </c>
      <c r="J747" s="8">
        <v>46224</v>
      </c>
      <c r="K747" t="s">
        <v>846</v>
      </c>
    </row>
    <row r="748" spans="1:11" x14ac:dyDescent="0.3">
      <c r="A748" t="s">
        <v>1464</v>
      </c>
      <c r="B748" t="s">
        <v>62</v>
      </c>
      <c r="C748" t="s">
        <v>530</v>
      </c>
      <c r="D748" t="s">
        <v>44</v>
      </c>
      <c r="E748" t="s">
        <v>16</v>
      </c>
      <c r="F748">
        <v>1080000</v>
      </c>
      <c r="G748">
        <v>10.8</v>
      </c>
      <c r="H748" t="s">
        <v>17</v>
      </c>
      <c r="I748" t="s">
        <v>28</v>
      </c>
      <c r="J748" s="8">
        <v>46224</v>
      </c>
      <c r="K748" t="s">
        <v>20</v>
      </c>
    </row>
    <row r="749" spans="1:11" x14ac:dyDescent="0.3">
      <c r="A749" t="s">
        <v>1467</v>
      </c>
      <c r="B749" t="s">
        <v>996</v>
      </c>
      <c r="C749" t="s">
        <v>25</v>
      </c>
      <c r="D749" t="s">
        <v>44</v>
      </c>
      <c r="E749" t="s">
        <v>16</v>
      </c>
      <c r="F749">
        <v>785000</v>
      </c>
      <c r="G749">
        <v>7.85</v>
      </c>
      <c r="H749" t="s">
        <v>27</v>
      </c>
      <c r="I749" t="s">
        <v>59</v>
      </c>
      <c r="J749" s="8">
        <v>46248</v>
      </c>
      <c r="K749" t="s">
        <v>846</v>
      </c>
    </row>
    <row r="750" spans="1:11" x14ac:dyDescent="0.3">
      <c r="A750" t="s">
        <v>1467</v>
      </c>
      <c r="B750" t="s">
        <v>996</v>
      </c>
      <c r="C750" t="s">
        <v>25</v>
      </c>
      <c r="D750" t="s">
        <v>44</v>
      </c>
      <c r="E750" t="s">
        <v>16</v>
      </c>
      <c r="F750">
        <v>785000</v>
      </c>
      <c r="G750">
        <v>7.85</v>
      </c>
      <c r="H750" t="s">
        <v>27</v>
      </c>
      <c r="I750" t="s">
        <v>59</v>
      </c>
      <c r="J750" s="8">
        <v>46248</v>
      </c>
      <c r="K750" t="s">
        <v>29</v>
      </c>
    </row>
    <row r="751" spans="1:11" x14ac:dyDescent="0.3">
      <c r="A751" t="s">
        <v>1467</v>
      </c>
      <c r="B751" t="s">
        <v>996</v>
      </c>
      <c r="C751" t="s">
        <v>25</v>
      </c>
      <c r="D751" t="s">
        <v>44</v>
      </c>
      <c r="E751" t="s">
        <v>16</v>
      </c>
      <c r="F751">
        <v>785000</v>
      </c>
      <c r="G751">
        <v>7.85</v>
      </c>
      <c r="H751" t="s">
        <v>27</v>
      </c>
      <c r="I751" t="s">
        <v>59</v>
      </c>
      <c r="J751" s="8">
        <v>46248</v>
      </c>
      <c r="K751" t="s">
        <v>874</v>
      </c>
    </row>
    <row r="752" spans="1:11" x14ac:dyDescent="0.3">
      <c r="A752" t="s">
        <v>1469</v>
      </c>
      <c r="B752" t="s">
        <v>13</v>
      </c>
      <c r="C752" t="s">
        <v>63</v>
      </c>
      <c r="D752" t="s">
        <v>15</v>
      </c>
      <c r="E752" t="s">
        <v>37</v>
      </c>
      <c r="F752">
        <v>1395000</v>
      </c>
      <c r="G752">
        <v>13.95</v>
      </c>
      <c r="H752" t="s">
        <v>27</v>
      </c>
      <c r="I752" t="s">
        <v>59</v>
      </c>
      <c r="J752" s="8">
        <v>46192</v>
      </c>
      <c r="K752" t="s">
        <v>846</v>
      </c>
    </row>
    <row r="753" spans="1:11" x14ac:dyDescent="0.3">
      <c r="A753" t="s">
        <v>1469</v>
      </c>
      <c r="B753" t="s">
        <v>13</v>
      </c>
      <c r="C753" t="s">
        <v>63</v>
      </c>
      <c r="D753" t="s">
        <v>15</v>
      </c>
      <c r="E753" t="s">
        <v>37</v>
      </c>
      <c r="F753">
        <v>1395000</v>
      </c>
      <c r="G753">
        <v>13.95</v>
      </c>
      <c r="H753" t="s">
        <v>27</v>
      </c>
      <c r="I753" t="s">
        <v>59</v>
      </c>
      <c r="J753" s="8">
        <v>46192</v>
      </c>
      <c r="K753" t="s">
        <v>908</v>
      </c>
    </row>
    <row r="754" spans="1:11" x14ac:dyDescent="0.3">
      <c r="A754" t="s">
        <v>1469</v>
      </c>
      <c r="B754" t="s">
        <v>13</v>
      </c>
      <c r="C754" t="s">
        <v>63</v>
      </c>
      <c r="D754" t="s">
        <v>15</v>
      </c>
      <c r="E754" t="s">
        <v>37</v>
      </c>
      <c r="F754">
        <v>1395000</v>
      </c>
      <c r="G754">
        <v>13.95</v>
      </c>
      <c r="H754" t="s">
        <v>27</v>
      </c>
      <c r="I754" t="s">
        <v>59</v>
      </c>
      <c r="J754" s="8">
        <v>46192</v>
      </c>
      <c r="K754" t="s">
        <v>21</v>
      </c>
    </row>
    <row r="755" spans="1:11" x14ac:dyDescent="0.3">
      <c r="A755" t="s">
        <v>1470</v>
      </c>
      <c r="B755" t="s">
        <v>864</v>
      </c>
      <c r="C755" t="s">
        <v>281</v>
      </c>
      <c r="D755" t="s">
        <v>36</v>
      </c>
      <c r="E755" t="s">
        <v>37</v>
      </c>
      <c r="F755">
        <v>1450000</v>
      </c>
      <c r="G755">
        <v>14.5</v>
      </c>
      <c r="H755" t="s">
        <v>17</v>
      </c>
      <c r="I755" t="s">
        <v>28</v>
      </c>
      <c r="J755" s="8">
        <v>46197</v>
      </c>
      <c r="K755" t="s">
        <v>854</v>
      </c>
    </row>
    <row r="756" spans="1:11" x14ac:dyDescent="0.3">
      <c r="A756" t="s">
        <v>1470</v>
      </c>
      <c r="B756" t="s">
        <v>864</v>
      </c>
      <c r="C756" t="s">
        <v>281</v>
      </c>
      <c r="D756" t="s">
        <v>36</v>
      </c>
      <c r="E756" t="s">
        <v>37</v>
      </c>
      <c r="F756">
        <v>1450000</v>
      </c>
      <c r="G756">
        <v>14.5</v>
      </c>
      <c r="H756" t="s">
        <v>17</v>
      </c>
      <c r="I756" t="s">
        <v>28</v>
      </c>
      <c r="J756" s="8">
        <v>46197</v>
      </c>
      <c r="K756" t="s">
        <v>31</v>
      </c>
    </row>
    <row r="757" spans="1:11" x14ac:dyDescent="0.3">
      <c r="A757" t="s">
        <v>1470</v>
      </c>
      <c r="B757" t="s">
        <v>864</v>
      </c>
      <c r="C757" t="s">
        <v>281</v>
      </c>
      <c r="D757" t="s">
        <v>36</v>
      </c>
      <c r="E757" t="s">
        <v>37</v>
      </c>
      <c r="F757">
        <v>1450000</v>
      </c>
      <c r="G757">
        <v>14.5</v>
      </c>
      <c r="H757" t="s">
        <v>17</v>
      </c>
      <c r="I757" t="s">
        <v>28</v>
      </c>
      <c r="J757" s="8">
        <v>46197</v>
      </c>
      <c r="K757" t="s">
        <v>846</v>
      </c>
    </row>
    <row r="758" spans="1:11" x14ac:dyDescent="0.3">
      <c r="A758" t="s">
        <v>1473</v>
      </c>
      <c r="B758" t="s">
        <v>864</v>
      </c>
      <c r="C758" t="s">
        <v>992</v>
      </c>
      <c r="D758" t="s">
        <v>81</v>
      </c>
      <c r="E758" t="s">
        <v>116</v>
      </c>
      <c r="F758">
        <v>1210000</v>
      </c>
      <c r="G758">
        <v>12.1</v>
      </c>
      <c r="H758" t="s">
        <v>27</v>
      </c>
      <c r="I758" t="s">
        <v>28</v>
      </c>
      <c r="J758" s="8">
        <v>46042</v>
      </c>
      <c r="K758" t="s">
        <v>878</v>
      </c>
    </row>
    <row r="759" spans="1:11" x14ac:dyDescent="0.3">
      <c r="A759" t="s">
        <v>1473</v>
      </c>
      <c r="B759" t="s">
        <v>864</v>
      </c>
      <c r="C759" t="s">
        <v>992</v>
      </c>
      <c r="D759" t="s">
        <v>81</v>
      </c>
      <c r="E759" t="s">
        <v>116</v>
      </c>
      <c r="F759">
        <v>1210000</v>
      </c>
      <c r="G759">
        <v>12.1</v>
      </c>
      <c r="H759" t="s">
        <v>27</v>
      </c>
      <c r="I759" t="s">
        <v>28</v>
      </c>
      <c r="J759" s="8">
        <v>46042</v>
      </c>
      <c r="K759" t="s">
        <v>21</v>
      </c>
    </row>
    <row r="760" spans="1:11" x14ac:dyDescent="0.3">
      <c r="A760" t="s">
        <v>1473</v>
      </c>
      <c r="B760" t="s">
        <v>864</v>
      </c>
      <c r="C760" t="s">
        <v>992</v>
      </c>
      <c r="D760" t="s">
        <v>81</v>
      </c>
      <c r="E760" t="s">
        <v>116</v>
      </c>
      <c r="F760">
        <v>1210000</v>
      </c>
      <c r="G760">
        <v>12.1</v>
      </c>
      <c r="H760" t="s">
        <v>27</v>
      </c>
      <c r="I760" t="s">
        <v>28</v>
      </c>
      <c r="J760" s="8">
        <v>46042</v>
      </c>
      <c r="K760" t="s">
        <v>846</v>
      </c>
    </row>
    <row r="761" spans="1:11" x14ac:dyDescent="0.3">
      <c r="A761" t="s">
        <v>1476</v>
      </c>
      <c r="B761" t="s">
        <v>864</v>
      </c>
      <c r="C761" t="s">
        <v>50</v>
      </c>
      <c r="D761" t="s">
        <v>71</v>
      </c>
      <c r="E761" t="s">
        <v>116</v>
      </c>
      <c r="F761">
        <v>1645000</v>
      </c>
      <c r="G761">
        <v>16.45</v>
      </c>
      <c r="H761" t="s">
        <v>27</v>
      </c>
      <c r="I761" t="s">
        <v>845</v>
      </c>
      <c r="J761" s="8">
        <v>46103</v>
      </c>
      <c r="K761" t="s">
        <v>54</v>
      </c>
    </row>
    <row r="762" spans="1:11" x14ac:dyDescent="0.3">
      <c r="A762" t="s">
        <v>1476</v>
      </c>
      <c r="B762" t="s">
        <v>864</v>
      </c>
      <c r="C762" t="s">
        <v>50</v>
      </c>
      <c r="D762" t="s">
        <v>71</v>
      </c>
      <c r="E762" t="s">
        <v>116</v>
      </c>
      <c r="F762">
        <v>1645000</v>
      </c>
      <c r="G762">
        <v>16.45</v>
      </c>
      <c r="H762" t="s">
        <v>27</v>
      </c>
      <c r="I762" t="s">
        <v>845</v>
      </c>
      <c r="J762" s="8">
        <v>46103</v>
      </c>
      <c r="K762" t="s">
        <v>45</v>
      </c>
    </row>
    <row r="763" spans="1:11" x14ac:dyDescent="0.3">
      <c r="A763" t="s">
        <v>1476</v>
      </c>
      <c r="B763" t="s">
        <v>864</v>
      </c>
      <c r="C763" t="s">
        <v>50</v>
      </c>
      <c r="D763" t="s">
        <v>71</v>
      </c>
      <c r="E763" t="s">
        <v>116</v>
      </c>
      <c r="F763">
        <v>1645000</v>
      </c>
      <c r="G763">
        <v>16.45</v>
      </c>
      <c r="H763" t="s">
        <v>27</v>
      </c>
      <c r="I763" t="s">
        <v>845</v>
      </c>
      <c r="J763" s="8">
        <v>46103</v>
      </c>
      <c r="K763" t="s">
        <v>874</v>
      </c>
    </row>
    <row r="764" spans="1:11" x14ac:dyDescent="0.3">
      <c r="A764" t="s">
        <v>1478</v>
      </c>
      <c r="B764" t="s">
        <v>62</v>
      </c>
      <c r="C764" t="s">
        <v>152</v>
      </c>
      <c r="D764" t="s">
        <v>26</v>
      </c>
      <c r="E764" t="s">
        <v>77</v>
      </c>
      <c r="F764">
        <v>3340000</v>
      </c>
      <c r="G764">
        <v>33.4</v>
      </c>
      <c r="H764" t="s">
        <v>17</v>
      </c>
      <c r="I764" t="s">
        <v>28</v>
      </c>
      <c r="J764" s="8">
        <v>46234</v>
      </c>
      <c r="K764" t="s">
        <v>29</v>
      </c>
    </row>
    <row r="765" spans="1:11" x14ac:dyDescent="0.3">
      <c r="A765" t="s">
        <v>1478</v>
      </c>
      <c r="B765" t="s">
        <v>62</v>
      </c>
      <c r="C765" t="s">
        <v>152</v>
      </c>
      <c r="D765" t="s">
        <v>26</v>
      </c>
      <c r="E765" t="s">
        <v>77</v>
      </c>
      <c r="F765">
        <v>3340000</v>
      </c>
      <c r="G765">
        <v>33.4</v>
      </c>
      <c r="H765" t="s">
        <v>17</v>
      </c>
      <c r="I765" t="s">
        <v>28</v>
      </c>
      <c r="J765" s="8">
        <v>46234</v>
      </c>
      <c r="K765" t="s">
        <v>846</v>
      </c>
    </row>
    <row r="766" spans="1:11" x14ac:dyDescent="0.3">
      <c r="A766" t="s">
        <v>1478</v>
      </c>
      <c r="B766" t="s">
        <v>62</v>
      </c>
      <c r="C766" t="s">
        <v>152</v>
      </c>
      <c r="D766" t="s">
        <v>26</v>
      </c>
      <c r="E766" t="s">
        <v>77</v>
      </c>
      <c r="F766">
        <v>3340000</v>
      </c>
      <c r="G766">
        <v>33.4</v>
      </c>
      <c r="H766" t="s">
        <v>17</v>
      </c>
      <c r="I766" t="s">
        <v>28</v>
      </c>
      <c r="J766" s="8">
        <v>46234</v>
      </c>
      <c r="K766" t="s">
        <v>30</v>
      </c>
    </row>
    <row r="767" spans="1:11" x14ac:dyDescent="0.3">
      <c r="A767" t="s">
        <v>1481</v>
      </c>
      <c r="B767" t="s">
        <v>996</v>
      </c>
      <c r="C767" t="s">
        <v>953</v>
      </c>
      <c r="D767" t="s">
        <v>64</v>
      </c>
      <c r="E767" t="s">
        <v>77</v>
      </c>
      <c r="F767">
        <v>2010000</v>
      </c>
      <c r="G767">
        <v>20.100000000000001</v>
      </c>
      <c r="H767" t="s">
        <v>27</v>
      </c>
      <c r="I767" t="s">
        <v>28</v>
      </c>
      <c r="J767" s="8">
        <v>46254</v>
      </c>
      <c r="K767" t="s">
        <v>20</v>
      </c>
    </row>
    <row r="768" spans="1:11" x14ac:dyDescent="0.3">
      <c r="A768" t="s">
        <v>1481</v>
      </c>
      <c r="B768" t="s">
        <v>996</v>
      </c>
      <c r="C768" t="s">
        <v>953</v>
      </c>
      <c r="D768" t="s">
        <v>64</v>
      </c>
      <c r="E768" t="s">
        <v>77</v>
      </c>
      <c r="F768">
        <v>2010000</v>
      </c>
      <c r="G768">
        <v>20.100000000000001</v>
      </c>
      <c r="H768" t="s">
        <v>27</v>
      </c>
      <c r="I768" t="s">
        <v>28</v>
      </c>
      <c r="J768" s="8">
        <v>46254</v>
      </c>
      <c r="K768" t="s">
        <v>39</v>
      </c>
    </row>
    <row r="769" spans="1:11" x14ac:dyDescent="0.3">
      <c r="A769" t="s">
        <v>1481</v>
      </c>
      <c r="B769" t="s">
        <v>996</v>
      </c>
      <c r="C769" t="s">
        <v>953</v>
      </c>
      <c r="D769" t="s">
        <v>64</v>
      </c>
      <c r="E769" t="s">
        <v>77</v>
      </c>
      <c r="F769">
        <v>2010000</v>
      </c>
      <c r="G769">
        <v>20.100000000000001</v>
      </c>
      <c r="H769" t="s">
        <v>27</v>
      </c>
      <c r="I769" t="s">
        <v>28</v>
      </c>
      <c r="J769" s="8">
        <v>46254</v>
      </c>
      <c r="K769" t="s">
        <v>846</v>
      </c>
    </row>
    <row r="770" spans="1:11" x14ac:dyDescent="0.3">
      <c r="A770" t="s">
        <v>1483</v>
      </c>
      <c r="B770" t="s">
        <v>49</v>
      </c>
      <c r="C770" t="s">
        <v>179</v>
      </c>
      <c r="D770" t="s">
        <v>44</v>
      </c>
      <c r="E770" t="s">
        <v>116</v>
      </c>
      <c r="F770">
        <v>1080000</v>
      </c>
      <c r="G770">
        <v>10.8</v>
      </c>
      <c r="H770" t="s">
        <v>27</v>
      </c>
      <c r="I770" t="s">
        <v>845</v>
      </c>
      <c r="J770" s="8">
        <v>46229</v>
      </c>
      <c r="K770" t="s">
        <v>45</v>
      </c>
    </row>
    <row r="771" spans="1:11" x14ac:dyDescent="0.3">
      <c r="A771" t="s">
        <v>1483</v>
      </c>
      <c r="B771" t="s">
        <v>49</v>
      </c>
      <c r="C771" t="s">
        <v>179</v>
      </c>
      <c r="D771" t="s">
        <v>44</v>
      </c>
      <c r="E771" t="s">
        <v>116</v>
      </c>
      <c r="F771">
        <v>1080000</v>
      </c>
      <c r="G771">
        <v>10.8</v>
      </c>
      <c r="H771" t="s">
        <v>27</v>
      </c>
      <c r="I771" t="s">
        <v>845</v>
      </c>
      <c r="J771" s="8">
        <v>46229</v>
      </c>
      <c r="K771" t="s">
        <v>31</v>
      </c>
    </row>
    <row r="772" spans="1:11" x14ac:dyDescent="0.3">
      <c r="A772" t="s">
        <v>1483</v>
      </c>
      <c r="B772" t="s">
        <v>49</v>
      </c>
      <c r="C772" t="s">
        <v>179</v>
      </c>
      <c r="D772" t="s">
        <v>44</v>
      </c>
      <c r="E772" t="s">
        <v>116</v>
      </c>
      <c r="F772">
        <v>1080000</v>
      </c>
      <c r="G772">
        <v>10.8</v>
      </c>
      <c r="H772" t="s">
        <v>27</v>
      </c>
      <c r="I772" t="s">
        <v>845</v>
      </c>
      <c r="J772" s="8">
        <v>46229</v>
      </c>
      <c r="K772" t="s">
        <v>878</v>
      </c>
    </row>
    <row r="773" spans="1:11" x14ac:dyDescent="0.3">
      <c r="A773" t="s">
        <v>1484</v>
      </c>
      <c r="B773" t="s">
        <v>864</v>
      </c>
      <c r="C773" t="s">
        <v>109</v>
      </c>
      <c r="D773" t="s">
        <v>26</v>
      </c>
      <c r="E773" t="s">
        <v>52</v>
      </c>
      <c r="F773">
        <v>400000</v>
      </c>
      <c r="G773">
        <v>4</v>
      </c>
      <c r="H773" t="s">
        <v>53</v>
      </c>
      <c r="I773" t="s">
        <v>845</v>
      </c>
      <c r="J773" s="8">
        <v>46216</v>
      </c>
      <c r="K773" t="s">
        <v>31</v>
      </c>
    </row>
    <row r="774" spans="1:11" x14ac:dyDescent="0.3">
      <c r="A774" t="s">
        <v>1484</v>
      </c>
      <c r="B774" t="s">
        <v>864</v>
      </c>
      <c r="C774" t="s">
        <v>109</v>
      </c>
      <c r="D774" t="s">
        <v>26</v>
      </c>
      <c r="E774" t="s">
        <v>52</v>
      </c>
      <c r="F774">
        <v>400000</v>
      </c>
      <c r="G774">
        <v>4</v>
      </c>
      <c r="H774" t="s">
        <v>53</v>
      </c>
      <c r="I774" t="s">
        <v>845</v>
      </c>
      <c r="J774" s="8">
        <v>46216</v>
      </c>
      <c r="K774" t="s">
        <v>21</v>
      </c>
    </row>
    <row r="775" spans="1:11" x14ac:dyDescent="0.3">
      <c r="A775" t="s">
        <v>1484</v>
      </c>
      <c r="B775" t="s">
        <v>864</v>
      </c>
      <c r="C775" t="s">
        <v>109</v>
      </c>
      <c r="D775" t="s">
        <v>26</v>
      </c>
      <c r="E775" t="s">
        <v>52</v>
      </c>
      <c r="F775">
        <v>400000</v>
      </c>
      <c r="G775">
        <v>4</v>
      </c>
      <c r="H775" t="s">
        <v>53</v>
      </c>
      <c r="I775" t="s">
        <v>845</v>
      </c>
      <c r="J775" s="8">
        <v>46216</v>
      </c>
      <c r="K775" t="s">
        <v>54</v>
      </c>
    </row>
    <row r="776" spans="1:11" x14ac:dyDescent="0.3">
      <c r="A776" t="s">
        <v>1487</v>
      </c>
      <c r="B776" t="s">
        <v>864</v>
      </c>
      <c r="C776" t="s">
        <v>1367</v>
      </c>
      <c r="D776" t="s">
        <v>64</v>
      </c>
      <c r="E776" t="s">
        <v>77</v>
      </c>
      <c r="F776">
        <v>3385000</v>
      </c>
      <c r="G776">
        <v>33.85</v>
      </c>
      <c r="H776" t="s">
        <v>27</v>
      </c>
      <c r="I776" t="s">
        <v>28</v>
      </c>
      <c r="J776" s="8">
        <v>46185</v>
      </c>
      <c r="K776" t="s">
        <v>45</v>
      </c>
    </row>
    <row r="777" spans="1:11" x14ac:dyDescent="0.3">
      <c r="A777" t="s">
        <v>1487</v>
      </c>
      <c r="B777" t="s">
        <v>864</v>
      </c>
      <c r="C777" t="s">
        <v>1367</v>
      </c>
      <c r="D777" t="s">
        <v>64</v>
      </c>
      <c r="E777" t="s">
        <v>77</v>
      </c>
      <c r="F777">
        <v>3385000</v>
      </c>
      <c r="G777">
        <v>33.85</v>
      </c>
      <c r="H777" t="s">
        <v>27</v>
      </c>
      <c r="I777" t="s">
        <v>28</v>
      </c>
      <c r="J777" s="8">
        <v>46185</v>
      </c>
      <c r="K777" t="s">
        <v>21</v>
      </c>
    </row>
    <row r="778" spans="1:11" x14ac:dyDescent="0.3">
      <c r="A778" t="s">
        <v>1487</v>
      </c>
      <c r="B778" t="s">
        <v>864</v>
      </c>
      <c r="C778" t="s">
        <v>1367</v>
      </c>
      <c r="D778" t="s">
        <v>64</v>
      </c>
      <c r="E778" t="s">
        <v>77</v>
      </c>
      <c r="F778">
        <v>3385000</v>
      </c>
      <c r="G778">
        <v>33.85</v>
      </c>
      <c r="H778" t="s">
        <v>27</v>
      </c>
      <c r="I778" t="s">
        <v>28</v>
      </c>
      <c r="J778" s="8">
        <v>46185</v>
      </c>
      <c r="K778" t="s">
        <v>31</v>
      </c>
    </row>
    <row r="779" spans="1:11" x14ac:dyDescent="0.3">
      <c r="A779" t="s">
        <v>1489</v>
      </c>
      <c r="B779" t="s">
        <v>864</v>
      </c>
      <c r="C779" t="s">
        <v>548</v>
      </c>
      <c r="D779" t="s">
        <v>36</v>
      </c>
      <c r="E779" t="s">
        <v>116</v>
      </c>
      <c r="F779">
        <v>1700000</v>
      </c>
      <c r="G779">
        <v>17</v>
      </c>
      <c r="H779" t="s">
        <v>27</v>
      </c>
      <c r="I779" t="s">
        <v>28</v>
      </c>
      <c r="J779" s="8">
        <v>46112</v>
      </c>
      <c r="K779" t="s">
        <v>31</v>
      </c>
    </row>
    <row r="780" spans="1:11" x14ac:dyDescent="0.3">
      <c r="A780" t="s">
        <v>1489</v>
      </c>
      <c r="B780" t="s">
        <v>864</v>
      </c>
      <c r="C780" t="s">
        <v>548</v>
      </c>
      <c r="D780" t="s">
        <v>36</v>
      </c>
      <c r="E780" t="s">
        <v>116</v>
      </c>
      <c r="F780">
        <v>1700000</v>
      </c>
      <c r="G780">
        <v>17</v>
      </c>
      <c r="H780" t="s">
        <v>27</v>
      </c>
      <c r="I780" t="s">
        <v>28</v>
      </c>
      <c r="J780" s="8">
        <v>46112</v>
      </c>
      <c r="K780" t="s">
        <v>54</v>
      </c>
    </row>
    <row r="781" spans="1:11" x14ac:dyDescent="0.3">
      <c r="A781" t="s">
        <v>1489</v>
      </c>
      <c r="B781" t="s">
        <v>864</v>
      </c>
      <c r="C781" t="s">
        <v>548</v>
      </c>
      <c r="D781" t="s">
        <v>36</v>
      </c>
      <c r="E781" t="s">
        <v>116</v>
      </c>
      <c r="F781">
        <v>1700000</v>
      </c>
      <c r="G781">
        <v>17</v>
      </c>
      <c r="H781" t="s">
        <v>27</v>
      </c>
      <c r="I781" t="s">
        <v>28</v>
      </c>
      <c r="J781" s="8">
        <v>46112</v>
      </c>
      <c r="K781" t="s">
        <v>20</v>
      </c>
    </row>
    <row r="782" spans="1:11" x14ac:dyDescent="0.3">
      <c r="A782" t="s">
        <v>1491</v>
      </c>
      <c r="B782" t="s">
        <v>24</v>
      </c>
      <c r="C782" t="s">
        <v>191</v>
      </c>
      <c r="D782" t="s">
        <v>15</v>
      </c>
      <c r="E782" t="s">
        <v>16</v>
      </c>
      <c r="F782">
        <v>645000</v>
      </c>
      <c r="G782">
        <v>6.45</v>
      </c>
      <c r="H782" t="s">
        <v>27</v>
      </c>
      <c r="I782" t="s">
        <v>59</v>
      </c>
      <c r="J782" s="8">
        <v>46219</v>
      </c>
      <c r="K782" t="s">
        <v>20</v>
      </c>
    </row>
    <row r="783" spans="1:11" x14ac:dyDescent="0.3">
      <c r="A783" t="s">
        <v>1491</v>
      </c>
      <c r="B783" t="s">
        <v>24</v>
      </c>
      <c r="C783" t="s">
        <v>191</v>
      </c>
      <c r="D783" t="s">
        <v>15</v>
      </c>
      <c r="E783" t="s">
        <v>16</v>
      </c>
      <c r="F783">
        <v>645000</v>
      </c>
      <c r="G783">
        <v>6.45</v>
      </c>
      <c r="H783" t="s">
        <v>27</v>
      </c>
      <c r="I783" t="s">
        <v>59</v>
      </c>
      <c r="J783" s="8">
        <v>46219</v>
      </c>
      <c r="K783" t="s">
        <v>45</v>
      </c>
    </row>
    <row r="784" spans="1:11" x14ac:dyDescent="0.3">
      <c r="A784" t="s">
        <v>1491</v>
      </c>
      <c r="B784" t="s">
        <v>24</v>
      </c>
      <c r="C784" t="s">
        <v>191</v>
      </c>
      <c r="D784" t="s">
        <v>15</v>
      </c>
      <c r="E784" t="s">
        <v>16</v>
      </c>
      <c r="F784">
        <v>645000</v>
      </c>
      <c r="G784">
        <v>6.45</v>
      </c>
      <c r="H784" t="s">
        <v>27</v>
      </c>
      <c r="I784" t="s">
        <v>59</v>
      </c>
      <c r="J784" s="8">
        <v>46219</v>
      </c>
      <c r="K784" t="s">
        <v>54</v>
      </c>
    </row>
    <row r="785" spans="1:11" x14ac:dyDescent="0.3">
      <c r="A785" t="s">
        <v>1494</v>
      </c>
      <c r="B785" t="s">
        <v>24</v>
      </c>
      <c r="C785" t="s">
        <v>109</v>
      </c>
      <c r="D785" t="s">
        <v>71</v>
      </c>
      <c r="E785" t="s">
        <v>37</v>
      </c>
      <c r="F785">
        <v>1630000</v>
      </c>
      <c r="G785">
        <v>16.3</v>
      </c>
      <c r="H785" t="s">
        <v>27</v>
      </c>
      <c r="I785" t="s">
        <v>59</v>
      </c>
      <c r="J785" s="8">
        <v>46196</v>
      </c>
      <c r="K785" t="s">
        <v>29</v>
      </c>
    </row>
    <row r="786" spans="1:11" x14ac:dyDescent="0.3">
      <c r="A786" t="s">
        <v>1494</v>
      </c>
      <c r="B786" t="s">
        <v>24</v>
      </c>
      <c r="C786" t="s">
        <v>109</v>
      </c>
      <c r="D786" t="s">
        <v>71</v>
      </c>
      <c r="E786" t="s">
        <v>37</v>
      </c>
      <c r="F786">
        <v>1630000</v>
      </c>
      <c r="G786">
        <v>16.3</v>
      </c>
      <c r="H786" t="s">
        <v>27</v>
      </c>
      <c r="I786" t="s">
        <v>59</v>
      </c>
      <c r="J786" s="8">
        <v>46196</v>
      </c>
      <c r="K786" t="s">
        <v>937</v>
      </c>
    </row>
    <row r="787" spans="1:11" x14ac:dyDescent="0.3">
      <c r="A787" t="s">
        <v>1494</v>
      </c>
      <c r="B787" t="s">
        <v>24</v>
      </c>
      <c r="C787" t="s">
        <v>109</v>
      </c>
      <c r="D787" t="s">
        <v>71</v>
      </c>
      <c r="E787" t="s">
        <v>37</v>
      </c>
      <c r="F787">
        <v>1630000</v>
      </c>
      <c r="G787">
        <v>16.3</v>
      </c>
      <c r="H787" t="s">
        <v>27</v>
      </c>
      <c r="I787" t="s">
        <v>59</v>
      </c>
      <c r="J787" s="8">
        <v>46196</v>
      </c>
      <c r="K787" t="s">
        <v>31</v>
      </c>
    </row>
    <row r="788" spans="1:11" x14ac:dyDescent="0.3">
      <c r="A788" t="s">
        <v>1496</v>
      </c>
      <c r="B788" t="s">
        <v>75</v>
      </c>
      <c r="C788" t="s">
        <v>999</v>
      </c>
      <c r="D788" t="s">
        <v>96</v>
      </c>
      <c r="E788" t="s">
        <v>37</v>
      </c>
      <c r="F788">
        <v>2090000</v>
      </c>
      <c r="G788">
        <v>20.9</v>
      </c>
      <c r="H788" t="s">
        <v>27</v>
      </c>
      <c r="I788" t="s">
        <v>28</v>
      </c>
      <c r="J788" s="8">
        <v>46139</v>
      </c>
      <c r="K788" t="s">
        <v>21</v>
      </c>
    </row>
    <row r="789" spans="1:11" x14ac:dyDescent="0.3">
      <c r="A789" t="s">
        <v>1496</v>
      </c>
      <c r="B789" t="s">
        <v>75</v>
      </c>
      <c r="C789" t="s">
        <v>999</v>
      </c>
      <c r="D789" t="s">
        <v>96</v>
      </c>
      <c r="E789" t="s">
        <v>37</v>
      </c>
      <c r="F789">
        <v>2090000</v>
      </c>
      <c r="G789">
        <v>20.9</v>
      </c>
      <c r="H789" t="s">
        <v>27</v>
      </c>
      <c r="I789" t="s">
        <v>28</v>
      </c>
      <c r="J789" s="8">
        <v>46139</v>
      </c>
      <c r="K789" t="s">
        <v>878</v>
      </c>
    </row>
    <row r="790" spans="1:11" x14ac:dyDescent="0.3">
      <c r="A790" t="s">
        <v>1496</v>
      </c>
      <c r="B790" t="s">
        <v>75</v>
      </c>
      <c r="C790" t="s">
        <v>999</v>
      </c>
      <c r="D790" t="s">
        <v>96</v>
      </c>
      <c r="E790" t="s">
        <v>37</v>
      </c>
      <c r="F790">
        <v>2090000</v>
      </c>
      <c r="G790">
        <v>20.9</v>
      </c>
      <c r="H790" t="s">
        <v>27</v>
      </c>
      <c r="I790" t="s">
        <v>28</v>
      </c>
      <c r="J790" s="8">
        <v>46139</v>
      </c>
      <c r="K790" t="s">
        <v>39</v>
      </c>
    </row>
    <row r="791" spans="1:11" x14ac:dyDescent="0.3">
      <c r="A791" t="s">
        <v>1499</v>
      </c>
      <c r="B791" t="s">
        <v>75</v>
      </c>
      <c r="C791" t="s">
        <v>109</v>
      </c>
      <c r="D791" t="s">
        <v>36</v>
      </c>
      <c r="E791" t="s">
        <v>116</v>
      </c>
      <c r="F791">
        <v>900000</v>
      </c>
      <c r="G791">
        <v>9</v>
      </c>
      <c r="H791" t="s">
        <v>27</v>
      </c>
      <c r="I791" t="s">
        <v>28</v>
      </c>
      <c r="J791" s="8">
        <v>46253</v>
      </c>
      <c r="K791" t="s">
        <v>30</v>
      </c>
    </row>
    <row r="792" spans="1:11" x14ac:dyDescent="0.3">
      <c r="A792" t="s">
        <v>1499</v>
      </c>
      <c r="B792" t="s">
        <v>75</v>
      </c>
      <c r="C792" t="s">
        <v>109</v>
      </c>
      <c r="D792" t="s">
        <v>36</v>
      </c>
      <c r="E792" t="s">
        <v>116</v>
      </c>
      <c r="F792">
        <v>900000</v>
      </c>
      <c r="G792">
        <v>9</v>
      </c>
      <c r="H792" t="s">
        <v>27</v>
      </c>
      <c r="I792" t="s">
        <v>28</v>
      </c>
      <c r="J792" s="8">
        <v>46253</v>
      </c>
      <c r="K792" t="s">
        <v>46</v>
      </c>
    </row>
    <row r="793" spans="1:11" x14ac:dyDescent="0.3">
      <c r="A793" t="s">
        <v>1499</v>
      </c>
      <c r="B793" t="s">
        <v>75</v>
      </c>
      <c r="C793" t="s">
        <v>109</v>
      </c>
      <c r="D793" t="s">
        <v>36</v>
      </c>
      <c r="E793" t="s">
        <v>116</v>
      </c>
      <c r="F793">
        <v>900000</v>
      </c>
      <c r="G793">
        <v>9</v>
      </c>
      <c r="H793" t="s">
        <v>27</v>
      </c>
      <c r="I793" t="s">
        <v>28</v>
      </c>
      <c r="J793" s="8">
        <v>46253</v>
      </c>
      <c r="K793" t="s">
        <v>39</v>
      </c>
    </row>
    <row r="794" spans="1:11" x14ac:dyDescent="0.3">
      <c r="A794" t="s">
        <v>1501</v>
      </c>
      <c r="B794" t="s">
        <v>864</v>
      </c>
      <c r="C794" t="s">
        <v>305</v>
      </c>
      <c r="D794" t="s">
        <v>64</v>
      </c>
      <c r="E794" t="s">
        <v>77</v>
      </c>
      <c r="F794">
        <v>1600000</v>
      </c>
      <c r="G794">
        <v>16</v>
      </c>
      <c r="H794" t="s">
        <v>27</v>
      </c>
      <c r="I794" t="s">
        <v>28</v>
      </c>
      <c r="J794" s="8">
        <v>46139</v>
      </c>
      <c r="K794" t="s">
        <v>21</v>
      </c>
    </row>
    <row r="795" spans="1:11" x14ac:dyDescent="0.3">
      <c r="A795" t="s">
        <v>1501</v>
      </c>
      <c r="B795" t="s">
        <v>864</v>
      </c>
      <c r="C795" t="s">
        <v>305</v>
      </c>
      <c r="D795" t="s">
        <v>64</v>
      </c>
      <c r="E795" t="s">
        <v>77</v>
      </c>
      <c r="F795">
        <v>1600000</v>
      </c>
      <c r="G795">
        <v>16</v>
      </c>
      <c r="H795" t="s">
        <v>27</v>
      </c>
      <c r="I795" t="s">
        <v>28</v>
      </c>
      <c r="J795" s="8">
        <v>46139</v>
      </c>
      <c r="K795" t="s">
        <v>45</v>
      </c>
    </row>
    <row r="796" spans="1:11" x14ac:dyDescent="0.3">
      <c r="A796" t="s">
        <v>1501</v>
      </c>
      <c r="B796" t="s">
        <v>864</v>
      </c>
      <c r="C796" t="s">
        <v>305</v>
      </c>
      <c r="D796" t="s">
        <v>64</v>
      </c>
      <c r="E796" t="s">
        <v>77</v>
      </c>
      <c r="F796">
        <v>1600000</v>
      </c>
      <c r="G796">
        <v>16</v>
      </c>
      <c r="H796" t="s">
        <v>27</v>
      </c>
      <c r="I796" t="s">
        <v>28</v>
      </c>
      <c r="J796" s="8">
        <v>46139</v>
      </c>
      <c r="K796" t="s">
        <v>937</v>
      </c>
    </row>
    <row r="797" spans="1:11" x14ac:dyDescent="0.3">
      <c r="A797" t="s">
        <v>1503</v>
      </c>
      <c r="B797" t="s">
        <v>24</v>
      </c>
      <c r="C797" t="s">
        <v>205</v>
      </c>
      <c r="D797" t="s">
        <v>26</v>
      </c>
      <c r="E797" t="s">
        <v>52</v>
      </c>
      <c r="F797">
        <v>495000</v>
      </c>
      <c r="G797">
        <v>4.95</v>
      </c>
      <c r="H797" t="s">
        <v>53</v>
      </c>
      <c r="I797" t="s">
        <v>28</v>
      </c>
      <c r="J797" s="8">
        <v>46074</v>
      </c>
      <c r="K797" t="s">
        <v>854</v>
      </c>
    </row>
    <row r="798" spans="1:11" x14ac:dyDescent="0.3">
      <c r="A798" t="s">
        <v>1503</v>
      </c>
      <c r="B798" t="s">
        <v>24</v>
      </c>
      <c r="C798" t="s">
        <v>205</v>
      </c>
      <c r="D798" t="s">
        <v>26</v>
      </c>
      <c r="E798" t="s">
        <v>52</v>
      </c>
      <c r="F798">
        <v>495000</v>
      </c>
      <c r="G798">
        <v>4.95</v>
      </c>
      <c r="H798" t="s">
        <v>53</v>
      </c>
      <c r="I798" t="s">
        <v>28</v>
      </c>
      <c r="J798" s="8">
        <v>46074</v>
      </c>
      <c r="K798" t="s">
        <v>908</v>
      </c>
    </row>
    <row r="799" spans="1:11" x14ac:dyDescent="0.3">
      <c r="A799" t="s">
        <v>1503</v>
      </c>
      <c r="B799" t="s">
        <v>24</v>
      </c>
      <c r="C799" t="s">
        <v>205</v>
      </c>
      <c r="D799" t="s">
        <v>26</v>
      </c>
      <c r="E799" t="s">
        <v>52</v>
      </c>
      <c r="F799">
        <v>495000</v>
      </c>
      <c r="G799">
        <v>4.95</v>
      </c>
      <c r="H799" t="s">
        <v>53</v>
      </c>
      <c r="I799" t="s">
        <v>28</v>
      </c>
      <c r="J799" s="8">
        <v>46074</v>
      </c>
      <c r="K799" t="s">
        <v>874</v>
      </c>
    </row>
    <row r="800" spans="1:11" x14ac:dyDescent="0.3">
      <c r="A800" t="s">
        <v>1505</v>
      </c>
      <c r="B800" t="s">
        <v>852</v>
      </c>
      <c r="C800" t="s">
        <v>389</v>
      </c>
      <c r="D800" t="s">
        <v>76</v>
      </c>
      <c r="E800" t="s">
        <v>116</v>
      </c>
      <c r="F800">
        <v>960000</v>
      </c>
      <c r="G800">
        <v>9.6</v>
      </c>
      <c r="H800" t="s">
        <v>27</v>
      </c>
      <c r="I800" t="s">
        <v>28</v>
      </c>
      <c r="J800" s="8">
        <v>46216</v>
      </c>
      <c r="K800" t="s">
        <v>908</v>
      </c>
    </row>
    <row r="801" spans="1:11" x14ac:dyDescent="0.3">
      <c r="A801" t="s">
        <v>1505</v>
      </c>
      <c r="B801" t="s">
        <v>852</v>
      </c>
      <c r="C801" t="s">
        <v>389</v>
      </c>
      <c r="D801" t="s">
        <v>76</v>
      </c>
      <c r="E801" t="s">
        <v>116</v>
      </c>
      <c r="F801">
        <v>960000</v>
      </c>
      <c r="G801">
        <v>9.6</v>
      </c>
      <c r="H801" t="s">
        <v>27</v>
      </c>
      <c r="I801" t="s">
        <v>28</v>
      </c>
      <c r="J801" s="8">
        <v>46216</v>
      </c>
      <c r="K801" t="s">
        <v>30</v>
      </c>
    </row>
    <row r="802" spans="1:11" x14ac:dyDescent="0.3">
      <c r="A802" t="s">
        <v>1505</v>
      </c>
      <c r="B802" t="s">
        <v>852</v>
      </c>
      <c r="C802" t="s">
        <v>389</v>
      </c>
      <c r="D802" t="s">
        <v>76</v>
      </c>
      <c r="E802" t="s">
        <v>116</v>
      </c>
      <c r="F802">
        <v>960000</v>
      </c>
      <c r="G802">
        <v>9.6</v>
      </c>
      <c r="H802" t="s">
        <v>27</v>
      </c>
      <c r="I802" t="s">
        <v>28</v>
      </c>
      <c r="J802" s="8">
        <v>46216</v>
      </c>
      <c r="K802" t="s">
        <v>39</v>
      </c>
    </row>
    <row r="803" spans="1:11" x14ac:dyDescent="0.3">
      <c r="A803" t="s">
        <v>1506</v>
      </c>
      <c r="B803" t="s">
        <v>62</v>
      </c>
      <c r="C803" t="s">
        <v>63</v>
      </c>
      <c r="D803" t="s">
        <v>81</v>
      </c>
      <c r="E803" t="s">
        <v>116</v>
      </c>
      <c r="F803">
        <v>965000</v>
      </c>
      <c r="G803">
        <v>9.65</v>
      </c>
      <c r="H803" t="s">
        <v>27</v>
      </c>
      <c r="I803" t="s">
        <v>28</v>
      </c>
      <c r="J803" s="8">
        <v>46050</v>
      </c>
      <c r="K803" t="s">
        <v>30</v>
      </c>
    </row>
    <row r="804" spans="1:11" x14ac:dyDescent="0.3">
      <c r="A804" t="s">
        <v>1506</v>
      </c>
      <c r="B804" t="s">
        <v>62</v>
      </c>
      <c r="C804" t="s">
        <v>63</v>
      </c>
      <c r="D804" t="s">
        <v>81</v>
      </c>
      <c r="E804" t="s">
        <v>116</v>
      </c>
      <c r="F804">
        <v>965000</v>
      </c>
      <c r="G804">
        <v>9.65</v>
      </c>
      <c r="H804" t="s">
        <v>27</v>
      </c>
      <c r="I804" t="s">
        <v>28</v>
      </c>
      <c r="J804" s="8">
        <v>46050</v>
      </c>
      <c r="K804" t="s">
        <v>39</v>
      </c>
    </row>
    <row r="805" spans="1:11" x14ac:dyDescent="0.3">
      <c r="A805" t="s">
        <v>1506</v>
      </c>
      <c r="B805" t="s">
        <v>62</v>
      </c>
      <c r="C805" t="s">
        <v>63</v>
      </c>
      <c r="D805" t="s">
        <v>81</v>
      </c>
      <c r="E805" t="s">
        <v>116</v>
      </c>
      <c r="F805">
        <v>965000</v>
      </c>
      <c r="G805">
        <v>9.65</v>
      </c>
      <c r="H805" t="s">
        <v>27</v>
      </c>
      <c r="I805" t="s">
        <v>28</v>
      </c>
      <c r="J805" s="8">
        <v>46050</v>
      </c>
      <c r="K805" t="s">
        <v>20</v>
      </c>
    </row>
    <row r="806" spans="1:11" x14ac:dyDescent="0.3">
      <c r="A806" t="s">
        <v>1509</v>
      </c>
      <c r="B806" t="s">
        <v>960</v>
      </c>
      <c r="C806" t="s">
        <v>283</v>
      </c>
      <c r="D806" t="s">
        <v>64</v>
      </c>
      <c r="E806" t="s">
        <v>52</v>
      </c>
      <c r="F806">
        <v>690000</v>
      </c>
      <c r="G806">
        <v>6.9</v>
      </c>
      <c r="H806" t="s">
        <v>27</v>
      </c>
      <c r="I806" t="s">
        <v>28</v>
      </c>
      <c r="J806" s="8">
        <v>46138</v>
      </c>
      <c r="K806" t="s">
        <v>846</v>
      </c>
    </row>
    <row r="807" spans="1:11" x14ac:dyDescent="0.3">
      <c r="A807" t="s">
        <v>1509</v>
      </c>
      <c r="B807" t="s">
        <v>960</v>
      </c>
      <c r="C807" t="s">
        <v>283</v>
      </c>
      <c r="D807" t="s">
        <v>64</v>
      </c>
      <c r="E807" t="s">
        <v>52</v>
      </c>
      <c r="F807">
        <v>690000</v>
      </c>
      <c r="G807">
        <v>6.9</v>
      </c>
      <c r="H807" t="s">
        <v>27</v>
      </c>
      <c r="I807" t="s">
        <v>28</v>
      </c>
      <c r="J807" s="8">
        <v>46138</v>
      </c>
      <c r="K807" t="s">
        <v>937</v>
      </c>
    </row>
    <row r="808" spans="1:11" x14ac:dyDescent="0.3">
      <c r="A808" t="s">
        <v>1509</v>
      </c>
      <c r="B808" t="s">
        <v>960</v>
      </c>
      <c r="C808" t="s">
        <v>283</v>
      </c>
      <c r="D808" t="s">
        <v>64</v>
      </c>
      <c r="E808" t="s">
        <v>52</v>
      </c>
      <c r="F808">
        <v>690000</v>
      </c>
      <c r="G808">
        <v>6.9</v>
      </c>
      <c r="H808" t="s">
        <v>27</v>
      </c>
      <c r="I808" t="s">
        <v>28</v>
      </c>
      <c r="J808" s="8">
        <v>46138</v>
      </c>
      <c r="K808" t="s">
        <v>46</v>
      </c>
    </row>
    <row r="809" spans="1:11" x14ac:dyDescent="0.3">
      <c r="A809" t="s">
        <v>1510</v>
      </c>
      <c r="B809" t="s">
        <v>62</v>
      </c>
      <c r="C809" t="s">
        <v>1278</v>
      </c>
      <c r="D809" t="s">
        <v>96</v>
      </c>
      <c r="E809" t="s">
        <v>16</v>
      </c>
      <c r="F809">
        <v>1050000</v>
      </c>
      <c r="G809">
        <v>10.5</v>
      </c>
      <c r="H809" t="s">
        <v>27</v>
      </c>
      <c r="I809" t="s">
        <v>59</v>
      </c>
      <c r="J809" s="8">
        <v>46246</v>
      </c>
      <c r="K809" t="s">
        <v>30</v>
      </c>
    </row>
    <row r="810" spans="1:11" x14ac:dyDescent="0.3">
      <c r="A810" t="s">
        <v>1510</v>
      </c>
      <c r="B810" t="s">
        <v>62</v>
      </c>
      <c r="C810" t="s">
        <v>1278</v>
      </c>
      <c r="D810" t="s">
        <v>96</v>
      </c>
      <c r="E810" t="s">
        <v>16</v>
      </c>
      <c r="F810">
        <v>1050000</v>
      </c>
      <c r="G810">
        <v>10.5</v>
      </c>
      <c r="H810" t="s">
        <v>27</v>
      </c>
      <c r="I810" t="s">
        <v>59</v>
      </c>
      <c r="J810" s="8">
        <v>46246</v>
      </c>
      <c r="K810" t="s">
        <v>20</v>
      </c>
    </row>
    <row r="811" spans="1:11" x14ac:dyDescent="0.3">
      <c r="A811" t="s">
        <v>1510</v>
      </c>
      <c r="B811" t="s">
        <v>62</v>
      </c>
      <c r="C811" t="s">
        <v>1278</v>
      </c>
      <c r="D811" t="s">
        <v>96</v>
      </c>
      <c r="E811" t="s">
        <v>16</v>
      </c>
      <c r="F811">
        <v>1050000</v>
      </c>
      <c r="G811">
        <v>10.5</v>
      </c>
      <c r="H811" t="s">
        <v>27</v>
      </c>
      <c r="I811" t="s">
        <v>59</v>
      </c>
      <c r="J811" s="8">
        <v>46246</v>
      </c>
      <c r="K811" t="s">
        <v>878</v>
      </c>
    </row>
    <row r="812" spans="1:11" x14ac:dyDescent="0.3">
      <c r="A812" t="s">
        <v>1512</v>
      </c>
      <c r="B812" t="s">
        <v>24</v>
      </c>
      <c r="C812" t="s">
        <v>283</v>
      </c>
      <c r="D812" t="s">
        <v>36</v>
      </c>
      <c r="E812" t="s">
        <v>116</v>
      </c>
      <c r="F812">
        <v>815000</v>
      </c>
      <c r="G812">
        <v>8.15</v>
      </c>
      <c r="H812" t="s">
        <v>27</v>
      </c>
      <c r="I812" t="s">
        <v>28</v>
      </c>
      <c r="J812" s="8">
        <v>46264</v>
      </c>
      <c r="K812" t="s">
        <v>937</v>
      </c>
    </row>
    <row r="813" spans="1:11" x14ac:dyDescent="0.3">
      <c r="A813" t="s">
        <v>1512</v>
      </c>
      <c r="B813" t="s">
        <v>24</v>
      </c>
      <c r="C813" t="s">
        <v>283</v>
      </c>
      <c r="D813" t="s">
        <v>36</v>
      </c>
      <c r="E813" t="s">
        <v>116</v>
      </c>
      <c r="F813">
        <v>815000</v>
      </c>
      <c r="G813">
        <v>8.15</v>
      </c>
      <c r="H813" t="s">
        <v>27</v>
      </c>
      <c r="I813" t="s">
        <v>28</v>
      </c>
      <c r="J813" s="8">
        <v>46264</v>
      </c>
      <c r="K813" t="s">
        <v>54</v>
      </c>
    </row>
    <row r="814" spans="1:11" x14ac:dyDescent="0.3">
      <c r="A814" t="s">
        <v>1512</v>
      </c>
      <c r="B814" t="s">
        <v>24</v>
      </c>
      <c r="C814" t="s">
        <v>283</v>
      </c>
      <c r="D814" t="s">
        <v>36</v>
      </c>
      <c r="E814" t="s">
        <v>116</v>
      </c>
      <c r="F814">
        <v>815000</v>
      </c>
      <c r="G814">
        <v>8.15</v>
      </c>
      <c r="H814" t="s">
        <v>27</v>
      </c>
      <c r="I814" t="s">
        <v>28</v>
      </c>
      <c r="J814" s="8">
        <v>46264</v>
      </c>
      <c r="K814" t="s">
        <v>45</v>
      </c>
    </row>
    <row r="815" spans="1:11" x14ac:dyDescent="0.3">
      <c r="A815" t="s">
        <v>1515</v>
      </c>
      <c r="B815" t="s">
        <v>960</v>
      </c>
      <c r="C815" t="s">
        <v>260</v>
      </c>
      <c r="D815" t="s">
        <v>76</v>
      </c>
      <c r="E815" t="s">
        <v>37</v>
      </c>
      <c r="F815">
        <v>1095000</v>
      </c>
      <c r="G815">
        <v>10.95</v>
      </c>
      <c r="H815" t="s">
        <v>27</v>
      </c>
      <c r="I815" t="s">
        <v>845</v>
      </c>
      <c r="J815" s="8">
        <v>46101</v>
      </c>
      <c r="K815" t="s">
        <v>937</v>
      </c>
    </row>
    <row r="816" spans="1:11" x14ac:dyDescent="0.3">
      <c r="A816" t="s">
        <v>1515</v>
      </c>
      <c r="B816" t="s">
        <v>960</v>
      </c>
      <c r="C816" t="s">
        <v>260</v>
      </c>
      <c r="D816" t="s">
        <v>76</v>
      </c>
      <c r="E816" t="s">
        <v>37</v>
      </c>
      <c r="F816">
        <v>1095000</v>
      </c>
      <c r="G816">
        <v>10.95</v>
      </c>
      <c r="H816" t="s">
        <v>27</v>
      </c>
      <c r="I816" t="s">
        <v>845</v>
      </c>
      <c r="J816" s="8">
        <v>46101</v>
      </c>
      <c r="K816" t="s">
        <v>878</v>
      </c>
    </row>
    <row r="817" spans="1:11" x14ac:dyDescent="0.3">
      <c r="A817" t="s">
        <v>1515</v>
      </c>
      <c r="B817" t="s">
        <v>960</v>
      </c>
      <c r="C817" t="s">
        <v>260</v>
      </c>
      <c r="D817" t="s">
        <v>76</v>
      </c>
      <c r="E817" t="s">
        <v>37</v>
      </c>
      <c r="F817">
        <v>1095000</v>
      </c>
      <c r="G817">
        <v>10.95</v>
      </c>
      <c r="H817" t="s">
        <v>27</v>
      </c>
      <c r="I817" t="s">
        <v>845</v>
      </c>
      <c r="J817" s="8">
        <v>46101</v>
      </c>
      <c r="K817" t="s">
        <v>874</v>
      </c>
    </row>
    <row r="818" spans="1:11" x14ac:dyDescent="0.3">
      <c r="A818" t="s">
        <v>1516</v>
      </c>
      <c r="B818" t="s">
        <v>49</v>
      </c>
      <c r="C818" t="s">
        <v>50</v>
      </c>
      <c r="D818" t="s">
        <v>64</v>
      </c>
      <c r="E818" t="s">
        <v>116</v>
      </c>
      <c r="F818">
        <v>1570000</v>
      </c>
      <c r="G818">
        <v>15.7</v>
      </c>
      <c r="H818" t="s">
        <v>27</v>
      </c>
      <c r="I818" t="s">
        <v>28</v>
      </c>
      <c r="J818" s="8">
        <v>46152</v>
      </c>
      <c r="K818" t="s">
        <v>878</v>
      </c>
    </row>
    <row r="819" spans="1:11" x14ac:dyDescent="0.3">
      <c r="A819" t="s">
        <v>1516</v>
      </c>
      <c r="B819" t="s">
        <v>49</v>
      </c>
      <c r="C819" t="s">
        <v>50</v>
      </c>
      <c r="D819" t="s">
        <v>64</v>
      </c>
      <c r="E819" t="s">
        <v>116</v>
      </c>
      <c r="F819">
        <v>1570000</v>
      </c>
      <c r="G819">
        <v>15.7</v>
      </c>
      <c r="H819" t="s">
        <v>27</v>
      </c>
      <c r="I819" t="s">
        <v>28</v>
      </c>
      <c r="J819" s="8">
        <v>46152</v>
      </c>
      <c r="K819" t="s">
        <v>31</v>
      </c>
    </row>
    <row r="820" spans="1:11" x14ac:dyDescent="0.3">
      <c r="A820" t="s">
        <v>1516</v>
      </c>
      <c r="B820" t="s">
        <v>49</v>
      </c>
      <c r="C820" t="s">
        <v>50</v>
      </c>
      <c r="D820" t="s">
        <v>64</v>
      </c>
      <c r="E820" t="s">
        <v>116</v>
      </c>
      <c r="F820">
        <v>1570000</v>
      </c>
      <c r="G820">
        <v>15.7</v>
      </c>
      <c r="H820" t="s">
        <v>27</v>
      </c>
      <c r="I820" t="s">
        <v>28</v>
      </c>
      <c r="J820" s="8">
        <v>46152</v>
      </c>
      <c r="K820" t="s">
        <v>846</v>
      </c>
    </row>
    <row r="821" spans="1:11" x14ac:dyDescent="0.3">
      <c r="A821" t="s">
        <v>1518</v>
      </c>
      <c r="B821" t="s">
        <v>42</v>
      </c>
      <c r="C821" t="s">
        <v>87</v>
      </c>
      <c r="D821" t="s">
        <v>96</v>
      </c>
      <c r="E821" t="s">
        <v>16</v>
      </c>
      <c r="F821">
        <v>775000</v>
      </c>
      <c r="G821">
        <v>7.75</v>
      </c>
      <c r="H821" t="s">
        <v>27</v>
      </c>
      <c r="I821" t="s">
        <v>28</v>
      </c>
      <c r="J821" s="8">
        <v>46102</v>
      </c>
      <c r="K821" t="s">
        <v>20</v>
      </c>
    </row>
    <row r="822" spans="1:11" x14ac:dyDescent="0.3">
      <c r="A822" t="s">
        <v>1518</v>
      </c>
      <c r="B822" t="s">
        <v>42</v>
      </c>
      <c r="C822" t="s">
        <v>87</v>
      </c>
      <c r="D822" t="s">
        <v>96</v>
      </c>
      <c r="E822" t="s">
        <v>16</v>
      </c>
      <c r="F822">
        <v>775000</v>
      </c>
      <c r="G822">
        <v>7.75</v>
      </c>
      <c r="H822" t="s">
        <v>27</v>
      </c>
      <c r="I822" t="s">
        <v>28</v>
      </c>
      <c r="J822" s="8">
        <v>46102</v>
      </c>
      <c r="K822" t="s">
        <v>854</v>
      </c>
    </row>
    <row r="823" spans="1:11" x14ac:dyDescent="0.3">
      <c r="A823" t="s">
        <v>1518</v>
      </c>
      <c r="B823" t="s">
        <v>42</v>
      </c>
      <c r="C823" t="s">
        <v>87</v>
      </c>
      <c r="D823" t="s">
        <v>96</v>
      </c>
      <c r="E823" t="s">
        <v>16</v>
      </c>
      <c r="F823">
        <v>775000</v>
      </c>
      <c r="G823">
        <v>7.75</v>
      </c>
      <c r="H823" t="s">
        <v>27</v>
      </c>
      <c r="I823" t="s">
        <v>28</v>
      </c>
      <c r="J823" s="8">
        <v>46102</v>
      </c>
      <c r="K823" t="s">
        <v>39</v>
      </c>
    </row>
    <row r="824" spans="1:11" x14ac:dyDescent="0.3">
      <c r="A824" t="s">
        <v>1521</v>
      </c>
      <c r="B824" t="s">
        <v>852</v>
      </c>
      <c r="C824" t="s">
        <v>80</v>
      </c>
      <c r="D824" t="s">
        <v>36</v>
      </c>
      <c r="E824" t="s">
        <v>116</v>
      </c>
      <c r="F824">
        <v>1735000</v>
      </c>
      <c r="G824">
        <v>17.350000000000001</v>
      </c>
      <c r="H824" t="s">
        <v>27</v>
      </c>
      <c r="I824" t="s">
        <v>845</v>
      </c>
      <c r="J824" s="8">
        <v>46164</v>
      </c>
      <c r="K824" t="s">
        <v>908</v>
      </c>
    </row>
    <row r="825" spans="1:11" x14ac:dyDescent="0.3">
      <c r="A825" t="s">
        <v>1521</v>
      </c>
      <c r="B825" t="s">
        <v>852</v>
      </c>
      <c r="C825" t="s">
        <v>80</v>
      </c>
      <c r="D825" t="s">
        <v>36</v>
      </c>
      <c r="E825" t="s">
        <v>116</v>
      </c>
      <c r="F825">
        <v>1735000</v>
      </c>
      <c r="G825">
        <v>17.350000000000001</v>
      </c>
      <c r="H825" t="s">
        <v>27</v>
      </c>
      <c r="I825" t="s">
        <v>845</v>
      </c>
      <c r="J825" s="8">
        <v>46164</v>
      </c>
      <c r="K825" t="s">
        <v>20</v>
      </c>
    </row>
    <row r="826" spans="1:11" x14ac:dyDescent="0.3">
      <c r="A826" t="s">
        <v>1521</v>
      </c>
      <c r="B826" t="s">
        <v>852</v>
      </c>
      <c r="C826" t="s">
        <v>80</v>
      </c>
      <c r="D826" t="s">
        <v>36</v>
      </c>
      <c r="E826" t="s">
        <v>116</v>
      </c>
      <c r="F826">
        <v>1735000</v>
      </c>
      <c r="G826">
        <v>17.350000000000001</v>
      </c>
      <c r="H826" t="s">
        <v>27</v>
      </c>
      <c r="I826" t="s">
        <v>845</v>
      </c>
      <c r="J826" s="8">
        <v>46164</v>
      </c>
      <c r="K826" t="s">
        <v>39</v>
      </c>
    </row>
    <row r="827" spans="1:11" x14ac:dyDescent="0.3">
      <c r="A827" t="s">
        <v>1523</v>
      </c>
      <c r="B827" t="s">
        <v>42</v>
      </c>
      <c r="C827" t="s">
        <v>211</v>
      </c>
      <c r="D827" t="s">
        <v>15</v>
      </c>
      <c r="E827" t="s">
        <v>37</v>
      </c>
      <c r="F827">
        <v>1365000</v>
      </c>
      <c r="G827">
        <v>13.65</v>
      </c>
      <c r="H827" t="s">
        <v>27</v>
      </c>
      <c r="I827" t="s">
        <v>28</v>
      </c>
      <c r="J827" s="8">
        <v>46043</v>
      </c>
      <c r="K827" t="s">
        <v>45</v>
      </c>
    </row>
    <row r="828" spans="1:11" x14ac:dyDescent="0.3">
      <c r="A828" t="s">
        <v>1523</v>
      </c>
      <c r="B828" t="s">
        <v>42</v>
      </c>
      <c r="C828" t="s">
        <v>211</v>
      </c>
      <c r="D828" t="s">
        <v>15</v>
      </c>
      <c r="E828" t="s">
        <v>37</v>
      </c>
      <c r="F828">
        <v>1365000</v>
      </c>
      <c r="G828">
        <v>13.65</v>
      </c>
      <c r="H828" t="s">
        <v>27</v>
      </c>
      <c r="I828" t="s">
        <v>28</v>
      </c>
      <c r="J828" s="8">
        <v>46043</v>
      </c>
      <c r="K828" t="s">
        <v>874</v>
      </c>
    </row>
    <row r="829" spans="1:11" x14ac:dyDescent="0.3">
      <c r="A829" t="s">
        <v>1523</v>
      </c>
      <c r="B829" t="s">
        <v>42</v>
      </c>
      <c r="C829" t="s">
        <v>211</v>
      </c>
      <c r="D829" t="s">
        <v>15</v>
      </c>
      <c r="E829" t="s">
        <v>37</v>
      </c>
      <c r="F829">
        <v>1365000</v>
      </c>
      <c r="G829">
        <v>13.65</v>
      </c>
      <c r="H829" t="s">
        <v>27</v>
      </c>
      <c r="I829" t="s">
        <v>28</v>
      </c>
      <c r="J829" s="8">
        <v>46043</v>
      </c>
      <c r="K829" t="s">
        <v>854</v>
      </c>
    </row>
    <row r="830" spans="1:11" x14ac:dyDescent="0.3">
      <c r="A830" t="s">
        <v>1526</v>
      </c>
      <c r="B830" t="s">
        <v>49</v>
      </c>
      <c r="C830" t="s">
        <v>99</v>
      </c>
      <c r="D830" t="s">
        <v>36</v>
      </c>
      <c r="E830" t="s">
        <v>16</v>
      </c>
      <c r="F830">
        <v>675000</v>
      </c>
      <c r="G830">
        <v>6.75</v>
      </c>
      <c r="H830" t="s">
        <v>17</v>
      </c>
      <c r="I830" t="s">
        <v>845</v>
      </c>
      <c r="J830" s="8">
        <v>46082</v>
      </c>
      <c r="K830" t="s">
        <v>45</v>
      </c>
    </row>
    <row r="831" spans="1:11" x14ac:dyDescent="0.3">
      <c r="A831" t="s">
        <v>1526</v>
      </c>
      <c r="B831" t="s">
        <v>49</v>
      </c>
      <c r="C831" t="s">
        <v>99</v>
      </c>
      <c r="D831" t="s">
        <v>36</v>
      </c>
      <c r="E831" t="s">
        <v>16</v>
      </c>
      <c r="F831">
        <v>675000</v>
      </c>
      <c r="G831">
        <v>6.75</v>
      </c>
      <c r="H831" t="s">
        <v>17</v>
      </c>
      <c r="I831" t="s">
        <v>845</v>
      </c>
      <c r="J831" s="8">
        <v>46082</v>
      </c>
      <c r="K831" t="s">
        <v>54</v>
      </c>
    </row>
    <row r="832" spans="1:11" x14ac:dyDescent="0.3">
      <c r="A832" t="s">
        <v>1526</v>
      </c>
      <c r="B832" t="s">
        <v>49</v>
      </c>
      <c r="C832" t="s">
        <v>99</v>
      </c>
      <c r="D832" t="s">
        <v>36</v>
      </c>
      <c r="E832" t="s">
        <v>16</v>
      </c>
      <c r="F832">
        <v>675000</v>
      </c>
      <c r="G832">
        <v>6.75</v>
      </c>
      <c r="H832" t="s">
        <v>17</v>
      </c>
      <c r="I832" t="s">
        <v>845</v>
      </c>
      <c r="J832" s="8">
        <v>46082</v>
      </c>
      <c r="K832" t="s">
        <v>878</v>
      </c>
    </row>
    <row r="833" spans="1:11" x14ac:dyDescent="0.3">
      <c r="A833" t="s">
        <v>1528</v>
      </c>
      <c r="B833" t="s">
        <v>852</v>
      </c>
      <c r="C833" t="s">
        <v>1320</v>
      </c>
      <c r="D833" t="s">
        <v>51</v>
      </c>
      <c r="E833" t="s">
        <v>77</v>
      </c>
      <c r="F833">
        <v>3145000</v>
      </c>
      <c r="G833">
        <v>31.45</v>
      </c>
      <c r="H833" t="s">
        <v>27</v>
      </c>
      <c r="I833" t="s">
        <v>59</v>
      </c>
      <c r="J833" s="8">
        <v>46182</v>
      </c>
      <c r="K833" t="s">
        <v>46</v>
      </c>
    </row>
    <row r="834" spans="1:11" x14ac:dyDescent="0.3">
      <c r="A834" t="s">
        <v>1528</v>
      </c>
      <c r="B834" t="s">
        <v>852</v>
      </c>
      <c r="C834" t="s">
        <v>1320</v>
      </c>
      <c r="D834" t="s">
        <v>51</v>
      </c>
      <c r="E834" t="s">
        <v>77</v>
      </c>
      <c r="F834">
        <v>3145000</v>
      </c>
      <c r="G834">
        <v>31.45</v>
      </c>
      <c r="H834" t="s">
        <v>27</v>
      </c>
      <c r="I834" t="s">
        <v>59</v>
      </c>
      <c r="J834" s="8">
        <v>46182</v>
      </c>
      <c r="K834" t="s">
        <v>31</v>
      </c>
    </row>
    <row r="835" spans="1:11" x14ac:dyDescent="0.3">
      <c r="A835" t="s">
        <v>1528</v>
      </c>
      <c r="B835" t="s">
        <v>852</v>
      </c>
      <c r="C835" t="s">
        <v>1320</v>
      </c>
      <c r="D835" t="s">
        <v>51</v>
      </c>
      <c r="E835" t="s">
        <v>77</v>
      </c>
      <c r="F835">
        <v>3145000</v>
      </c>
      <c r="G835">
        <v>31.45</v>
      </c>
      <c r="H835" t="s">
        <v>27</v>
      </c>
      <c r="I835" t="s">
        <v>59</v>
      </c>
      <c r="J835" s="8">
        <v>46182</v>
      </c>
      <c r="K835" t="s">
        <v>39</v>
      </c>
    </row>
    <row r="836" spans="1:11" x14ac:dyDescent="0.3">
      <c r="A836" t="s">
        <v>1531</v>
      </c>
      <c r="B836" t="s">
        <v>960</v>
      </c>
      <c r="C836" t="s">
        <v>214</v>
      </c>
      <c r="D836" t="s">
        <v>26</v>
      </c>
      <c r="E836" t="s">
        <v>16</v>
      </c>
      <c r="F836">
        <v>640000</v>
      </c>
      <c r="G836">
        <v>6.4</v>
      </c>
      <c r="H836" t="s">
        <v>27</v>
      </c>
      <c r="I836" t="s">
        <v>28</v>
      </c>
      <c r="J836" s="8">
        <v>46129</v>
      </c>
      <c r="K836" t="s">
        <v>878</v>
      </c>
    </row>
    <row r="837" spans="1:11" x14ac:dyDescent="0.3">
      <c r="A837" t="s">
        <v>1531</v>
      </c>
      <c r="B837" t="s">
        <v>960</v>
      </c>
      <c r="C837" t="s">
        <v>214</v>
      </c>
      <c r="D837" t="s">
        <v>26</v>
      </c>
      <c r="E837" t="s">
        <v>16</v>
      </c>
      <c r="F837">
        <v>640000</v>
      </c>
      <c r="G837">
        <v>6.4</v>
      </c>
      <c r="H837" t="s">
        <v>27</v>
      </c>
      <c r="I837" t="s">
        <v>28</v>
      </c>
      <c r="J837" s="8">
        <v>46129</v>
      </c>
      <c r="K837" t="s">
        <v>46</v>
      </c>
    </row>
    <row r="838" spans="1:11" x14ac:dyDescent="0.3">
      <c r="A838" t="s">
        <v>1531</v>
      </c>
      <c r="B838" t="s">
        <v>960</v>
      </c>
      <c r="C838" t="s">
        <v>214</v>
      </c>
      <c r="D838" t="s">
        <v>26</v>
      </c>
      <c r="E838" t="s">
        <v>16</v>
      </c>
      <c r="F838">
        <v>640000</v>
      </c>
      <c r="G838">
        <v>6.4</v>
      </c>
      <c r="H838" t="s">
        <v>27</v>
      </c>
      <c r="I838" t="s">
        <v>28</v>
      </c>
      <c r="J838" s="8">
        <v>46129</v>
      </c>
      <c r="K838" t="s">
        <v>29</v>
      </c>
    </row>
    <row r="839" spans="1:11" x14ac:dyDescent="0.3">
      <c r="A839" t="s">
        <v>1533</v>
      </c>
      <c r="B839" t="s">
        <v>960</v>
      </c>
      <c r="C839" t="s">
        <v>63</v>
      </c>
      <c r="D839" t="s">
        <v>51</v>
      </c>
      <c r="E839" t="s">
        <v>116</v>
      </c>
      <c r="F839">
        <v>1405000</v>
      </c>
      <c r="G839">
        <v>14.05</v>
      </c>
      <c r="H839" t="s">
        <v>27</v>
      </c>
      <c r="I839" t="s">
        <v>845</v>
      </c>
      <c r="J839" s="8">
        <v>46079</v>
      </c>
      <c r="K839" t="s">
        <v>39</v>
      </c>
    </row>
    <row r="840" spans="1:11" x14ac:dyDescent="0.3">
      <c r="A840" t="s">
        <v>1533</v>
      </c>
      <c r="B840" t="s">
        <v>960</v>
      </c>
      <c r="C840" t="s">
        <v>63</v>
      </c>
      <c r="D840" t="s">
        <v>51</v>
      </c>
      <c r="E840" t="s">
        <v>116</v>
      </c>
      <c r="F840">
        <v>1405000</v>
      </c>
      <c r="G840">
        <v>14.05</v>
      </c>
      <c r="H840" t="s">
        <v>27</v>
      </c>
      <c r="I840" t="s">
        <v>845</v>
      </c>
      <c r="J840" s="8">
        <v>46079</v>
      </c>
      <c r="K840" t="s">
        <v>937</v>
      </c>
    </row>
    <row r="841" spans="1:11" x14ac:dyDescent="0.3">
      <c r="A841" t="s">
        <v>1533</v>
      </c>
      <c r="B841" t="s">
        <v>960</v>
      </c>
      <c r="C841" t="s">
        <v>63</v>
      </c>
      <c r="D841" t="s">
        <v>51</v>
      </c>
      <c r="E841" t="s">
        <v>116</v>
      </c>
      <c r="F841">
        <v>1405000</v>
      </c>
      <c r="G841">
        <v>14.05</v>
      </c>
      <c r="H841" t="s">
        <v>27</v>
      </c>
      <c r="I841" t="s">
        <v>845</v>
      </c>
      <c r="J841" s="8">
        <v>46079</v>
      </c>
      <c r="K841" t="s">
        <v>45</v>
      </c>
    </row>
    <row r="842" spans="1:11" x14ac:dyDescent="0.3">
      <c r="A842" t="s">
        <v>1534</v>
      </c>
      <c r="B842" t="s">
        <v>49</v>
      </c>
      <c r="C842" t="s">
        <v>87</v>
      </c>
      <c r="D842" t="s">
        <v>26</v>
      </c>
      <c r="E842" t="s">
        <v>37</v>
      </c>
      <c r="F842">
        <v>1630000</v>
      </c>
      <c r="G842">
        <v>16.3</v>
      </c>
      <c r="H842" t="s">
        <v>27</v>
      </c>
      <c r="I842" t="s">
        <v>28</v>
      </c>
      <c r="J842" s="8">
        <v>46109</v>
      </c>
      <c r="K842" t="s">
        <v>854</v>
      </c>
    </row>
    <row r="843" spans="1:11" x14ac:dyDescent="0.3">
      <c r="A843" t="s">
        <v>1534</v>
      </c>
      <c r="B843" t="s">
        <v>49</v>
      </c>
      <c r="C843" t="s">
        <v>87</v>
      </c>
      <c r="D843" t="s">
        <v>26</v>
      </c>
      <c r="E843" t="s">
        <v>37</v>
      </c>
      <c r="F843">
        <v>1630000</v>
      </c>
      <c r="G843">
        <v>16.3</v>
      </c>
      <c r="H843" t="s">
        <v>27</v>
      </c>
      <c r="I843" t="s">
        <v>28</v>
      </c>
      <c r="J843" s="8">
        <v>46109</v>
      </c>
      <c r="K843" t="s">
        <v>31</v>
      </c>
    </row>
    <row r="844" spans="1:11" x14ac:dyDescent="0.3">
      <c r="A844" t="s">
        <v>1534</v>
      </c>
      <c r="B844" t="s">
        <v>49</v>
      </c>
      <c r="C844" t="s">
        <v>87</v>
      </c>
      <c r="D844" t="s">
        <v>26</v>
      </c>
      <c r="E844" t="s">
        <v>37</v>
      </c>
      <c r="F844">
        <v>1630000</v>
      </c>
      <c r="G844">
        <v>16.3</v>
      </c>
      <c r="H844" t="s">
        <v>27</v>
      </c>
      <c r="I844" t="s">
        <v>28</v>
      </c>
      <c r="J844" s="8">
        <v>46109</v>
      </c>
      <c r="K844" t="s">
        <v>30</v>
      </c>
    </row>
    <row r="845" spans="1:11" x14ac:dyDescent="0.3">
      <c r="A845" t="s">
        <v>1535</v>
      </c>
      <c r="B845" t="s">
        <v>49</v>
      </c>
      <c r="C845" t="s">
        <v>205</v>
      </c>
      <c r="D845" t="s">
        <v>71</v>
      </c>
      <c r="E845" t="s">
        <v>52</v>
      </c>
      <c r="F845">
        <v>755000</v>
      </c>
      <c r="G845">
        <v>7.55</v>
      </c>
      <c r="H845" t="s">
        <v>27</v>
      </c>
      <c r="I845" t="s">
        <v>28</v>
      </c>
      <c r="J845" s="8">
        <v>46064</v>
      </c>
      <c r="K845" t="s">
        <v>878</v>
      </c>
    </row>
    <row r="846" spans="1:11" x14ac:dyDescent="0.3">
      <c r="A846" t="s">
        <v>1535</v>
      </c>
      <c r="B846" t="s">
        <v>49</v>
      </c>
      <c r="C846" t="s">
        <v>205</v>
      </c>
      <c r="D846" t="s">
        <v>71</v>
      </c>
      <c r="E846" t="s">
        <v>52</v>
      </c>
      <c r="F846">
        <v>755000</v>
      </c>
      <c r="G846">
        <v>7.55</v>
      </c>
      <c r="H846" t="s">
        <v>27</v>
      </c>
      <c r="I846" t="s">
        <v>28</v>
      </c>
      <c r="J846" s="8">
        <v>46064</v>
      </c>
      <c r="K846" t="s">
        <v>54</v>
      </c>
    </row>
    <row r="847" spans="1:11" x14ac:dyDescent="0.3">
      <c r="A847" t="s">
        <v>1535</v>
      </c>
      <c r="B847" t="s">
        <v>49</v>
      </c>
      <c r="C847" t="s">
        <v>205</v>
      </c>
      <c r="D847" t="s">
        <v>71</v>
      </c>
      <c r="E847" t="s">
        <v>52</v>
      </c>
      <c r="F847">
        <v>755000</v>
      </c>
      <c r="G847">
        <v>7.55</v>
      </c>
      <c r="H847" t="s">
        <v>27</v>
      </c>
      <c r="I847" t="s">
        <v>28</v>
      </c>
      <c r="J847" s="8">
        <v>46064</v>
      </c>
      <c r="K847" t="s">
        <v>30</v>
      </c>
    </row>
    <row r="848" spans="1:11" x14ac:dyDescent="0.3">
      <c r="A848" t="s">
        <v>1536</v>
      </c>
      <c r="B848" t="s">
        <v>62</v>
      </c>
      <c r="C848" t="s">
        <v>123</v>
      </c>
      <c r="D848" t="s">
        <v>76</v>
      </c>
      <c r="E848" t="s">
        <v>52</v>
      </c>
      <c r="F848">
        <v>410000</v>
      </c>
      <c r="G848">
        <v>4.0999999999999996</v>
      </c>
      <c r="H848" t="s">
        <v>53</v>
      </c>
      <c r="I848" t="s">
        <v>59</v>
      </c>
      <c r="J848" s="8">
        <v>46248</v>
      </c>
      <c r="K848" t="s">
        <v>20</v>
      </c>
    </row>
    <row r="849" spans="1:11" x14ac:dyDescent="0.3">
      <c r="A849" t="s">
        <v>1536</v>
      </c>
      <c r="B849" t="s">
        <v>62</v>
      </c>
      <c r="C849" t="s">
        <v>123</v>
      </c>
      <c r="D849" t="s">
        <v>76</v>
      </c>
      <c r="E849" t="s">
        <v>52</v>
      </c>
      <c r="F849">
        <v>410000</v>
      </c>
      <c r="G849">
        <v>4.0999999999999996</v>
      </c>
      <c r="H849" t="s">
        <v>53</v>
      </c>
      <c r="I849" t="s">
        <v>59</v>
      </c>
      <c r="J849" s="8">
        <v>46248</v>
      </c>
      <c r="K849" t="s">
        <v>846</v>
      </c>
    </row>
    <row r="850" spans="1:11" x14ac:dyDescent="0.3">
      <c r="A850" t="s">
        <v>1536</v>
      </c>
      <c r="B850" t="s">
        <v>62</v>
      </c>
      <c r="C850" t="s">
        <v>123</v>
      </c>
      <c r="D850" t="s">
        <v>76</v>
      </c>
      <c r="E850" t="s">
        <v>52</v>
      </c>
      <c r="F850">
        <v>410000</v>
      </c>
      <c r="G850">
        <v>4.0999999999999996</v>
      </c>
      <c r="H850" t="s">
        <v>53</v>
      </c>
      <c r="I850" t="s">
        <v>59</v>
      </c>
      <c r="J850" s="8">
        <v>46248</v>
      </c>
      <c r="K850" t="s">
        <v>29</v>
      </c>
    </row>
    <row r="851" spans="1:11" x14ac:dyDescent="0.3">
      <c r="A851" t="s">
        <v>1537</v>
      </c>
      <c r="B851" t="s">
        <v>960</v>
      </c>
      <c r="C851" t="s">
        <v>441</v>
      </c>
      <c r="D851" t="s">
        <v>15</v>
      </c>
      <c r="E851" t="s">
        <v>16</v>
      </c>
      <c r="F851">
        <v>785000</v>
      </c>
      <c r="G851">
        <v>7.85</v>
      </c>
      <c r="H851" t="s">
        <v>27</v>
      </c>
      <c r="I851" t="s">
        <v>845</v>
      </c>
      <c r="J851" s="8">
        <v>46067</v>
      </c>
      <c r="K851" t="s">
        <v>937</v>
      </c>
    </row>
    <row r="852" spans="1:11" x14ac:dyDescent="0.3">
      <c r="A852" t="s">
        <v>1537</v>
      </c>
      <c r="B852" t="s">
        <v>960</v>
      </c>
      <c r="C852" t="s">
        <v>441</v>
      </c>
      <c r="D852" t="s">
        <v>15</v>
      </c>
      <c r="E852" t="s">
        <v>16</v>
      </c>
      <c r="F852">
        <v>785000</v>
      </c>
      <c r="G852">
        <v>7.85</v>
      </c>
      <c r="H852" t="s">
        <v>27</v>
      </c>
      <c r="I852" t="s">
        <v>845</v>
      </c>
      <c r="J852" s="8">
        <v>46067</v>
      </c>
      <c r="K852" t="s">
        <v>46</v>
      </c>
    </row>
    <row r="853" spans="1:11" x14ac:dyDescent="0.3">
      <c r="A853" t="s">
        <v>1537</v>
      </c>
      <c r="B853" t="s">
        <v>960</v>
      </c>
      <c r="C853" t="s">
        <v>441</v>
      </c>
      <c r="D853" t="s">
        <v>15</v>
      </c>
      <c r="E853" t="s">
        <v>16</v>
      </c>
      <c r="F853">
        <v>785000</v>
      </c>
      <c r="G853">
        <v>7.85</v>
      </c>
      <c r="H853" t="s">
        <v>27</v>
      </c>
      <c r="I853" t="s">
        <v>845</v>
      </c>
      <c r="J853" s="8">
        <v>46067</v>
      </c>
      <c r="K853" t="s">
        <v>846</v>
      </c>
    </row>
    <row r="854" spans="1:11" x14ac:dyDescent="0.3">
      <c r="A854" t="s">
        <v>1538</v>
      </c>
      <c r="B854" t="s">
        <v>960</v>
      </c>
      <c r="C854" t="s">
        <v>953</v>
      </c>
      <c r="D854" t="s">
        <v>71</v>
      </c>
      <c r="E854" t="s">
        <v>116</v>
      </c>
      <c r="F854">
        <v>930000</v>
      </c>
      <c r="G854">
        <v>9.3000000000000007</v>
      </c>
      <c r="H854" t="s">
        <v>17</v>
      </c>
      <c r="I854" t="s">
        <v>28</v>
      </c>
      <c r="J854" s="8">
        <v>46027</v>
      </c>
      <c r="K854" t="s">
        <v>30</v>
      </c>
    </row>
    <row r="855" spans="1:11" x14ac:dyDescent="0.3">
      <c r="A855" t="s">
        <v>1538</v>
      </c>
      <c r="B855" t="s">
        <v>960</v>
      </c>
      <c r="C855" t="s">
        <v>953</v>
      </c>
      <c r="D855" t="s">
        <v>71</v>
      </c>
      <c r="E855" t="s">
        <v>116</v>
      </c>
      <c r="F855">
        <v>930000</v>
      </c>
      <c r="G855">
        <v>9.3000000000000007</v>
      </c>
      <c r="H855" t="s">
        <v>17</v>
      </c>
      <c r="I855" t="s">
        <v>28</v>
      </c>
      <c r="J855" s="8">
        <v>46027</v>
      </c>
      <c r="K855" t="s">
        <v>39</v>
      </c>
    </row>
    <row r="856" spans="1:11" x14ac:dyDescent="0.3">
      <c r="A856" t="s">
        <v>1538</v>
      </c>
      <c r="B856" t="s">
        <v>960</v>
      </c>
      <c r="C856" t="s">
        <v>953</v>
      </c>
      <c r="D856" t="s">
        <v>71</v>
      </c>
      <c r="E856" t="s">
        <v>116</v>
      </c>
      <c r="F856">
        <v>930000</v>
      </c>
      <c r="G856">
        <v>9.3000000000000007</v>
      </c>
      <c r="H856" t="s">
        <v>17</v>
      </c>
      <c r="I856" t="s">
        <v>28</v>
      </c>
      <c r="J856" s="8">
        <v>46027</v>
      </c>
      <c r="K856" t="s">
        <v>46</v>
      </c>
    </row>
    <row r="857" spans="1:11" x14ac:dyDescent="0.3">
      <c r="A857" t="s">
        <v>1540</v>
      </c>
      <c r="B857" t="s">
        <v>960</v>
      </c>
      <c r="C857" t="s">
        <v>992</v>
      </c>
      <c r="D857" t="s">
        <v>76</v>
      </c>
      <c r="E857" t="s">
        <v>16</v>
      </c>
      <c r="F857">
        <v>975000</v>
      </c>
      <c r="G857">
        <v>9.75</v>
      </c>
      <c r="H857" t="s">
        <v>27</v>
      </c>
      <c r="I857" t="s">
        <v>28</v>
      </c>
      <c r="J857" s="8">
        <v>46039</v>
      </c>
      <c r="K857" t="s">
        <v>937</v>
      </c>
    </row>
    <row r="858" spans="1:11" x14ac:dyDescent="0.3">
      <c r="A858" t="s">
        <v>1540</v>
      </c>
      <c r="B858" t="s">
        <v>960</v>
      </c>
      <c r="C858" t="s">
        <v>992</v>
      </c>
      <c r="D858" t="s">
        <v>76</v>
      </c>
      <c r="E858" t="s">
        <v>16</v>
      </c>
      <c r="F858">
        <v>975000</v>
      </c>
      <c r="G858">
        <v>9.75</v>
      </c>
      <c r="H858" t="s">
        <v>27</v>
      </c>
      <c r="I858" t="s">
        <v>28</v>
      </c>
      <c r="J858" s="8">
        <v>46039</v>
      </c>
      <c r="K858" t="s">
        <v>45</v>
      </c>
    </row>
    <row r="859" spans="1:11" x14ac:dyDescent="0.3">
      <c r="A859" t="s">
        <v>1540</v>
      </c>
      <c r="B859" t="s">
        <v>960</v>
      </c>
      <c r="C859" t="s">
        <v>992</v>
      </c>
      <c r="D859" t="s">
        <v>76</v>
      </c>
      <c r="E859" t="s">
        <v>16</v>
      </c>
      <c r="F859">
        <v>975000</v>
      </c>
      <c r="G859">
        <v>9.75</v>
      </c>
      <c r="H859" t="s">
        <v>27</v>
      </c>
      <c r="I859" t="s">
        <v>28</v>
      </c>
      <c r="J859" s="8">
        <v>46039</v>
      </c>
      <c r="K859" t="s">
        <v>46</v>
      </c>
    </row>
    <row r="860" spans="1:11" x14ac:dyDescent="0.3">
      <c r="A860" t="s">
        <v>1543</v>
      </c>
      <c r="B860" t="s">
        <v>864</v>
      </c>
      <c r="C860" t="s">
        <v>1127</v>
      </c>
      <c r="D860" t="s">
        <v>26</v>
      </c>
      <c r="E860" t="s">
        <v>52</v>
      </c>
      <c r="F860">
        <v>405000</v>
      </c>
      <c r="G860">
        <v>4.05</v>
      </c>
      <c r="H860" t="s">
        <v>53</v>
      </c>
      <c r="I860" t="s">
        <v>845</v>
      </c>
      <c r="J860" s="8">
        <v>46073</v>
      </c>
      <c r="K860" t="s">
        <v>30</v>
      </c>
    </row>
    <row r="861" spans="1:11" x14ac:dyDescent="0.3">
      <c r="A861" t="s">
        <v>1543</v>
      </c>
      <c r="B861" t="s">
        <v>864</v>
      </c>
      <c r="C861" t="s">
        <v>1127</v>
      </c>
      <c r="D861" t="s">
        <v>26</v>
      </c>
      <c r="E861" t="s">
        <v>52</v>
      </c>
      <c r="F861">
        <v>405000</v>
      </c>
      <c r="G861">
        <v>4.05</v>
      </c>
      <c r="H861" t="s">
        <v>53</v>
      </c>
      <c r="I861" t="s">
        <v>845</v>
      </c>
      <c r="J861" s="8">
        <v>46073</v>
      </c>
      <c r="K861" t="s">
        <v>937</v>
      </c>
    </row>
    <row r="862" spans="1:11" x14ac:dyDescent="0.3">
      <c r="A862" t="s">
        <v>1543</v>
      </c>
      <c r="B862" t="s">
        <v>864</v>
      </c>
      <c r="C862" t="s">
        <v>1127</v>
      </c>
      <c r="D862" t="s">
        <v>26</v>
      </c>
      <c r="E862" t="s">
        <v>52</v>
      </c>
      <c r="F862">
        <v>405000</v>
      </c>
      <c r="G862">
        <v>4.05</v>
      </c>
      <c r="H862" t="s">
        <v>53</v>
      </c>
      <c r="I862" t="s">
        <v>845</v>
      </c>
      <c r="J862" s="8">
        <v>46073</v>
      </c>
      <c r="K862" t="s">
        <v>21</v>
      </c>
    </row>
    <row r="863" spans="1:11" x14ac:dyDescent="0.3">
      <c r="A863" t="s">
        <v>1544</v>
      </c>
      <c r="B863" t="s">
        <v>996</v>
      </c>
      <c r="C863" t="s">
        <v>125</v>
      </c>
      <c r="D863" t="s">
        <v>96</v>
      </c>
      <c r="E863" t="s">
        <v>52</v>
      </c>
      <c r="F863">
        <v>765000</v>
      </c>
      <c r="G863">
        <v>7.65</v>
      </c>
      <c r="H863" t="s">
        <v>27</v>
      </c>
      <c r="I863" t="s">
        <v>845</v>
      </c>
      <c r="J863" s="8">
        <v>46228</v>
      </c>
      <c r="K863" t="s">
        <v>39</v>
      </c>
    </row>
    <row r="864" spans="1:11" x14ac:dyDescent="0.3">
      <c r="A864" t="s">
        <v>1544</v>
      </c>
      <c r="B864" t="s">
        <v>996</v>
      </c>
      <c r="C864" t="s">
        <v>125</v>
      </c>
      <c r="D864" t="s">
        <v>96</v>
      </c>
      <c r="E864" t="s">
        <v>52</v>
      </c>
      <c r="F864">
        <v>765000</v>
      </c>
      <c r="G864">
        <v>7.65</v>
      </c>
      <c r="H864" t="s">
        <v>27</v>
      </c>
      <c r="I864" t="s">
        <v>845</v>
      </c>
      <c r="J864" s="8">
        <v>46228</v>
      </c>
      <c r="K864" t="s">
        <v>854</v>
      </c>
    </row>
    <row r="865" spans="1:11" x14ac:dyDescent="0.3">
      <c r="A865" t="s">
        <v>1544</v>
      </c>
      <c r="B865" t="s">
        <v>996</v>
      </c>
      <c r="C865" t="s">
        <v>125</v>
      </c>
      <c r="D865" t="s">
        <v>96</v>
      </c>
      <c r="E865" t="s">
        <v>52</v>
      </c>
      <c r="F865">
        <v>765000</v>
      </c>
      <c r="G865">
        <v>7.65</v>
      </c>
      <c r="H865" t="s">
        <v>27</v>
      </c>
      <c r="I865" t="s">
        <v>845</v>
      </c>
      <c r="J865" s="8">
        <v>46228</v>
      </c>
      <c r="K865" t="s">
        <v>31</v>
      </c>
    </row>
    <row r="866" spans="1:11" x14ac:dyDescent="0.3">
      <c r="A866" t="s">
        <v>1546</v>
      </c>
      <c r="B866" t="s">
        <v>75</v>
      </c>
      <c r="C866" t="s">
        <v>1367</v>
      </c>
      <c r="D866" t="s">
        <v>26</v>
      </c>
      <c r="E866" t="s">
        <v>116</v>
      </c>
      <c r="F866">
        <v>1430000</v>
      </c>
      <c r="G866">
        <v>14.3</v>
      </c>
      <c r="H866" t="s">
        <v>27</v>
      </c>
      <c r="I866" t="s">
        <v>28</v>
      </c>
      <c r="J866" s="8">
        <v>46218</v>
      </c>
      <c r="K866" t="s">
        <v>30</v>
      </c>
    </row>
    <row r="867" spans="1:11" x14ac:dyDescent="0.3">
      <c r="A867" t="s">
        <v>1546</v>
      </c>
      <c r="B867" t="s">
        <v>75</v>
      </c>
      <c r="C867" t="s">
        <v>1367</v>
      </c>
      <c r="D867" t="s">
        <v>26</v>
      </c>
      <c r="E867" t="s">
        <v>116</v>
      </c>
      <c r="F867">
        <v>1430000</v>
      </c>
      <c r="G867">
        <v>14.3</v>
      </c>
      <c r="H867" t="s">
        <v>27</v>
      </c>
      <c r="I867" t="s">
        <v>28</v>
      </c>
      <c r="J867" s="8">
        <v>46218</v>
      </c>
      <c r="K867" t="s">
        <v>846</v>
      </c>
    </row>
    <row r="868" spans="1:11" x14ac:dyDescent="0.3">
      <c r="A868" t="s">
        <v>1546</v>
      </c>
      <c r="B868" t="s">
        <v>75</v>
      </c>
      <c r="C868" t="s">
        <v>1367</v>
      </c>
      <c r="D868" t="s">
        <v>26</v>
      </c>
      <c r="E868" t="s">
        <v>116</v>
      </c>
      <c r="F868">
        <v>1430000</v>
      </c>
      <c r="G868">
        <v>14.3</v>
      </c>
      <c r="H868" t="s">
        <v>27</v>
      </c>
      <c r="I868" t="s">
        <v>28</v>
      </c>
      <c r="J868" s="8">
        <v>46218</v>
      </c>
      <c r="K868" t="s">
        <v>31</v>
      </c>
    </row>
    <row r="869" spans="1:11" x14ac:dyDescent="0.3">
      <c r="A869" t="s">
        <v>1549</v>
      </c>
      <c r="B869" t="s">
        <v>49</v>
      </c>
      <c r="C869" t="s">
        <v>14</v>
      </c>
      <c r="D869" t="s">
        <v>96</v>
      </c>
      <c r="E869" t="s">
        <v>16</v>
      </c>
      <c r="F869">
        <v>655000</v>
      </c>
      <c r="G869">
        <v>6.55</v>
      </c>
      <c r="H869" t="s">
        <v>27</v>
      </c>
      <c r="I869" t="s">
        <v>845</v>
      </c>
      <c r="J869" s="8">
        <v>46137</v>
      </c>
      <c r="K869" t="s">
        <v>31</v>
      </c>
    </row>
    <row r="870" spans="1:11" x14ac:dyDescent="0.3">
      <c r="A870" t="s">
        <v>1549</v>
      </c>
      <c r="B870" t="s">
        <v>49</v>
      </c>
      <c r="C870" t="s">
        <v>14</v>
      </c>
      <c r="D870" t="s">
        <v>96</v>
      </c>
      <c r="E870" t="s">
        <v>16</v>
      </c>
      <c r="F870">
        <v>655000</v>
      </c>
      <c r="G870">
        <v>6.55</v>
      </c>
      <c r="H870" t="s">
        <v>27</v>
      </c>
      <c r="I870" t="s">
        <v>845</v>
      </c>
      <c r="J870" s="8">
        <v>46137</v>
      </c>
      <c r="K870" t="s">
        <v>21</v>
      </c>
    </row>
    <row r="871" spans="1:11" x14ac:dyDescent="0.3">
      <c r="A871" t="s">
        <v>1549</v>
      </c>
      <c r="B871" t="s">
        <v>49</v>
      </c>
      <c r="C871" t="s">
        <v>14</v>
      </c>
      <c r="D871" t="s">
        <v>96</v>
      </c>
      <c r="E871" t="s">
        <v>16</v>
      </c>
      <c r="F871">
        <v>655000</v>
      </c>
      <c r="G871">
        <v>6.55</v>
      </c>
      <c r="H871" t="s">
        <v>27</v>
      </c>
      <c r="I871" t="s">
        <v>845</v>
      </c>
      <c r="J871" s="8">
        <v>46137</v>
      </c>
      <c r="K871" t="s">
        <v>846</v>
      </c>
    </row>
    <row r="872" spans="1:11" x14ac:dyDescent="0.3">
      <c r="A872" t="s">
        <v>1550</v>
      </c>
      <c r="B872" t="s">
        <v>75</v>
      </c>
      <c r="C872" t="s">
        <v>441</v>
      </c>
      <c r="D872" t="s">
        <v>15</v>
      </c>
      <c r="E872" t="s">
        <v>37</v>
      </c>
      <c r="F872">
        <v>1105000</v>
      </c>
      <c r="G872">
        <v>11.05</v>
      </c>
      <c r="H872" t="s">
        <v>27</v>
      </c>
      <c r="I872" t="s">
        <v>28</v>
      </c>
      <c r="J872" s="8">
        <v>46037</v>
      </c>
      <c r="K872" t="s">
        <v>31</v>
      </c>
    </row>
    <row r="873" spans="1:11" x14ac:dyDescent="0.3">
      <c r="A873" t="s">
        <v>1550</v>
      </c>
      <c r="B873" t="s">
        <v>75</v>
      </c>
      <c r="C873" t="s">
        <v>441</v>
      </c>
      <c r="D873" t="s">
        <v>15</v>
      </c>
      <c r="E873" t="s">
        <v>37</v>
      </c>
      <c r="F873">
        <v>1105000</v>
      </c>
      <c r="G873">
        <v>11.05</v>
      </c>
      <c r="H873" t="s">
        <v>27</v>
      </c>
      <c r="I873" t="s">
        <v>28</v>
      </c>
      <c r="J873" s="8">
        <v>46037</v>
      </c>
      <c r="K873" t="s">
        <v>54</v>
      </c>
    </row>
    <row r="874" spans="1:11" x14ac:dyDescent="0.3">
      <c r="A874" t="s">
        <v>1550</v>
      </c>
      <c r="B874" t="s">
        <v>75</v>
      </c>
      <c r="C874" t="s">
        <v>441</v>
      </c>
      <c r="D874" t="s">
        <v>15</v>
      </c>
      <c r="E874" t="s">
        <v>37</v>
      </c>
      <c r="F874">
        <v>1105000</v>
      </c>
      <c r="G874">
        <v>11.05</v>
      </c>
      <c r="H874" t="s">
        <v>27</v>
      </c>
      <c r="I874" t="s">
        <v>28</v>
      </c>
      <c r="J874" s="8">
        <v>46037</v>
      </c>
      <c r="K874" t="s">
        <v>874</v>
      </c>
    </row>
    <row r="875" spans="1:11" x14ac:dyDescent="0.3">
      <c r="A875" t="s">
        <v>1552</v>
      </c>
      <c r="B875" t="s">
        <v>62</v>
      </c>
      <c r="C875" t="s">
        <v>899</v>
      </c>
      <c r="D875" t="s">
        <v>64</v>
      </c>
      <c r="E875" t="s">
        <v>116</v>
      </c>
      <c r="F875">
        <v>1525000</v>
      </c>
      <c r="G875">
        <v>15.25</v>
      </c>
      <c r="H875" t="s">
        <v>27</v>
      </c>
      <c r="I875" t="s">
        <v>28</v>
      </c>
      <c r="J875" s="8">
        <v>46170</v>
      </c>
      <c r="K875" t="s">
        <v>20</v>
      </c>
    </row>
    <row r="876" spans="1:11" x14ac:dyDescent="0.3">
      <c r="A876" t="s">
        <v>1552</v>
      </c>
      <c r="B876" t="s">
        <v>62</v>
      </c>
      <c r="C876" t="s">
        <v>899</v>
      </c>
      <c r="D876" t="s">
        <v>64</v>
      </c>
      <c r="E876" t="s">
        <v>116</v>
      </c>
      <c r="F876">
        <v>1525000</v>
      </c>
      <c r="G876">
        <v>15.25</v>
      </c>
      <c r="H876" t="s">
        <v>27</v>
      </c>
      <c r="I876" t="s">
        <v>28</v>
      </c>
      <c r="J876" s="8">
        <v>46170</v>
      </c>
      <c r="K876" t="s">
        <v>54</v>
      </c>
    </row>
    <row r="877" spans="1:11" x14ac:dyDescent="0.3">
      <c r="A877" t="s">
        <v>1552</v>
      </c>
      <c r="B877" t="s">
        <v>62</v>
      </c>
      <c r="C877" t="s">
        <v>899</v>
      </c>
      <c r="D877" t="s">
        <v>64</v>
      </c>
      <c r="E877" t="s">
        <v>116</v>
      </c>
      <c r="F877">
        <v>1525000</v>
      </c>
      <c r="G877">
        <v>15.25</v>
      </c>
      <c r="H877" t="s">
        <v>27</v>
      </c>
      <c r="I877" t="s">
        <v>28</v>
      </c>
      <c r="J877" s="8">
        <v>46170</v>
      </c>
      <c r="K877" t="s">
        <v>878</v>
      </c>
    </row>
    <row r="878" spans="1:11" x14ac:dyDescent="0.3">
      <c r="A878" t="s">
        <v>1554</v>
      </c>
      <c r="B878" t="s">
        <v>24</v>
      </c>
      <c r="C878" t="s">
        <v>214</v>
      </c>
      <c r="D878" t="s">
        <v>51</v>
      </c>
      <c r="E878" t="s">
        <v>37</v>
      </c>
      <c r="F878">
        <v>1930000</v>
      </c>
      <c r="G878">
        <v>19.3</v>
      </c>
      <c r="H878" t="s">
        <v>27</v>
      </c>
      <c r="I878" t="s">
        <v>845</v>
      </c>
      <c r="J878" s="8">
        <v>46212</v>
      </c>
      <c r="K878" t="s">
        <v>39</v>
      </c>
    </row>
    <row r="879" spans="1:11" x14ac:dyDescent="0.3">
      <c r="A879" t="s">
        <v>1554</v>
      </c>
      <c r="B879" t="s">
        <v>24</v>
      </c>
      <c r="C879" t="s">
        <v>214</v>
      </c>
      <c r="D879" t="s">
        <v>51</v>
      </c>
      <c r="E879" t="s">
        <v>37</v>
      </c>
      <c r="F879">
        <v>1930000</v>
      </c>
      <c r="G879">
        <v>19.3</v>
      </c>
      <c r="H879" t="s">
        <v>27</v>
      </c>
      <c r="I879" t="s">
        <v>845</v>
      </c>
      <c r="J879" s="8">
        <v>46212</v>
      </c>
      <c r="K879" t="s">
        <v>878</v>
      </c>
    </row>
    <row r="880" spans="1:11" x14ac:dyDescent="0.3">
      <c r="A880" t="s">
        <v>1554</v>
      </c>
      <c r="B880" t="s">
        <v>24</v>
      </c>
      <c r="C880" t="s">
        <v>214</v>
      </c>
      <c r="D880" t="s">
        <v>51</v>
      </c>
      <c r="E880" t="s">
        <v>37</v>
      </c>
      <c r="F880">
        <v>1930000</v>
      </c>
      <c r="G880">
        <v>19.3</v>
      </c>
      <c r="H880" t="s">
        <v>27</v>
      </c>
      <c r="I880" t="s">
        <v>845</v>
      </c>
      <c r="J880" s="8">
        <v>46212</v>
      </c>
      <c r="K880" t="s">
        <v>20</v>
      </c>
    </row>
    <row r="881" spans="1:11" x14ac:dyDescent="0.3">
      <c r="A881" t="s">
        <v>1556</v>
      </c>
      <c r="B881" t="s">
        <v>996</v>
      </c>
      <c r="C881" t="s">
        <v>191</v>
      </c>
      <c r="D881" t="s">
        <v>36</v>
      </c>
      <c r="E881" t="s">
        <v>116</v>
      </c>
      <c r="F881">
        <v>850000</v>
      </c>
      <c r="G881">
        <v>8.5</v>
      </c>
      <c r="H881" t="s">
        <v>27</v>
      </c>
      <c r="I881" t="s">
        <v>28</v>
      </c>
      <c r="J881" s="8">
        <v>46050</v>
      </c>
      <c r="K881" t="s">
        <v>39</v>
      </c>
    </row>
    <row r="882" spans="1:11" x14ac:dyDescent="0.3">
      <c r="A882" t="s">
        <v>1556</v>
      </c>
      <c r="B882" t="s">
        <v>996</v>
      </c>
      <c r="C882" t="s">
        <v>191</v>
      </c>
      <c r="D882" t="s">
        <v>36</v>
      </c>
      <c r="E882" t="s">
        <v>116</v>
      </c>
      <c r="F882">
        <v>850000</v>
      </c>
      <c r="G882">
        <v>8.5</v>
      </c>
      <c r="H882" t="s">
        <v>27</v>
      </c>
      <c r="I882" t="s">
        <v>28</v>
      </c>
      <c r="J882" s="8">
        <v>46050</v>
      </c>
      <c r="K882" t="s">
        <v>874</v>
      </c>
    </row>
    <row r="883" spans="1:11" x14ac:dyDescent="0.3">
      <c r="A883" t="s">
        <v>1556</v>
      </c>
      <c r="B883" t="s">
        <v>996</v>
      </c>
      <c r="C883" t="s">
        <v>191</v>
      </c>
      <c r="D883" t="s">
        <v>36</v>
      </c>
      <c r="E883" t="s">
        <v>116</v>
      </c>
      <c r="F883">
        <v>850000</v>
      </c>
      <c r="G883">
        <v>8.5</v>
      </c>
      <c r="H883" t="s">
        <v>27</v>
      </c>
      <c r="I883" t="s">
        <v>28</v>
      </c>
      <c r="J883" s="8">
        <v>46050</v>
      </c>
      <c r="K883" t="s">
        <v>31</v>
      </c>
    </row>
    <row r="884" spans="1:11" x14ac:dyDescent="0.3">
      <c r="A884" t="s">
        <v>1558</v>
      </c>
      <c r="B884" t="s">
        <v>996</v>
      </c>
      <c r="C884" t="s">
        <v>152</v>
      </c>
      <c r="D884" t="s">
        <v>26</v>
      </c>
      <c r="E884" t="s">
        <v>37</v>
      </c>
      <c r="F884">
        <v>1760000</v>
      </c>
      <c r="G884">
        <v>17.600000000000001</v>
      </c>
      <c r="H884" t="s">
        <v>17</v>
      </c>
      <c r="I884" t="s">
        <v>59</v>
      </c>
      <c r="J884" s="8">
        <v>46249</v>
      </c>
      <c r="K884" t="s">
        <v>20</v>
      </c>
    </row>
    <row r="885" spans="1:11" x14ac:dyDescent="0.3">
      <c r="A885" t="s">
        <v>1558</v>
      </c>
      <c r="B885" t="s">
        <v>996</v>
      </c>
      <c r="C885" t="s">
        <v>152</v>
      </c>
      <c r="D885" t="s">
        <v>26</v>
      </c>
      <c r="E885" t="s">
        <v>37</v>
      </c>
      <c r="F885">
        <v>1760000</v>
      </c>
      <c r="G885">
        <v>17.600000000000001</v>
      </c>
      <c r="H885" t="s">
        <v>17</v>
      </c>
      <c r="I885" t="s">
        <v>59</v>
      </c>
      <c r="J885" s="8">
        <v>46249</v>
      </c>
      <c r="K885" t="s">
        <v>46</v>
      </c>
    </row>
    <row r="886" spans="1:11" x14ac:dyDescent="0.3">
      <c r="A886" t="s">
        <v>1558</v>
      </c>
      <c r="B886" t="s">
        <v>996</v>
      </c>
      <c r="C886" t="s">
        <v>152</v>
      </c>
      <c r="D886" t="s">
        <v>26</v>
      </c>
      <c r="E886" t="s">
        <v>37</v>
      </c>
      <c r="F886">
        <v>1760000</v>
      </c>
      <c r="G886">
        <v>17.600000000000001</v>
      </c>
      <c r="H886" t="s">
        <v>17</v>
      </c>
      <c r="I886" t="s">
        <v>59</v>
      </c>
      <c r="J886" s="8">
        <v>46249</v>
      </c>
      <c r="K886" t="s">
        <v>937</v>
      </c>
    </row>
    <row r="887" spans="1:11" x14ac:dyDescent="0.3">
      <c r="A887" t="s">
        <v>1559</v>
      </c>
      <c r="B887" t="s">
        <v>62</v>
      </c>
      <c r="C887" t="s">
        <v>321</v>
      </c>
      <c r="D887" t="s">
        <v>36</v>
      </c>
      <c r="E887" t="s">
        <v>52</v>
      </c>
      <c r="F887">
        <v>225000</v>
      </c>
      <c r="G887">
        <v>2.25</v>
      </c>
      <c r="H887" t="s">
        <v>53</v>
      </c>
      <c r="I887" t="s">
        <v>28</v>
      </c>
      <c r="J887" s="8">
        <v>46255</v>
      </c>
      <c r="K887" t="s">
        <v>20</v>
      </c>
    </row>
    <row r="888" spans="1:11" x14ac:dyDescent="0.3">
      <c r="A888" t="s">
        <v>1559</v>
      </c>
      <c r="B888" t="s">
        <v>62</v>
      </c>
      <c r="C888" t="s">
        <v>321</v>
      </c>
      <c r="D888" t="s">
        <v>36</v>
      </c>
      <c r="E888" t="s">
        <v>52</v>
      </c>
      <c r="F888">
        <v>225000</v>
      </c>
      <c r="G888">
        <v>2.25</v>
      </c>
      <c r="H888" t="s">
        <v>53</v>
      </c>
      <c r="I888" t="s">
        <v>28</v>
      </c>
      <c r="J888" s="8">
        <v>46255</v>
      </c>
      <c r="K888" t="s">
        <v>854</v>
      </c>
    </row>
    <row r="889" spans="1:11" x14ac:dyDescent="0.3">
      <c r="A889" t="s">
        <v>1559</v>
      </c>
      <c r="B889" t="s">
        <v>62</v>
      </c>
      <c r="C889" t="s">
        <v>321</v>
      </c>
      <c r="D889" t="s">
        <v>36</v>
      </c>
      <c r="E889" t="s">
        <v>52</v>
      </c>
      <c r="F889">
        <v>225000</v>
      </c>
      <c r="G889">
        <v>2.25</v>
      </c>
      <c r="H889" t="s">
        <v>53</v>
      </c>
      <c r="I889" t="s">
        <v>28</v>
      </c>
      <c r="J889" s="8">
        <v>46255</v>
      </c>
      <c r="K889" t="s">
        <v>874</v>
      </c>
    </row>
    <row r="890" spans="1:11" x14ac:dyDescent="0.3">
      <c r="A890" t="s">
        <v>1562</v>
      </c>
      <c r="B890" t="s">
        <v>49</v>
      </c>
      <c r="C890" t="s">
        <v>288</v>
      </c>
      <c r="D890" t="s">
        <v>51</v>
      </c>
      <c r="E890" t="s">
        <v>52</v>
      </c>
      <c r="F890">
        <v>285000</v>
      </c>
      <c r="G890">
        <v>2.85</v>
      </c>
      <c r="H890" t="s">
        <v>53</v>
      </c>
      <c r="I890" t="s">
        <v>59</v>
      </c>
      <c r="J890" s="8">
        <v>46218</v>
      </c>
      <c r="K890" t="s">
        <v>878</v>
      </c>
    </row>
    <row r="891" spans="1:11" x14ac:dyDescent="0.3">
      <c r="A891" t="s">
        <v>1562</v>
      </c>
      <c r="B891" t="s">
        <v>49</v>
      </c>
      <c r="C891" t="s">
        <v>288</v>
      </c>
      <c r="D891" t="s">
        <v>51</v>
      </c>
      <c r="E891" t="s">
        <v>52</v>
      </c>
      <c r="F891">
        <v>285000</v>
      </c>
      <c r="G891">
        <v>2.85</v>
      </c>
      <c r="H891" t="s">
        <v>53</v>
      </c>
      <c r="I891" t="s">
        <v>59</v>
      </c>
      <c r="J891" s="8">
        <v>46218</v>
      </c>
      <c r="K891" t="s">
        <v>21</v>
      </c>
    </row>
    <row r="892" spans="1:11" x14ac:dyDescent="0.3">
      <c r="A892" t="s">
        <v>1562</v>
      </c>
      <c r="B892" t="s">
        <v>49</v>
      </c>
      <c r="C892" t="s">
        <v>288</v>
      </c>
      <c r="D892" t="s">
        <v>51</v>
      </c>
      <c r="E892" t="s">
        <v>52</v>
      </c>
      <c r="F892">
        <v>285000</v>
      </c>
      <c r="G892">
        <v>2.85</v>
      </c>
      <c r="H892" t="s">
        <v>53</v>
      </c>
      <c r="I892" t="s">
        <v>59</v>
      </c>
      <c r="J892" s="8">
        <v>46218</v>
      </c>
      <c r="K892" t="s">
        <v>908</v>
      </c>
    </row>
    <row r="893" spans="1:11" x14ac:dyDescent="0.3">
      <c r="A893" t="s">
        <v>1563</v>
      </c>
      <c r="B893" t="s">
        <v>852</v>
      </c>
      <c r="C893" t="s">
        <v>63</v>
      </c>
      <c r="D893" t="s">
        <v>81</v>
      </c>
      <c r="E893" t="s">
        <v>77</v>
      </c>
      <c r="F893">
        <v>4450000</v>
      </c>
      <c r="G893">
        <v>44.5</v>
      </c>
      <c r="H893" t="s">
        <v>27</v>
      </c>
      <c r="I893" t="s">
        <v>845</v>
      </c>
      <c r="J893" s="8">
        <v>46046</v>
      </c>
      <c r="K893" t="s">
        <v>46</v>
      </c>
    </row>
    <row r="894" spans="1:11" x14ac:dyDescent="0.3">
      <c r="A894" t="s">
        <v>1563</v>
      </c>
      <c r="B894" t="s">
        <v>852</v>
      </c>
      <c r="C894" t="s">
        <v>63</v>
      </c>
      <c r="D894" t="s">
        <v>81</v>
      </c>
      <c r="E894" t="s">
        <v>77</v>
      </c>
      <c r="F894">
        <v>4450000</v>
      </c>
      <c r="G894">
        <v>44.5</v>
      </c>
      <c r="H894" t="s">
        <v>27</v>
      </c>
      <c r="I894" t="s">
        <v>845</v>
      </c>
      <c r="J894" s="8">
        <v>46046</v>
      </c>
      <c r="K894" t="s">
        <v>45</v>
      </c>
    </row>
    <row r="895" spans="1:11" x14ac:dyDescent="0.3">
      <c r="A895" t="s">
        <v>1563</v>
      </c>
      <c r="B895" t="s">
        <v>852</v>
      </c>
      <c r="C895" t="s">
        <v>63</v>
      </c>
      <c r="D895" t="s">
        <v>81</v>
      </c>
      <c r="E895" t="s">
        <v>77</v>
      </c>
      <c r="F895">
        <v>4450000</v>
      </c>
      <c r="G895">
        <v>44.5</v>
      </c>
      <c r="H895" t="s">
        <v>27</v>
      </c>
      <c r="I895" t="s">
        <v>845</v>
      </c>
      <c r="J895" s="8">
        <v>46046</v>
      </c>
      <c r="K895" t="s">
        <v>54</v>
      </c>
    </row>
    <row r="896" spans="1:11" x14ac:dyDescent="0.3">
      <c r="A896" t="s">
        <v>1565</v>
      </c>
      <c r="B896" t="s">
        <v>864</v>
      </c>
      <c r="C896" t="s">
        <v>321</v>
      </c>
      <c r="D896" t="s">
        <v>81</v>
      </c>
      <c r="E896" t="s">
        <v>77</v>
      </c>
      <c r="F896">
        <v>2650000</v>
      </c>
      <c r="G896">
        <v>26.5</v>
      </c>
      <c r="H896" t="s">
        <v>27</v>
      </c>
      <c r="I896" t="s">
        <v>28</v>
      </c>
      <c r="J896" s="8">
        <v>46248</v>
      </c>
      <c r="K896" t="s">
        <v>54</v>
      </c>
    </row>
    <row r="897" spans="1:11" x14ac:dyDescent="0.3">
      <c r="A897" t="s">
        <v>1565</v>
      </c>
      <c r="B897" t="s">
        <v>864</v>
      </c>
      <c r="C897" t="s">
        <v>321</v>
      </c>
      <c r="D897" t="s">
        <v>81</v>
      </c>
      <c r="E897" t="s">
        <v>77</v>
      </c>
      <c r="F897">
        <v>2650000</v>
      </c>
      <c r="G897">
        <v>26.5</v>
      </c>
      <c r="H897" t="s">
        <v>27</v>
      </c>
      <c r="I897" t="s">
        <v>28</v>
      </c>
      <c r="J897" s="8">
        <v>46248</v>
      </c>
      <c r="K897" t="s">
        <v>846</v>
      </c>
    </row>
    <row r="898" spans="1:11" x14ac:dyDescent="0.3">
      <c r="A898" t="s">
        <v>1565</v>
      </c>
      <c r="B898" t="s">
        <v>864</v>
      </c>
      <c r="C898" t="s">
        <v>321</v>
      </c>
      <c r="D898" t="s">
        <v>81</v>
      </c>
      <c r="E898" t="s">
        <v>77</v>
      </c>
      <c r="F898">
        <v>2650000</v>
      </c>
      <c r="G898">
        <v>26.5</v>
      </c>
      <c r="H898" t="s">
        <v>27</v>
      </c>
      <c r="I898" t="s">
        <v>28</v>
      </c>
      <c r="J898" s="8">
        <v>46248</v>
      </c>
      <c r="K898" t="s">
        <v>21</v>
      </c>
    </row>
    <row r="899" spans="1:11" x14ac:dyDescent="0.3">
      <c r="A899" t="s">
        <v>1567</v>
      </c>
      <c r="B899" t="s">
        <v>75</v>
      </c>
      <c r="C899" t="s">
        <v>211</v>
      </c>
      <c r="D899" t="s">
        <v>44</v>
      </c>
      <c r="E899" t="s">
        <v>77</v>
      </c>
      <c r="F899">
        <v>4020000</v>
      </c>
      <c r="G899">
        <v>40.200000000000003</v>
      </c>
      <c r="H899" t="s">
        <v>27</v>
      </c>
      <c r="I899" t="s">
        <v>28</v>
      </c>
      <c r="J899" s="8">
        <v>46195</v>
      </c>
      <c r="K899" t="s">
        <v>39</v>
      </c>
    </row>
    <row r="900" spans="1:11" x14ac:dyDescent="0.3">
      <c r="A900" t="s">
        <v>1567</v>
      </c>
      <c r="B900" t="s">
        <v>75</v>
      </c>
      <c r="C900" t="s">
        <v>211</v>
      </c>
      <c r="D900" t="s">
        <v>44</v>
      </c>
      <c r="E900" t="s">
        <v>77</v>
      </c>
      <c r="F900">
        <v>4020000</v>
      </c>
      <c r="G900">
        <v>40.200000000000003</v>
      </c>
      <c r="H900" t="s">
        <v>27</v>
      </c>
      <c r="I900" t="s">
        <v>28</v>
      </c>
      <c r="J900" s="8">
        <v>46195</v>
      </c>
      <c r="K900" t="s">
        <v>29</v>
      </c>
    </row>
    <row r="901" spans="1:11" x14ac:dyDescent="0.3">
      <c r="A901" t="s">
        <v>1567</v>
      </c>
      <c r="B901" t="s">
        <v>75</v>
      </c>
      <c r="C901" t="s">
        <v>211</v>
      </c>
      <c r="D901" t="s">
        <v>44</v>
      </c>
      <c r="E901" t="s">
        <v>77</v>
      </c>
      <c r="F901">
        <v>4020000</v>
      </c>
      <c r="G901">
        <v>40.200000000000003</v>
      </c>
      <c r="H901" t="s">
        <v>27</v>
      </c>
      <c r="I901" t="s">
        <v>28</v>
      </c>
      <c r="J901" s="8">
        <v>46195</v>
      </c>
      <c r="K901" t="s">
        <v>45</v>
      </c>
    </row>
    <row r="902" spans="1:11" x14ac:dyDescent="0.3">
      <c r="A902" t="s">
        <v>1570</v>
      </c>
      <c r="B902" t="s">
        <v>49</v>
      </c>
      <c r="C902" t="s">
        <v>93</v>
      </c>
      <c r="D902" t="s">
        <v>15</v>
      </c>
      <c r="E902" t="s">
        <v>77</v>
      </c>
      <c r="F902">
        <v>1725000</v>
      </c>
      <c r="G902">
        <v>17.25</v>
      </c>
      <c r="H902" t="s">
        <v>27</v>
      </c>
      <c r="I902" t="s">
        <v>28</v>
      </c>
      <c r="J902" s="8">
        <v>46040</v>
      </c>
      <c r="K902" t="s">
        <v>54</v>
      </c>
    </row>
    <row r="903" spans="1:11" x14ac:dyDescent="0.3">
      <c r="A903" t="s">
        <v>1570</v>
      </c>
      <c r="B903" t="s">
        <v>49</v>
      </c>
      <c r="C903" t="s">
        <v>93</v>
      </c>
      <c r="D903" t="s">
        <v>15</v>
      </c>
      <c r="E903" t="s">
        <v>77</v>
      </c>
      <c r="F903">
        <v>1725000</v>
      </c>
      <c r="G903">
        <v>17.25</v>
      </c>
      <c r="H903" t="s">
        <v>27</v>
      </c>
      <c r="I903" t="s">
        <v>28</v>
      </c>
      <c r="J903" s="8">
        <v>46040</v>
      </c>
      <c r="K903" t="s">
        <v>45</v>
      </c>
    </row>
    <row r="904" spans="1:11" x14ac:dyDescent="0.3">
      <c r="A904" t="s">
        <v>1570</v>
      </c>
      <c r="B904" t="s">
        <v>49</v>
      </c>
      <c r="C904" t="s">
        <v>93</v>
      </c>
      <c r="D904" t="s">
        <v>15</v>
      </c>
      <c r="E904" t="s">
        <v>77</v>
      </c>
      <c r="F904">
        <v>1725000</v>
      </c>
      <c r="G904">
        <v>17.25</v>
      </c>
      <c r="H904" t="s">
        <v>27</v>
      </c>
      <c r="I904" t="s">
        <v>28</v>
      </c>
      <c r="J904" s="8">
        <v>46040</v>
      </c>
      <c r="K904" t="s">
        <v>21</v>
      </c>
    </row>
    <row r="905" spans="1:11" x14ac:dyDescent="0.3">
      <c r="A905" t="s">
        <v>1571</v>
      </c>
      <c r="B905" t="s">
        <v>24</v>
      </c>
      <c r="C905" t="s">
        <v>152</v>
      </c>
      <c r="D905" t="s">
        <v>76</v>
      </c>
      <c r="E905" t="s">
        <v>77</v>
      </c>
      <c r="F905">
        <v>4025000</v>
      </c>
      <c r="G905">
        <v>40.25</v>
      </c>
      <c r="H905" t="s">
        <v>27</v>
      </c>
      <c r="I905" t="s">
        <v>28</v>
      </c>
      <c r="J905" s="8">
        <v>46040</v>
      </c>
      <c r="K905" t="s">
        <v>908</v>
      </c>
    </row>
    <row r="906" spans="1:11" x14ac:dyDescent="0.3">
      <c r="A906" t="s">
        <v>1571</v>
      </c>
      <c r="B906" t="s">
        <v>24</v>
      </c>
      <c r="C906" t="s">
        <v>152</v>
      </c>
      <c r="D906" t="s">
        <v>76</v>
      </c>
      <c r="E906" t="s">
        <v>77</v>
      </c>
      <c r="F906">
        <v>4025000</v>
      </c>
      <c r="G906">
        <v>40.25</v>
      </c>
      <c r="H906" t="s">
        <v>27</v>
      </c>
      <c r="I906" t="s">
        <v>28</v>
      </c>
      <c r="J906" s="8">
        <v>46040</v>
      </c>
      <c r="K906" t="s">
        <v>20</v>
      </c>
    </row>
    <row r="907" spans="1:11" x14ac:dyDescent="0.3">
      <c r="A907" t="s">
        <v>1571</v>
      </c>
      <c r="B907" t="s">
        <v>24</v>
      </c>
      <c r="C907" t="s">
        <v>152</v>
      </c>
      <c r="D907" t="s">
        <v>76</v>
      </c>
      <c r="E907" t="s">
        <v>77</v>
      </c>
      <c r="F907">
        <v>4025000</v>
      </c>
      <c r="G907">
        <v>40.25</v>
      </c>
      <c r="H907" t="s">
        <v>27</v>
      </c>
      <c r="I907" t="s">
        <v>28</v>
      </c>
      <c r="J907" s="8">
        <v>46040</v>
      </c>
      <c r="K907" t="s">
        <v>39</v>
      </c>
    </row>
    <row r="908" spans="1:11" x14ac:dyDescent="0.3">
      <c r="A908" t="s">
        <v>1573</v>
      </c>
      <c r="B908" t="s">
        <v>864</v>
      </c>
      <c r="C908" t="s">
        <v>109</v>
      </c>
      <c r="D908" t="s">
        <v>96</v>
      </c>
      <c r="E908" t="s">
        <v>52</v>
      </c>
      <c r="F908">
        <v>385000</v>
      </c>
      <c r="G908">
        <v>3.85</v>
      </c>
      <c r="H908" t="s">
        <v>17</v>
      </c>
      <c r="I908" t="s">
        <v>845</v>
      </c>
      <c r="J908" s="8">
        <v>46055</v>
      </c>
      <c r="K908" t="s">
        <v>908</v>
      </c>
    </row>
    <row r="909" spans="1:11" x14ac:dyDescent="0.3">
      <c r="A909" t="s">
        <v>1573</v>
      </c>
      <c r="B909" t="s">
        <v>864</v>
      </c>
      <c r="C909" t="s">
        <v>109</v>
      </c>
      <c r="D909" t="s">
        <v>96</v>
      </c>
      <c r="E909" t="s">
        <v>52</v>
      </c>
      <c r="F909">
        <v>385000</v>
      </c>
      <c r="G909">
        <v>3.85</v>
      </c>
      <c r="H909" t="s">
        <v>17</v>
      </c>
      <c r="I909" t="s">
        <v>845</v>
      </c>
      <c r="J909" s="8">
        <v>46055</v>
      </c>
      <c r="K909" t="s">
        <v>846</v>
      </c>
    </row>
    <row r="910" spans="1:11" x14ac:dyDescent="0.3">
      <c r="A910" t="s">
        <v>1573</v>
      </c>
      <c r="B910" t="s">
        <v>864</v>
      </c>
      <c r="C910" t="s">
        <v>109</v>
      </c>
      <c r="D910" t="s">
        <v>96</v>
      </c>
      <c r="E910" t="s">
        <v>52</v>
      </c>
      <c r="F910">
        <v>385000</v>
      </c>
      <c r="G910">
        <v>3.85</v>
      </c>
      <c r="H910" t="s">
        <v>17</v>
      </c>
      <c r="I910" t="s">
        <v>845</v>
      </c>
      <c r="J910" s="8">
        <v>46055</v>
      </c>
      <c r="K910" t="s">
        <v>21</v>
      </c>
    </row>
    <row r="911" spans="1:11" x14ac:dyDescent="0.3">
      <c r="A911" t="s">
        <v>1574</v>
      </c>
      <c r="B911" t="s">
        <v>864</v>
      </c>
      <c r="C911" t="s">
        <v>93</v>
      </c>
      <c r="D911" t="s">
        <v>81</v>
      </c>
      <c r="E911" t="s">
        <v>116</v>
      </c>
      <c r="F911">
        <v>880000</v>
      </c>
      <c r="G911">
        <v>8.8000000000000007</v>
      </c>
      <c r="H911" t="s">
        <v>27</v>
      </c>
      <c r="I911" t="s">
        <v>28</v>
      </c>
      <c r="J911" s="8">
        <v>46213</v>
      </c>
      <c r="K911" t="s">
        <v>31</v>
      </c>
    </row>
    <row r="912" spans="1:11" x14ac:dyDescent="0.3">
      <c r="A912" t="s">
        <v>1574</v>
      </c>
      <c r="B912" t="s">
        <v>864</v>
      </c>
      <c r="C912" t="s">
        <v>93</v>
      </c>
      <c r="D912" t="s">
        <v>81</v>
      </c>
      <c r="E912" t="s">
        <v>116</v>
      </c>
      <c r="F912">
        <v>880000</v>
      </c>
      <c r="G912">
        <v>8.8000000000000007</v>
      </c>
      <c r="H912" t="s">
        <v>27</v>
      </c>
      <c r="I912" t="s">
        <v>28</v>
      </c>
      <c r="J912" s="8">
        <v>46213</v>
      </c>
      <c r="K912" t="s">
        <v>846</v>
      </c>
    </row>
    <row r="913" spans="1:11" x14ac:dyDescent="0.3">
      <c r="A913" t="s">
        <v>1574</v>
      </c>
      <c r="B913" t="s">
        <v>864</v>
      </c>
      <c r="C913" t="s">
        <v>93</v>
      </c>
      <c r="D913" t="s">
        <v>81</v>
      </c>
      <c r="E913" t="s">
        <v>116</v>
      </c>
      <c r="F913">
        <v>880000</v>
      </c>
      <c r="G913">
        <v>8.8000000000000007</v>
      </c>
      <c r="H913" t="s">
        <v>27</v>
      </c>
      <c r="I913" t="s">
        <v>28</v>
      </c>
      <c r="J913" s="8">
        <v>46213</v>
      </c>
      <c r="K913" t="s">
        <v>45</v>
      </c>
    </row>
    <row r="914" spans="1:11" x14ac:dyDescent="0.3">
      <c r="A914" t="s">
        <v>1575</v>
      </c>
      <c r="B914" t="s">
        <v>996</v>
      </c>
      <c r="C914" t="s">
        <v>857</v>
      </c>
      <c r="D914" t="s">
        <v>15</v>
      </c>
      <c r="E914" t="s">
        <v>77</v>
      </c>
      <c r="F914">
        <v>1800000</v>
      </c>
      <c r="G914">
        <v>18</v>
      </c>
      <c r="H914" t="s">
        <v>27</v>
      </c>
      <c r="I914" t="s">
        <v>59</v>
      </c>
      <c r="J914" s="8">
        <v>46178</v>
      </c>
      <c r="K914" t="s">
        <v>39</v>
      </c>
    </row>
    <row r="915" spans="1:11" x14ac:dyDescent="0.3">
      <c r="A915" t="s">
        <v>1575</v>
      </c>
      <c r="B915" t="s">
        <v>996</v>
      </c>
      <c r="C915" t="s">
        <v>857</v>
      </c>
      <c r="D915" t="s">
        <v>15</v>
      </c>
      <c r="E915" t="s">
        <v>77</v>
      </c>
      <c r="F915">
        <v>1800000</v>
      </c>
      <c r="G915">
        <v>18</v>
      </c>
      <c r="H915" t="s">
        <v>27</v>
      </c>
      <c r="I915" t="s">
        <v>59</v>
      </c>
      <c r="J915" s="8">
        <v>46178</v>
      </c>
      <c r="K915" t="s">
        <v>20</v>
      </c>
    </row>
    <row r="916" spans="1:11" x14ac:dyDescent="0.3">
      <c r="A916" t="s">
        <v>1575</v>
      </c>
      <c r="B916" t="s">
        <v>996</v>
      </c>
      <c r="C916" t="s">
        <v>857</v>
      </c>
      <c r="D916" t="s">
        <v>15</v>
      </c>
      <c r="E916" t="s">
        <v>77</v>
      </c>
      <c r="F916">
        <v>1800000</v>
      </c>
      <c r="G916">
        <v>18</v>
      </c>
      <c r="H916" t="s">
        <v>27</v>
      </c>
      <c r="I916" t="s">
        <v>59</v>
      </c>
      <c r="J916" s="8">
        <v>46178</v>
      </c>
      <c r="K916" t="s">
        <v>937</v>
      </c>
    </row>
    <row r="917" spans="1:11" x14ac:dyDescent="0.3">
      <c r="A917" t="s">
        <v>1577</v>
      </c>
      <c r="B917" t="s">
        <v>996</v>
      </c>
      <c r="C917" t="s">
        <v>288</v>
      </c>
      <c r="D917" t="s">
        <v>81</v>
      </c>
      <c r="E917" t="s">
        <v>116</v>
      </c>
      <c r="F917">
        <v>1030000</v>
      </c>
      <c r="G917">
        <v>10.3</v>
      </c>
      <c r="H917" t="s">
        <v>27</v>
      </c>
      <c r="I917" t="s">
        <v>28</v>
      </c>
      <c r="J917" s="8">
        <v>46143</v>
      </c>
      <c r="K917" t="s">
        <v>20</v>
      </c>
    </row>
    <row r="918" spans="1:11" x14ac:dyDescent="0.3">
      <c r="A918" t="s">
        <v>1577</v>
      </c>
      <c r="B918" t="s">
        <v>996</v>
      </c>
      <c r="C918" t="s">
        <v>288</v>
      </c>
      <c r="D918" t="s">
        <v>81</v>
      </c>
      <c r="E918" t="s">
        <v>116</v>
      </c>
      <c r="F918">
        <v>1030000</v>
      </c>
      <c r="G918">
        <v>10.3</v>
      </c>
      <c r="H918" t="s">
        <v>27</v>
      </c>
      <c r="I918" t="s">
        <v>28</v>
      </c>
      <c r="J918" s="8">
        <v>46143</v>
      </c>
      <c r="K918" t="s">
        <v>937</v>
      </c>
    </row>
    <row r="919" spans="1:11" x14ac:dyDescent="0.3">
      <c r="A919" t="s">
        <v>1577</v>
      </c>
      <c r="B919" t="s">
        <v>996</v>
      </c>
      <c r="C919" t="s">
        <v>288</v>
      </c>
      <c r="D919" t="s">
        <v>81</v>
      </c>
      <c r="E919" t="s">
        <v>116</v>
      </c>
      <c r="F919">
        <v>1030000</v>
      </c>
      <c r="G919">
        <v>10.3</v>
      </c>
      <c r="H919" t="s">
        <v>27</v>
      </c>
      <c r="I919" t="s">
        <v>28</v>
      </c>
      <c r="J919" s="8">
        <v>46143</v>
      </c>
      <c r="K919" t="s">
        <v>46</v>
      </c>
    </row>
    <row r="920" spans="1:11" x14ac:dyDescent="0.3">
      <c r="A920" t="s">
        <v>1580</v>
      </c>
      <c r="B920" t="s">
        <v>42</v>
      </c>
      <c r="C920" t="s">
        <v>63</v>
      </c>
      <c r="D920" t="s">
        <v>36</v>
      </c>
      <c r="E920" t="s">
        <v>52</v>
      </c>
      <c r="F920">
        <v>355000</v>
      </c>
      <c r="G920">
        <v>3.55</v>
      </c>
      <c r="H920" t="s">
        <v>17</v>
      </c>
      <c r="I920" t="s">
        <v>845</v>
      </c>
      <c r="J920" s="8">
        <v>46257</v>
      </c>
      <c r="K920" t="s">
        <v>854</v>
      </c>
    </row>
    <row r="921" spans="1:11" x14ac:dyDescent="0.3">
      <c r="A921" t="s">
        <v>1580</v>
      </c>
      <c r="B921" t="s">
        <v>42</v>
      </c>
      <c r="C921" t="s">
        <v>63</v>
      </c>
      <c r="D921" t="s">
        <v>36</v>
      </c>
      <c r="E921" t="s">
        <v>52</v>
      </c>
      <c r="F921">
        <v>355000</v>
      </c>
      <c r="G921">
        <v>3.55</v>
      </c>
      <c r="H921" t="s">
        <v>17</v>
      </c>
      <c r="I921" t="s">
        <v>845</v>
      </c>
      <c r="J921" s="8">
        <v>46257</v>
      </c>
      <c r="K921" t="s">
        <v>46</v>
      </c>
    </row>
    <row r="922" spans="1:11" x14ac:dyDescent="0.3">
      <c r="A922" t="s">
        <v>1580</v>
      </c>
      <c r="B922" t="s">
        <v>42</v>
      </c>
      <c r="C922" t="s">
        <v>63</v>
      </c>
      <c r="D922" t="s">
        <v>36</v>
      </c>
      <c r="E922" t="s">
        <v>52</v>
      </c>
      <c r="F922">
        <v>355000</v>
      </c>
      <c r="G922">
        <v>3.55</v>
      </c>
      <c r="H922" t="s">
        <v>17</v>
      </c>
      <c r="I922" t="s">
        <v>845</v>
      </c>
      <c r="J922" s="8">
        <v>46257</v>
      </c>
      <c r="K922" t="s">
        <v>20</v>
      </c>
    </row>
    <row r="923" spans="1:11" x14ac:dyDescent="0.3">
      <c r="A923" t="s">
        <v>1582</v>
      </c>
      <c r="B923" t="s">
        <v>42</v>
      </c>
      <c r="C923" t="s">
        <v>899</v>
      </c>
      <c r="D923" t="s">
        <v>51</v>
      </c>
      <c r="E923" t="s">
        <v>116</v>
      </c>
      <c r="F923">
        <v>1490000</v>
      </c>
      <c r="G923">
        <v>14.9</v>
      </c>
      <c r="H923" t="s">
        <v>17</v>
      </c>
      <c r="I923" t="s">
        <v>845</v>
      </c>
      <c r="J923" s="8">
        <v>46044</v>
      </c>
      <c r="K923" t="s">
        <v>31</v>
      </c>
    </row>
    <row r="924" spans="1:11" x14ac:dyDescent="0.3">
      <c r="A924" t="s">
        <v>1582</v>
      </c>
      <c r="B924" t="s">
        <v>42</v>
      </c>
      <c r="C924" t="s">
        <v>899</v>
      </c>
      <c r="D924" t="s">
        <v>51</v>
      </c>
      <c r="E924" t="s">
        <v>116</v>
      </c>
      <c r="F924">
        <v>1490000</v>
      </c>
      <c r="G924">
        <v>14.9</v>
      </c>
      <c r="H924" t="s">
        <v>17</v>
      </c>
      <c r="I924" t="s">
        <v>845</v>
      </c>
      <c r="J924" s="8">
        <v>46044</v>
      </c>
      <c r="K924" t="s">
        <v>854</v>
      </c>
    </row>
    <row r="925" spans="1:11" x14ac:dyDescent="0.3">
      <c r="A925" t="s">
        <v>1582</v>
      </c>
      <c r="B925" t="s">
        <v>42</v>
      </c>
      <c r="C925" t="s">
        <v>899</v>
      </c>
      <c r="D925" t="s">
        <v>51</v>
      </c>
      <c r="E925" t="s">
        <v>116</v>
      </c>
      <c r="F925">
        <v>1490000</v>
      </c>
      <c r="G925">
        <v>14.9</v>
      </c>
      <c r="H925" t="s">
        <v>17</v>
      </c>
      <c r="I925" t="s">
        <v>845</v>
      </c>
      <c r="J925" s="8">
        <v>46044</v>
      </c>
      <c r="K925" t="s">
        <v>20</v>
      </c>
    </row>
    <row r="926" spans="1:11" x14ac:dyDescent="0.3">
      <c r="A926" t="s">
        <v>1584</v>
      </c>
      <c r="B926" t="s">
        <v>75</v>
      </c>
      <c r="C926" t="s">
        <v>188</v>
      </c>
      <c r="D926" t="s">
        <v>44</v>
      </c>
      <c r="E926" t="s">
        <v>77</v>
      </c>
      <c r="F926">
        <v>3260000</v>
      </c>
      <c r="G926">
        <v>32.6</v>
      </c>
      <c r="H926" t="s">
        <v>17</v>
      </c>
      <c r="I926" t="s">
        <v>59</v>
      </c>
      <c r="J926" s="8">
        <v>46177</v>
      </c>
      <c r="K926" t="s">
        <v>31</v>
      </c>
    </row>
    <row r="927" spans="1:11" x14ac:dyDescent="0.3">
      <c r="A927" t="s">
        <v>1584</v>
      </c>
      <c r="B927" t="s">
        <v>75</v>
      </c>
      <c r="C927" t="s">
        <v>188</v>
      </c>
      <c r="D927" t="s">
        <v>44</v>
      </c>
      <c r="E927" t="s">
        <v>77</v>
      </c>
      <c r="F927">
        <v>3260000</v>
      </c>
      <c r="G927">
        <v>32.6</v>
      </c>
      <c r="H927" t="s">
        <v>17</v>
      </c>
      <c r="I927" t="s">
        <v>59</v>
      </c>
      <c r="J927" s="8">
        <v>46177</v>
      </c>
      <c r="K927" t="s">
        <v>54</v>
      </c>
    </row>
    <row r="928" spans="1:11" x14ac:dyDescent="0.3">
      <c r="A928" t="s">
        <v>1584</v>
      </c>
      <c r="B928" t="s">
        <v>75</v>
      </c>
      <c r="C928" t="s">
        <v>188</v>
      </c>
      <c r="D928" t="s">
        <v>44</v>
      </c>
      <c r="E928" t="s">
        <v>77</v>
      </c>
      <c r="F928">
        <v>3260000</v>
      </c>
      <c r="G928">
        <v>32.6</v>
      </c>
      <c r="H928" t="s">
        <v>17</v>
      </c>
      <c r="I928" t="s">
        <v>59</v>
      </c>
      <c r="J928" s="8">
        <v>46177</v>
      </c>
      <c r="K928" t="s">
        <v>878</v>
      </c>
    </row>
    <row r="929" spans="1:11" x14ac:dyDescent="0.3">
      <c r="A929" t="s">
        <v>1586</v>
      </c>
      <c r="B929" t="s">
        <v>75</v>
      </c>
      <c r="C929" t="s">
        <v>1367</v>
      </c>
      <c r="D929" t="s">
        <v>44</v>
      </c>
      <c r="E929" t="s">
        <v>116</v>
      </c>
      <c r="F929">
        <v>1030000</v>
      </c>
      <c r="G929">
        <v>10.3</v>
      </c>
      <c r="H929" t="s">
        <v>27</v>
      </c>
      <c r="I929" t="s">
        <v>28</v>
      </c>
      <c r="J929" s="8">
        <v>46114</v>
      </c>
      <c r="K929" t="s">
        <v>21</v>
      </c>
    </row>
    <row r="930" spans="1:11" x14ac:dyDescent="0.3">
      <c r="A930" t="s">
        <v>1586</v>
      </c>
      <c r="B930" t="s">
        <v>75</v>
      </c>
      <c r="C930" t="s">
        <v>1367</v>
      </c>
      <c r="D930" t="s">
        <v>44</v>
      </c>
      <c r="E930" t="s">
        <v>116</v>
      </c>
      <c r="F930">
        <v>1030000</v>
      </c>
      <c r="G930">
        <v>10.3</v>
      </c>
      <c r="H930" t="s">
        <v>27</v>
      </c>
      <c r="I930" t="s">
        <v>28</v>
      </c>
      <c r="J930" s="8">
        <v>46114</v>
      </c>
      <c r="K930" t="s">
        <v>46</v>
      </c>
    </row>
    <row r="931" spans="1:11" x14ac:dyDescent="0.3">
      <c r="A931" t="s">
        <v>1586</v>
      </c>
      <c r="B931" t="s">
        <v>75</v>
      </c>
      <c r="C931" t="s">
        <v>1367</v>
      </c>
      <c r="D931" t="s">
        <v>44</v>
      </c>
      <c r="E931" t="s">
        <v>116</v>
      </c>
      <c r="F931">
        <v>1030000</v>
      </c>
      <c r="G931">
        <v>10.3</v>
      </c>
      <c r="H931" t="s">
        <v>27</v>
      </c>
      <c r="I931" t="s">
        <v>28</v>
      </c>
      <c r="J931" s="8">
        <v>46114</v>
      </c>
      <c r="K931" t="s">
        <v>54</v>
      </c>
    </row>
    <row r="932" spans="1:11" x14ac:dyDescent="0.3">
      <c r="A932" t="s">
        <v>1588</v>
      </c>
      <c r="B932" t="s">
        <v>960</v>
      </c>
      <c r="C932" t="s">
        <v>288</v>
      </c>
      <c r="D932" t="s">
        <v>15</v>
      </c>
      <c r="E932" t="s">
        <v>16</v>
      </c>
      <c r="F932">
        <v>1030000</v>
      </c>
      <c r="G932">
        <v>10.3</v>
      </c>
      <c r="H932" t="s">
        <v>27</v>
      </c>
      <c r="I932" t="s">
        <v>845</v>
      </c>
      <c r="J932" s="8">
        <v>46136</v>
      </c>
      <c r="K932" t="s">
        <v>878</v>
      </c>
    </row>
    <row r="933" spans="1:11" x14ac:dyDescent="0.3">
      <c r="A933" t="s">
        <v>1588</v>
      </c>
      <c r="B933" t="s">
        <v>960</v>
      </c>
      <c r="C933" t="s">
        <v>288</v>
      </c>
      <c r="D933" t="s">
        <v>15</v>
      </c>
      <c r="E933" t="s">
        <v>16</v>
      </c>
      <c r="F933">
        <v>1030000</v>
      </c>
      <c r="G933">
        <v>10.3</v>
      </c>
      <c r="H933" t="s">
        <v>27</v>
      </c>
      <c r="I933" t="s">
        <v>845</v>
      </c>
      <c r="J933" s="8">
        <v>46136</v>
      </c>
      <c r="K933" t="s">
        <v>29</v>
      </c>
    </row>
    <row r="934" spans="1:11" x14ac:dyDescent="0.3">
      <c r="A934" t="s">
        <v>1588</v>
      </c>
      <c r="B934" t="s">
        <v>960</v>
      </c>
      <c r="C934" t="s">
        <v>288</v>
      </c>
      <c r="D934" t="s">
        <v>15</v>
      </c>
      <c r="E934" t="s">
        <v>16</v>
      </c>
      <c r="F934">
        <v>1030000</v>
      </c>
      <c r="G934">
        <v>10.3</v>
      </c>
      <c r="H934" t="s">
        <v>27</v>
      </c>
      <c r="I934" t="s">
        <v>845</v>
      </c>
      <c r="J934" s="8">
        <v>46136</v>
      </c>
      <c r="K934" t="s">
        <v>846</v>
      </c>
    </row>
    <row r="935" spans="1:11" x14ac:dyDescent="0.3">
      <c r="A935" t="s">
        <v>1590</v>
      </c>
      <c r="B935" t="s">
        <v>960</v>
      </c>
      <c r="C935" t="s">
        <v>271</v>
      </c>
      <c r="D935" t="s">
        <v>26</v>
      </c>
      <c r="E935" t="s">
        <v>77</v>
      </c>
      <c r="F935">
        <v>3355000</v>
      </c>
      <c r="G935">
        <v>33.549999999999997</v>
      </c>
      <c r="H935" t="s">
        <v>27</v>
      </c>
      <c r="I935" t="s">
        <v>845</v>
      </c>
      <c r="J935" s="8">
        <v>46207</v>
      </c>
      <c r="K935" t="s">
        <v>39</v>
      </c>
    </row>
    <row r="936" spans="1:11" x14ac:dyDescent="0.3">
      <c r="A936" t="s">
        <v>1590</v>
      </c>
      <c r="B936" t="s">
        <v>960</v>
      </c>
      <c r="C936" t="s">
        <v>271</v>
      </c>
      <c r="D936" t="s">
        <v>26</v>
      </c>
      <c r="E936" t="s">
        <v>77</v>
      </c>
      <c r="F936">
        <v>3355000</v>
      </c>
      <c r="G936">
        <v>33.549999999999997</v>
      </c>
      <c r="H936" t="s">
        <v>27</v>
      </c>
      <c r="I936" t="s">
        <v>845</v>
      </c>
      <c r="J936" s="8">
        <v>46207</v>
      </c>
      <c r="K936" t="s">
        <v>30</v>
      </c>
    </row>
    <row r="937" spans="1:11" x14ac:dyDescent="0.3">
      <c r="A937" t="s">
        <v>1590</v>
      </c>
      <c r="B937" t="s">
        <v>960</v>
      </c>
      <c r="C937" t="s">
        <v>271</v>
      </c>
      <c r="D937" t="s">
        <v>26</v>
      </c>
      <c r="E937" t="s">
        <v>77</v>
      </c>
      <c r="F937">
        <v>3355000</v>
      </c>
      <c r="G937">
        <v>33.549999999999997</v>
      </c>
      <c r="H937" t="s">
        <v>27</v>
      </c>
      <c r="I937" t="s">
        <v>845</v>
      </c>
      <c r="J937" s="8">
        <v>46207</v>
      </c>
      <c r="K937" t="s">
        <v>937</v>
      </c>
    </row>
    <row r="938" spans="1:11" x14ac:dyDescent="0.3">
      <c r="A938" t="s">
        <v>1593</v>
      </c>
      <c r="B938" t="s">
        <v>62</v>
      </c>
      <c r="C938" t="s">
        <v>999</v>
      </c>
      <c r="D938" t="s">
        <v>26</v>
      </c>
      <c r="E938" t="s">
        <v>52</v>
      </c>
      <c r="F938">
        <v>755000</v>
      </c>
      <c r="G938">
        <v>7.55</v>
      </c>
      <c r="H938" t="s">
        <v>27</v>
      </c>
      <c r="I938" t="s">
        <v>59</v>
      </c>
      <c r="J938" s="8">
        <v>46175</v>
      </c>
      <c r="K938" t="s">
        <v>31</v>
      </c>
    </row>
    <row r="939" spans="1:11" x14ac:dyDescent="0.3">
      <c r="A939" t="s">
        <v>1593</v>
      </c>
      <c r="B939" t="s">
        <v>62</v>
      </c>
      <c r="C939" t="s">
        <v>999</v>
      </c>
      <c r="D939" t="s">
        <v>26</v>
      </c>
      <c r="E939" t="s">
        <v>52</v>
      </c>
      <c r="F939">
        <v>755000</v>
      </c>
      <c r="G939">
        <v>7.55</v>
      </c>
      <c r="H939" t="s">
        <v>27</v>
      </c>
      <c r="I939" t="s">
        <v>59</v>
      </c>
      <c r="J939" s="8">
        <v>46175</v>
      </c>
      <c r="K939" t="s">
        <v>30</v>
      </c>
    </row>
    <row r="940" spans="1:11" x14ac:dyDescent="0.3">
      <c r="A940" t="s">
        <v>1593</v>
      </c>
      <c r="B940" t="s">
        <v>62</v>
      </c>
      <c r="C940" t="s">
        <v>999</v>
      </c>
      <c r="D940" t="s">
        <v>26</v>
      </c>
      <c r="E940" t="s">
        <v>52</v>
      </c>
      <c r="F940">
        <v>755000</v>
      </c>
      <c r="G940">
        <v>7.55</v>
      </c>
      <c r="H940" t="s">
        <v>27</v>
      </c>
      <c r="I940" t="s">
        <v>59</v>
      </c>
      <c r="J940" s="8">
        <v>46175</v>
      </c>
      <c r="K940" t="s">
        <v>20</v>
      </c>
    </row>
    <row r="941" spans="1:11" x14ac:dyDescent="0.3">
      <c r="A941" t="s">
        <v>1594</v>
      </c>
      <c r="B941" t="s">
        <v>852</v>
      </c>
      <c r="C941" t="s">
        <v>50</v>
      </c>
      <c r="D941" t="s">
        <v>76</v>
      </c>
      <c r="E941" t="s">
        <v>37</v>
      </c>
      <c r="F941">
        <v>1240000</v>
      </c>
      <c r="G941">
        <v>12.4</v>
      </c>
      <c r="H941" t="s">
        <v>27</v>
      </c>
      <c r="I941" t="s">
        <v>28</v>
      </c>
      <c r="J941" s="8">
        <v>46033</v>
      </c>
      <c r="K941" t="s">
        <v>878</v>
      </c>
    </row>
    <row r="942" spans="1:11" x14ac:dyDescent="0.3">
      <c r="A942" t="s">
        <v>1594</v>
      </c>
      <c r="B942" t="s">
        <v>852</v>
      </c>
      <c r="C942" t="s">
        <v>50</v>
      </c>
      <c r="D942" t="s">
        <v>76</v>
      </c>
      <c r="E942" t="s">
        <v>37</v>
      </c>
      <c r="F942">
        <v>1240000</v>
      </c>
      <c r="G942">
        <v>12.4</v>
      </c>
      <c r="H942" t="s">
        <v>27</v>
      </c>
      <c r="I942" t="s">
        <v>28</v>
      </c>
      <c r="J942" s="8">
        <v>46033</v>
      </c>
      <c r="K942" t="s">
        <v>854</v>
      </c>
    </row>
    <row r="943" spans="1:11" x14ac:dyDescent="0.3">
      <c r="A943" t="s">
        <v>1594</v>
      </c>
      <c r="B943" t="s">
        <v>852</v>
      </c>
      <c r="C943" t="s">
        <v>50</v>
      </c>
      <c r="D943" t="s">
        <v>76</v>
      </c>
      <c r="E943" t="s">
        <v>37</v>
      </c>
      <c r="F943">
        <v>1240000</v>
      </c>
      <c r="G943">
        <v>12.4</v>
      </c>
      <c r="H943" t="s">
        <v>27</v>
      </c>
      <c r="I943" t="s">
        <v>28</v>
      </c>
      <c r="J943" s="8">
        <v>46033</v>
      </c>
      <c r="K943" t="s">
        <v>29</v>
      </c>
    </row>
    <row r="944" spans="1:11" x14ac:dyDescent="0.3">
      <c r="A944" t="s">
        <v>1597</v>
      </c>
      <c r="B944" t="s">
        <v>13</v>
      </c>
      <c r="C944" t="s">
        <v>194</v>
      </c>
      <c r="D944" t="s">
        <v>15</v>
      </c>
      <c r="E944" t="s">
        <v>16</v>
      </c>
      <c r="F944">
        <v>775000</v>
      </c>
      <c r="G944">
        <v>7.75</v>
      </c>
      <c r="H944" t="s">
        <v>27</v>
      </c>
      <c r="I944" t="s">
        <v>845</v>
      </c>
      <c r="J944" s="8">
        <v>46150</v>
      </c>
      <c r="K944" t="s">
        <v>45</v>
      </c>
    </row>
    <row r="945" spans="1:11" x14ac:dyDescent="0.3">
      <c r="A945" t="s">
        <v>1597</v>
      </c>
      <c r="B945" t="s">
        <v>13</v>
      </c>
      <c r="C945" t="s">
        <v>194</v>
      </c>
      <c r="D945" t="s">
        <v>15</v>
      </c>
      <c r="E945" t="s">
        <v>16</v>
      </c>
      <c r="F945">
        <v>775000</v>
      </c>
      <c r="G945">
        <v>7.75</v>
      </c>
      <c r="H945" t="s">
        <v>27</v>
      </c>
      <c r="I945" t="s">
        <v>845</v>
      </c>
      <c r="J945" s="8">
        <v>46150</v>
      </c>
      <c r="K945" t="s">
        <v>846</v>
      </c>
    </row>
    <row r="946" spans="1:11" x14ac:dyDescent="0.3">
      <c r="A946" t="s">
        <v>1597</v>
      </c>
      <c r="B946" t="s">
        <v>13</v>
      </c>
      <c r="C946" t="s">
        <v>194</v>
      </c>
      <c r="D946" t="s">
        <v>15</v>
      </c>
      <c r="E946" t="s">
        <v>16</v>
      </c>
      <c r="F946">
        <v>775000</v>
      </c>
      <c r="G946">
        <v>7.75</v>
      </c>
      <c r="H946" t="s">
        <v>27</v>
      </c>
      <c r="I946" t="s">
        <v>845</v>
      </c>
      <c r="J946" s="8">
        <v>46150</v>
      </c>
      <c r="K946" t="s">
        <v>854</v>
      </c>
    </row>
    <row r="947" spans="1:11" x14ac:dyDescent="0.3">
      <c r="A947" t="s">
        <v>1598</v>
      </c>
      <c r="B947" t="s">
        <v>852</v>
      </c>
      <c r="C947" t="s">
        <v>357</v>
      </c>
      <c r="D947" t="s">
        <v>76</v>
      </c>
      <c r="E947" t="s">
        <v>37</v>
      </c>
      <c r="F947">
        <v>2040000</v>
      </c>
      <c r="G947">
        <v>20.399999999999999</v>
      </c>
      <c r="H947" t="s">
        <v>27</v>
      </c>
      <c r="I947" t="s">
        <v>845</v>
      </c>
      <c r="J947" s="8">
        <v>46179</v>
      </c>
      <c r="K947" t="s">
        <v>39</v>
      </c>
    </row>
    <row r="948" spans="1:11" x14ac:dyDescent="0.3">
      <c r="A948" t="s">
        <v>1598</v>
      </c>
      <c r="B948" t="s">
        <v>852</v>
      </c>
      <c r="C948" t="s">
        <v>357</v>
      </c>
      <c r="D948" t="s">
        <v>76</v>
      </c>
      <c r="E948" t="s">
        <v>37</v>
      </c>
      <c r="F948">
        <v>2040000</v>
      </c>
      <c r="G948">
        <v>20.399999999999999</v>
      </c>
      <c r="H948" t="s">
        <v>27</v>
      </c>
      <c r="I948" t="s">
        <v>845</v>
      </c>
      <c r="J948" s="8">
        <v>46179</v>
      </c>
      <c r="K948" t="s">
        <v>45</v>
      </c>
    </row>
    <row r="949" spans="1:11" x14ac:dyDescent="0.3">
      <c r="A949" t="s">
        <v>1598</v>
      </c>
      <c r="B949" t="s">
        <v>852</v>
      </c>
      <c r="C949" t="s">
        <v>357</v>
      </c>
      <c r="D949" t="s">
        <v>76</v>
      </c>
      <c r="E949" t="s">
        <v>37</v>
      </c>
      <c r="F949">
        <v>2040000</v>
      </c>
      <c r="G949">
        <v>20.399999999999999</v>
      </c>
      <c r="H949" t="s">
        <v>27</v>
      </c>
      <c r="I949" t="s">
        <v>845</v>
      </c>
      <c r="J949" s="8">
        <v>46179</v>
      </c>
      <c r="K949" t="s">
        <v>31</v>
      </c>
    </row>
    <row r="950" spans="1:11" x14ac:dyDescent="0.3">
      <c r="A950" t="s">
        <v>1600</v>
      </c>
      <c r="B950" t="s">
        <v>62</v>
      </c>
      <c r="C950" t="s">
        <v>530</v>
      </c>
      <c r="D950" t="s">
        <v>36</v>
      </c>
      <c r="E950" t="s">
        <v>52</v>
      </c>
      <c r="F950">
        <v>250000</v>
      </c>
      <c r="G950">
        <v>2.5</v>
      </c>
      <c r="H950" t="s">
        <v>53</v>
      </c>
      <c r="I950" t="s">
        <v>28</v>
      </c>
      <c r="J950" s="8">
        <v>46125</v>
      </c>
      <c r="K950" t="s">
        <v>20</v>
      </c>
    </row>
    <row r="951" spans="1:11" x14ac:dyDescent="0.3">
      <c r="A951" t="s">
        <v>1600</v>
      </c>
      <c r="B951" t="s">
        <v>62</v>
      </c>
      <c r="C951" t="s">
        <v>530</v>
      </c>
      <c r="D951" t="s">
        <v>36</v>
      </c>
      <c r="E951" t="s">
        <v>52</v>
      </c>
      <c r="F951">
        <v>250000</v>
      </c>
      <c r="G951">
        <v>2.5</v>
      </c>
      <c r="H951" t="s">
        <v>53</v>
      </c>
      <c r="I951" t="s">
        <v>28</v>
      </c>
      <c r="J951" s="8">
        <v>46125</v>
      </c>
      <c r="K951" t="s">
        <v>30</v>
      </c>
    </row>
    <row r="952" spans="1:11" x14ac:dyDescent="0.3">
      <c r="A952" t="s">
        <v>1600</v>
      </c>
      <c r="B952" t="s">
        <v>62</v>
      </c>
      <c r="C952" t="s">
        <v>530</v>
      </c>
      <c r="D952" t="s">
        <v>36</v>
      </c>
      <c r="E952" t="s">
        <v>52</v>
      </c>
      <c r="F952">
        <v>250000</v>
      </c>
      <c r="G952">
        <v>2.5</v>
      </c>
      <c r="H952" t="s">
        <v>53</v>
      </c>
      <c r="I952" t="s">
        <v>28</v>
      </c>
      <c r="J952" s="8">
        <v>46125</v>
      </c>
      <c r="K952" t="s">
        <v>45</v>
      </c>
    </row>
    <row r="953" spans="1:11" x14ac:dyDescent="0.3">
      <c r="A953" t="s">
        <v>1603</v>
      </c>
      <c r="B953" t="s">
        <v>864</v>
      </c>
      <c r="C953" t="s">
        <v>160</v>
      </c>
      <c r="D953" t="s">
        <v>76</v>
      </c>
      <c r="E953" t="s">
        <v>77</v>
      </c>
      <c r="F953">
        <v>3185000</v>
      </c>
      <c r="G953">
        <v>31.85</v>
      </c>
      <c r="H953" t="s">
        <v>27</v>
      </c>
      <c r="I953" t="s">
        <v>845</v>
      </c>
      <c r="J953" s="8">
        <v>46093</v>
      </c>
      <c r="K953" t="s">
        <v>45</v>
      </c>
    </row>
    <row r="954" spans="1:11" x14ac:dyDescent="0.3">
      <c r="A954" t="s">
        <v>1603</v>
      </c>
      <c r="B954" t="s">
        <v>864</v>
      </c>
      <c r="C954" t="s">
        <v>160</v>
      </c>
      <c r="D954" t="s">
        <v>76</v>
      </c>
      <c r="E954" t="s">
        <v>77</v>
      </c>
      <c r="F954">
        <v>3185000</v>
      </c>
      <c r="G954">
        <v>31.85</v>
      </c>
      <c r="H954" t="s">
        <v>27</v>
      </c>
      <c r="I954" t="s">
        <v>845</v>
      </c>
      <c r="J954" s="8">
        <v>46093</v>
      </c>
      <c r="K954" t="s">
        <v>878</v>
      </c>
    </row>
    <row r="955" spans="1:11" x14ac:dyDescent="0.3">
      <c r="A955" t="s">
        <v>1603</v>
      </c>
      <c r="B955" t="s">
        <v>864</v>
      </c>
      <c r="C955" t="s">
        <v>160</v>
      </c>
      <c r="D955" t="s">
        <v>76</v>
      </c>
      <c r="E955" t="s">
        <v>77</v>
      </c>
      <c r="F955">
        <v>3185000</v>
      </c>
      <c r="G955">
        <v>31.85</v>
      </c>
      <c r="H955" t="s">
        <v>27</v>
      </c>
      <c r="I955" t="s">
        <v>845</v>
      </c>
      <c r="J955" s="8">
        <v>46093</v>
      </c>
      <c r="K955" t="s">
        <v>908</v>
      </c>
    </row>
    <row r="956" spans="1:11" x14ac:dyDescent="0.3">
      <c r="A956" t="s">
        <v>1605</v>
      </c>
      <c r="B956" t="s">
        <v>864</v>
      </c>
      <c r="C956" t="s">
        <v>906</v>
      </c>
      <c r="D956" t="s">
        <v>15</v>
      </c>
      <c r="E956" t="s">
        <v>77</v>
      </c>
      <c r="F956">
        <v>3065000</v>
      </c>
      <c r="G956">
        <v>30.65</v>
      </c>
      <c r="H956" t="s">
        <v>27</v>
      </c>
      <c r="I956" t="s">
        <v>28</v>
      </c>
      <c r="J956" s="8">
        <v>46035</v>
      </c>
      <c r="K956" t="s">
        <v>29</v>
      </c>
    </row>
    <row r="957" spans="1:11" x14ac:dyDescent="0.3">
      <c r="A957" t="s">
        <v>1605</v>
      </c>
      <c r="B957" t="s">
        <v>864</v>
      </c>
      <c r="C957" t="s">
        <v>906</v>
      </c>
      <c r="D957" t="s">
        <v>15</v>
      </c>
      <c r="E957" t="s">
        <v>77</v>
      </c>
      <c r="F957">
        <v>3065000</v>
      </c>
      <c r="G957">
        <v>30.65</v>
      </c>
      <c r="H957" t="s">
        <v>27</v>
      </c>
      <c r="I957" t="s">
        <v>28</v>
      </c>
      <c r="J957" s="8">
        <v>46035</v>
      </c>
      <c r="K957" t="s">
        <v>31</v>
      </c>
    </row>
    <row r="958" spans="1:11" x14ac:dyDescent="0.3">
      <c r="A958" t="s">
        <v>1605</v>
      </c>
      <c r="B958" t="s">
        <v>864</v>
      </c>
      <c r="C958" t="s">
        <v>906</v>
      </c>
      <c r="D958" t="s">
        <v>15</v>
      </c>
      <c r="E958" t="s">
        <v>77</v>
      </c>
      <c r="F958">
        <v>3065000</v>
      </c>
      <c r="G958">
        <v>30.65</v>
      </c>
      <c r="H958" t="s">
        <v>27</v>
      </c>
      <c r="I958" t="s">
        <v>28</v>
      </c>
      <c r="J958" s="8">
        <v>46035</v>
      </c>
      <c r="K958" t="s">
        <v>45</v>
      </c>
    </row>
    <row r="959" spans="1:11" x14ac:dyDescent="0.3">
      <c r="A959" t="s">
        <v>1608</v>
      </c>
      <c r="B959" t="s">
        <v>62</v>
      </c>
      <c r="C959" t="s">
        <v>1278</v>
      </c>
      <c r="D959" t="s">
        <v>44</v>
      </c>
      <c r="E959" t="s">
        <v>37</v>
      </c>
      <c r="F959">
        <v>1890000</v>
      </c>
      <c r="G959">
        <v>18.899999999999999</v>
      </c>
      <c r="H959" t="s">
        <v>17</v>
      </c>
      <c r="I959" t="s">
        <v>28</v>
      </c>
      <c r="J959" s="8">
        <v>46117</v>
      </c>
      <c r="K959" t="s">
        <v>20</v>
      </c>
    </row>
    <row r="960" spans="1:11" x14ac:dyDescent="0.3">
      <c r="A960" t="s">
        <v>1608</v>
      </c>
      <c r="B960" t="s">
        <v>62</v>
      </c>
      <c r="C960" t="s">
        <v>1278</v>
      </c>
      <c r="D960" t="s">
        <v>44</v>
      </c>
      <c r="E960" t="s">
        <v>37</v>
      </c>
      <c r="F960">
        <v>1890000</v>
      </c>
      <c r="G960">
        <v>18.899999999999999</v>
      </c>
      <c r="H960" t="s">
        <v>17</v>
      </c>
      <c r="I960" t="s">
        <v>28</v>
      </c>
      <c r="J960" s="8">
        <v>46117</v>
      </c>
      <c r="K960" t="s">
        <v>45</v>
      </c>
    </row>
    <row r="961" spans="1:11" x14ac:dyDescent="0.3">
      <c r="A961" t="s">
        <v>1608</v>
      </c>
      <c r="B961" t="s">
        <v>62</v>
      </c>
      <c r="C961" t="s">
        <v>1278</v>
      </c>
      <c r="D961" t="s">
        <v>44</v>
      </c>
      <c r="E961" t="s">
        <v>37</v>
      </c>
      <c r="F961">
        <v>1890000</v>
      </c>
      <c r="G961">
        <v>18.899999999999999</v>
      </c>
      <c r="H961" t="s">
        <v>17</v>
      </c>
      <c r="I961" t="s">
        <v>28</v>
      </c>
      <c r="J961" s="8">
        <v>46117</v>
      </c>
      <c r="K961" t="s">
        <v>31</v>
      </c>
    </row>
    <row r="962" spans="1:11" x14ac:dyDescent="0.3">
      <c r="A962" t="s">
        <v>1610</v>
      </c>
      <c r="B962" t="s">
        <v>42</v>
      </c>
      <c r="C962" t="s">
        <v>268</v>
      </c>
      <c r="D962" t="s">
        <v>71</v>
      </c>
      <c r="E962" t="s">
        <v>116</v>
      </c>
      <c r="F962">
        <v>1140000</v>
      </c>
      <c r="G962">
        <v>11.4</v>
      </c>
      <c r="H962" t="s">
        <v>17</v>
      </c>
      <c r="I962" t="s">
        <v>845</v>
      </c>
      <c r="J962" s="8">
        <v>46127</v>
      </c>
      <c r="K962" t="s">
        <v>29</v>
      </c>
    </row>
    <row r="963" spans="1:11" x14ac:dyDescent="0.3">
      <c r="A963" t="s">
        <v>1610</v>
      </c>
      <c r="B963" t="s">
        <v>42</v>
      </c>
      <c r="C963" t="s">
        <v>268</v>
      </c>
      <c r="D963" t="s">
        <v>71</v>
      </c>
      <c r="E963" t="s">
        <v>116</v>
      </c>
      <c r="F963">
        <v>1140000</v>
      </c>
      <c r="G963">
        <v>11.4</v>
      </c>
      <c r="H963" t="s">
        <v>17</v>
      </c>
      <c r="I963" t="s">
        <v>845</v>
      </c>
      <c r="J963" s="8">
        <v>46127</v>
      </c>
      <c r="K963" t="s">
        <v>45</v>
      </c>
    </row>
    <row r="964" spans="1:11" x14ac:dyDescent="0.3">
      <c r="A964" t="s">
        <v>1610</v>
      </c>
      <c r="B964" t="s">
        <v>42</v>
      </c>
      <c r="C964" t="s">
        <v>268</v>
      </c>
      <c r="D964" t="s">
        <v>71</v>
      </c>
      <c r="E964" t="s">
        <v>116</v>
      </c>
      <c r="F964">
        <v>1140000</v>
      </c>
      <c r="G964">
        <v>11.4</v>
      </c>
      <c r="H964" t="s">
        <v>17</v>
      </c>
      <c r="I964" t="s">
        <v>845</v>
      </c>
      <c r="J964" s="8">
        <v>46127</v>
      </c>
      <c r="K964" t="s">
        <v>854</v>
      </c>
    </row>
    <row r="965" spans="1:11" x14ac:dyDescent="0.3">
      <c r="A965" t="s">
        <v>1612</v>
      </c>
      <c r="B965" t="s">
        <v>75</v>
      </c>
      <c r="C965" t="s">
        <v>887</v>
      </c>
      <c r="D965" t="s">
        <v>71</v>
      </c>
      <c r="E965" t="s">
        <v>37</v>
      </c>
      <c r="F965">
        <v>2145000</v>
      </c>
      <c r="G965">
        <v>21.45</v>
      </c>
      <c r="H965" t="s">
        <v>27</v>
      </c>
      <c r="I965" t="s">
        <v>845</v>
      </c>
      <c r="J965" s="8">
        <v>46092</v>
      </c>
      <c r="K965" t="s">
        <v>29</v>
      </c>
    </row>
    <row r="966" spans="1:11" x14ac:dyDescent="0.3">
      <c r="A966" t="s">
        <v>1612</v>
      </c>
      <c r="B966" t="s">
        <v>75</v>
      </c>
      <c r="C966" t="s">
        <v>887</v>
      </c>
      <c r="D966" t="s">
        <v>71</v>
      </c>
      <c r="E966" t="s">
        <v>37</v>
      </c>
      <c r="F966">
        <v>2145000</v>
      </c>
      <c r="G966">
        <v>21.45</v>
      </c>
      <c r="H966" t="s">
        <v>27</v>
      </c>
      <c r="I966" t="s">
        <v>845</v>
      </c>
      <c r="J966" s="8">
        <v>46092</v>
      </c>
      <c r="K966" t="s">
        <v>45</v>
      </c>
    </row>
    <row r="967" spans="1:11" x14ac:dyDescent="0.3">
      <c r="A967" t="s">
        <v>1612</v>
      </c>
      <c r="B967" t="s">
        <v>75</v>
      </c>
      <c r="C967" t="s">
        <v>887</v>
      </c>
      <c r="D967" t="s">
        <v>71</v>
      </c>
      <c r="E967" t="s">
        <v>37</v>
      </c>
      <c r="F967">
        <v>2145000</v>
      </c>
      <c r="G967">
        <v>21.45</v>
      </c>
      <c r="H967" t="s">
        <v>27</v>
      </c>
      <c r="I967" t="s">
        <v>845</v>
      </c>
      <c r="J967" s="8">
        <v>46092</v>
      </c>
      <c r="K967" t="s">
        <v>46</v>
      </c>
    </row>
    <row r="968" spans="1:11" x14ac:dyDescent="0.3">
      <c r="A968" t="s">
        <v>1614</v>
      </c>
      <c r="B968" t="s">
        <v>42</v>
      </c>
      <c r="C968" t="s">
        <v>1320</v>
      </c>
      <c r="D968" t="s">
        <v>81</v>
      </c>
      <c r="E968" t="s">
        <v>16</v>
      </c>
      <c r="F968">
        <v>885000</v>
      </c>
      <c r="G968">
        <v>8.85</v>
      </c>
      <c r="H968" t="s">
        <v>27</v>
      </c>
      <c r="I968" t="s">
        <v>28</v>
      </c>
      <c r="J968" s="8">
        <v>46175</v>
      </c>
      <c r="K968" t="s">
        <v>908</v>
      </c>
    </row>
    <row r="969" spans="1:11" x14ac:dyDescent="0.3">
      <c r="A969" t="s">
        <v>1614</v>
      </c>
      <c r="B969" t="s">
        <v>42</v>
      </c>
      <c r="C969" t="s">
        <v>1320</v>
      </c>
      <c r="D969" t="s">
        <v>81</v>
      </c>
      <c r="E969" t="s">
        <v>16</v>
      </c>
      <c r="F969">
        <v>885000</v>
      </c>
      <c r="G969">
        <v>8.85</v>
      </c>
      <c r="H969" t="s">
        <v>27</v>
      </c>
      <c r="I969" t="s">
        <v>28</v>
      </c>
      <c r="J969" s="8">
        <v>46175</v>
      </c>
      <c r="K969" t="s">
        <v>45</v>
      </c>
    </row>
    <row r="970" spans="1:11" x14ac:dyDescent="0.3">
      <c r="A970" t="s">
        <v>1614</v>
      </c>
      <c r="B970" t="s">
        <v>42</v>
      </c>
      <c r="C970" t="s">
        <v>1320</v>
      </c>
      <c r="D970" t="s">
        <v>81</v>
      </c>
      <c r="E970" t="s">
        <v>16</v>
      </c>
      <c r="F970">
        <v>885000</v>
      </c>
      <c r="G970">
        <v>8.85</v>
      </c>
      <c r="H970" t="s">
        <v>27</v>
      </c>
      <c r="I970" t="s">
        <v>28</v>
      </c>
      <c r="J970" s="8">
        <v>46175</v>
      </c>
      <c r="K970" t="s">
        <v>21</v>
      </c>
    </row>
    <row r="971" spans="1:11" x14ac:dyDescent="0.3">
      <c r="A971" t="s">
        <v>1615</v>
      </c>
      <c r="B971" t="s">
        <v>13</v>
      </c>
      <c r="C971" t="s">
        <v>80</v>
      </c>
      <c r="D971" t="s">
        <v>71</v>
      </c>
      <c r="E971" t="s">
        <v>16</v>
      </c>
      <c r="F971">
        <v>655000</v>
      </c>
      <c r="G971">
        <v>6.55</v>
      </c>
      <c r="H971" t="s">
        <v>27</v>
      </c>
      <c r="I971" t="s">
        <v>28</v>
      </c>
      <c r="J971" s="8">
        <v>46085</v>
      </c>
      <c r="K971" t="s">
        <v>846</v>
      </c>
    </row>
    <row r="972" spans="1:11" x14ac:dyDescent="0.3">
      <c r="A972" t="s">
        <v>1615</v>
      </c>
      <c r="B972" t="s">
        <v>13</v>
      </c>
      <c r="C972" t="s">
        <v>80</v>
      </c>
      <c r="D972" t="s">
        <v>71</v>
      </c>
      <c r="E972" t="s">
        <v>16</v>
      </c>
      <c r="F972">
        <v>655000</v>
      </c>
      <c r="G972">
        <v>6.55</v>
      </c>
      <c r="H972" t="s">
        <v>27</v>
      </c>
      <c r="I972" t="s">
        <v>28</v>
      </c>
      <c r="J972" s="8">
        <v>46085</v>
      </c>
      <c r="K972" t="s">
        <v>937</v>
      </c>
    </row>
    <row r="973" spans="1:11" x14ac:dyDescent="0.3">
      <c r="A973" t="s">
        <v>1615</v>
      </c>
      <c r="B973" t="s">
        <v>13</v>
      </c>
      <c r="C973" t="s">
        <v>80</v>
      </c>
      <c r="D973" t="s">
        <v>71</v>
      </c>
      <c r="E973" t="s">
        <v>16</v>
      </c>
      <c r="F973">
        <v>655000</v>
      </c>
      <c r="G973">
        <v>6.55</v>
      </c>
      <c r="H973" t="s">
        <v>27</v>
      </c>
      <c r="I973" t="s">
        <v>28</v>
      </c>
      <c r="J973" s="8">
        <v>46085</v>
      </c>
      <c r="K973" t="s">
        <v>54</v>
      </c>
    </row>
    <row r="974" spans="1:11" x14ac:dyDescent="0.3">
      <c r="A974" t="s">
        <v>1617</v>
      </c>
      <c r="B974" t="s">
        <v>996</v>
      </c>
      <c r="C974" t="s">
        <v>906</v>
      </c>
      <c r="D974" t="s">
        <v>96</v>
      </c>
      <c r="E974" t="s">
        <v>116</v>
      </c>
      <c r="F974">
        <v>1010000</v>
      </c>
      <c r="G974">
        <v>10.1</v>
      </c>
      <c r="H974" t="s">
        <v>27</v>
      </c>
      <c r="I974" t="s">
        <v>28</v>
      </c>
      <c r="J974" s="8">
        <v>46130</v>
      </c>
      <c r="K974" t="s">
        <v>45</v>
      </c>
    </row>
    <row r="975" spans="1:11" x14ac:dyDescent="0.3">
      <c r="A975" t="s">
        <v>1617</v>
      </c>
      <c r="B975" t="s">
        <v>996</v>
      </c>
      <c r="C975" t="s">
        <v>906</v>
      </c>
      <c r="D975" t="s">
        <v>96</v>
      </c>
      <c r="E975" t="s">
        <v>116</v>
      </c>
      <c r="F975">
        <v>1010000</v>
      </c>
      <c r="G975">
        <v>10.1</v>
      </c>
      <c r="H975" t="s">
        <v>27</v>
      </c>
      <c r="I975" t="s">
        <v>28</v>
      </c>
      <c r="J975" s="8">
        <v>46130</v>
      </c>
      <c r="K975" t="s">
        <v>20</v>
      </c>
    </row>
    <row r="976" spans="1:11" x14ac:dyDescent="0.3">
      <c r="A976" t="s">
        <v>1617</v>
      </c>
      <c r="B976" t="s">
        <v>996</v>
      </c>
      <c r="C976" t="s">
        <v>906</v>
      </c>
      <c r="D976" t="s">
        <v>96</v>
      </c>
      <c r="E976" t="s">
        <v>116</v>
      </c>
      <c r="F976">
        <v>1010000</v>
      </c>
      <c r="G976">
        <v>10.1</v>
      </c>
      <c r="H976" t="s">
        <v>27</v>
      </c>
      <c r="I976" t="s">
        <v>28</v>
      </c>
      <c r="J976" s="8">
        <v>46130</v>
      </c>
      <c r="K976" t="s">
        <v>39</v>
      </c>
    </row>
    <row r="977" spans="1:11" x14ac:dyDescent="0.3">
      <c r="A977" t="s">
        <v>1618</v>
      </c>
      <c r="B977" t="s">
        <v>13</v>
      </c>
      <c r="C977" t="s">
        <v>389</v>
      </c>
      <c r="D977" t="s">
        <v>71</v>
      </c>
      <c r="E977" t="s">
        <v>16</v>
      </c>
      <c r="F977">
        <v>910000</v>
      </c>
      <c r="G977">
        <v>9.1</v>
      </c>
      <c r="H977" t="s">
        <v>27</v>
      </c>
      <c r="I977" t="s">
        <v>28</v>
      </c>
      <c r="J977" s="8">
        <v>46239</v>
      </c>
      <c r="K977" t="s">
        <v>29</v>
      </c>
    </row>
    <row r="978" spans="1:11" x14ac:dyDescent="0.3">
      <c r="A978" t="s">
        <v>1618</v>
      </c>
      <c r="B978" t="s">
        <v>13</v>
      </c>
      <c r="C978" t="s">
        <v>389</v>
      </c>
      <c r="D978" t="s">
        <v>71</v>
      </c>
      <c r="E978" t="s">
        <v>16</v>
      </c>
      <c r="F978">
        <v>910000</v>
      </c>
      <c r="G978">
        <v>9.1</v>
      </c>
      <c r="H978" t="s">
        <v>27</v>
      </c>
      <c r="I978" t="s">
        <v>28</v>
      </c>
      <c r="J978" s="8">
        <v>46239</v>
      </c>
      <c r="K978" t="s">
        <v>937</v>
      </c>
    </row>
    <row r="979" spans="1:11" x14ac:dyDescent="0.3">
      <c r="A979" t="s">
        <v>1618</v>
      </c>
      <c r="B979" t="s">
        <v>13</v>
      </c>
      <c r="C979" t="s">
        <v>389</v>
      </c>
      <c r="D979" t="s">
        <v>71</v>
      </c>
      <c r="E979" t="s">
        <v>16</v>
      </c>
      <c r="F979">
        <v>910000</v>
      </c>
      <c r="G979">
        <v>9.1</v>
      </c>
      <c r="H979" t="s">
        <v>27</v>
      </c>
      <c r="I979" t="s">
        <v>28</v>
      </c>
      <c r="J979" s="8">
        <v>46239</v>
      </c>
      <c r="K979" t="s">
        <v>54</v>
      </c>
    </row>
    <row r="980" spans="1:11" x14ac:dyDescent="0.3">
      <c r="A980" t="s">
        <v>1621</v>
      </c>
      <c r="B980" t="s">
        <v>75</v>
      </c>
      <c r="C980" t="s">
        <v>1195</v>
      </c>
      <c r="D980" t="s">
        <v>15</v>
      </c>
      <c r="E980" t="s">
        <v>37</v>
      </c>
      <c r="F980">
        <v>2030000</v>
      </c>
      <c r="G980">
        <v>20.3</v>
      </c>
      <c r="H980" t="s">
        <v>27</v>
      </c>
      <c r="I980" t="s">
        <v>59</v>
      </c>
      <c r="J980" s="8">
        <v>46225</v>
      </c>
      <c r="K980" t="s">
        <v>54</v>
      </c>
    </row>
    <row r="981" spans="1:11" x14ac:dyDescent="0.3">
      <c r="A981" t="s">
        <v>1621</v>
      </c>
      <c r="B981" t="s">
        <v>75</v>
      </c>
      <c r="C981" t="s">
        <v>1195</v>
      </c>
      <c r="D981" t="s">
        <v>15</v>
      </c>
      <c r="E981" t="s">
        <v>37</v>
      </c>
      <c r="F981">
        <v>2030000</v>
      </c>
      <c r="G981">
        <v>20.3</v>
      </c>
      <c r="H981" t="s">
        <v>27</v>
      </c>
      <c r="I981" t="s">
        <v>59</v>
      </c>
      <c r="J981" s="8">
        <v>46225</v>
      </c>
      <c r="K981" t="s">
        <v>45</v>
      </c>
    </row>
    <row r="982" spans="1:11" x14ac:dyDescent="0.3">
      <c r="A982" t="s">
        <v>1621</v>
      </c>
      <c r="B982" t="s">
        <v>75</v>
      </c>
      <c r="C982" t="s">
        <v>1195</v>
      </c>
      <c r="D982" t="s">
        <v>15</v>
      </c>
      <c r="E982" t="s">
        <v>37</v>
      </c>
      <c r="F982">
        <v>2030000</v>
      </c>
      <c r="G982">
        <v>20.3</v>
      </c>
      <c r="H982" t="s">
        <v>27</v>
      </c>
      <c r="I982" t="s">
        <v>59</v>
      </c>
      <c r="J982" s="8">
        <v>46225</v>
      </c>
      <c r="K982" t="s">
        <v>878</v>
      </c>
    </row>
    <row r="983" spans="1:11" x14ac:dyDescent="0.3">
      <c r="A983" t="s">
        <v>1623</v>
      </c>
      <c r="B983" t="s">
        <v>62</v>
      </c>
      <c r="C983" t="s">
        <v>242</v>
      </c>
      <c r="D983" t="s">
        <v>44</v>
      </c>
      <c r="E983" t="s">
        <v>116</v>
      </c>
      <c r="F983">
        <v>1600000</v>
      </c>
      <c r="G983">
        <v>16</v>
      </c>
      <c r="H983" t="s">
        <v>27</v>
      </c>
      <c r="I983" t="s">
        <v>59</v>
      </c>
      <c r="J983" s="8">
        <v>46246</v>
      </c>
      <c r="K983" t="s">
        <v>846</v>
      </c>
    </row>
    <row r="984" spans="1:11" x14ac:dyDescent="0.3">
      <c r="A984" t="s">
        <v>1623</v>
      </c>
      <c r="B984" t="s">
        <v>62</v>
      </c>
      <c r="C984" t="s">
        <v>242</v>
      </c>
      <c r="D984" t="s">
        <v>44</v>
      </c>
      <c r="E984" t="s">
        <v>116</v>
      </c>
      <c r="F984">
        <v>1600000</v>
      </c>
      <c r="G984">
        <v>16</v>
      </c>
      <c r="H984" t="s">
        <v>27</v>
      </c>
      <c r="I984" t="s">
        <v>59</v>
      </c>
      <c r="J984" s="8">
        <v>46246</v>
      </c>
      <c r="K984" t="s">
        <v>20</v>
      </c>
    </row>
    <row r="985" spans="1:11" x14ac:dyDescent="0.3">
      <c r="A985" t="s">
        <v>1623</v>
      </c>
      <c r="B985" t="s">
        <v>62</v>
      </c>
      <c r="C985" t="s">
        <v>242</v>
      </c>
      <c r="D985" t="s">
        <v>44</v>
      </c>
      <c r="E985" t="s">
        <v>116</v>
      </c>
      <c r="F985">
        <v>1600000</v>
      </c>
      <c r="G985">
        <v>16</v>
      </c>
      <c r="H985" t="s">
        <v>27</v>
      </c>
      <c r="I985" t="s">
        <v>59</v>
      </c>
      <c r="J985" s="8">
        <v>46246</v>
      </c>
      <c r="K985" t="s">
        <v>29</v>
      </c>
    </row>
    <row r="986" spans="1:11" x14ac:dyDescent="0.3">
      <c r="A986" t="s">
        <v>1624</v>
      </c>
      <c r="B986" t="s">
        <v>42</v>
      </c>
      <c r="C986" t="s">
        <v>899</v>
      </c>
      <c r="D986" t="s">
        <v>71</v>
      </c>
      <c r="E986" t="s">
        <v>52</v>
      </c>
      <c r="F986">
        <v>320000</v>
      </c>
      <c r="G986">
        <v>3.2</v>
      </c>
      <c r="H986" t="s">
        <v>53</v>
      </c>
      <c r="I986" t="s">
        <v>28</v>
      </c>
      <c r="J986" s="8">
        <v>46141</v>
      </c>
      <c r="K986" t="s">
        <v>39</v>
      </c>
    </row>
    <row r="987" spans="1:11" x14ac:dyDescent="0.3">
      <c r="A987" t="s">
        <v>1624</v>
      </c>
      <c r="B987" t="s">
        <v>42</v>
      </c>
      <c r="C987" t="s">
        <v>899</v>
      </c>
      <c r="D987" t="s">
        <v>71</v>
      </c>
      <c r="E987" t="s">
        <v>52</v>
      </c>
      <c r="F987">
        <v>320000</v>
      </c>
      <c r="G987">
        <v>3.2</v>
      </c>
      <c r="H987" t="s">
        <v>53</v>
      </c>
      <c r="I987" t="s">
        <v>28</v>
      </c>
      <c r="J987" s="8">
        <v>46141</v>
      </c>
      <c r="K987" t="s">
        <v>874</v>
      </c>
    </row>
    <row r="988" spans="1:11" x14ac:dyDescent="0.3">
      <c r="A988" t="s">
        <v>1624</v>
      </c>
      <c r="B988" t="s">
        <v>42</v>
      </c>
      <c r="C988" t="s">
        <v>899</v>
      </c>
      <c r="D988" t="s">
        <v>71</v>
      </c>
      <c r="E988" t="s">
        <v>52</v>
      </c>
      <c r="F988">
        <v>320000</v>
      </c>
      <c r="G988">
        <v>3.2</v>
      </c>
      <c r="H988" t="s">
        <v>53</v>
      </c>
      <c r="I988" t="s">
        <v>28</v>
      </c>
      <c r="J988" s="8">
        <v>46141</v>
      </c>
      <c r="K988" t="s">
        <v>937</v>
      </c>
    </row>
    <row r="989" spans="1:11" x14ac:dyDescent="0.3">
      <c r="A989" t="s">
        <v>1627</v>
      </c>
      <c r="B989" t="s">
        <v>13</v>
      </c>
      <c r="C989" t="s">
        <v>1032</v>
      </c>
      <c r="D989" t="s">
        <v>26</v>
      </c>
      <c r="E989" t="s">
        <v>52</v>
      </c>
      <c r="F989">
        <v>345000</v>
      </c>
      <c r="G989">
        <v>3.45</v>
      </c>
      <c r="H989" t="s">
        <v>53</v>
      </c>
      <c r="I989" t="s">
        <v>845</v>
      </c>
      <c r="J989" s="8">
        <v>46135</v>
      </c>
      <c r="K989" t="s">
        <v>54</v>
      </c>
    </row>
    <row r="990" spans="1:11" x14ac:dyDescent="0.3">
      <c r="A990" t="s">
        <v>1627</v>
      </c>
      <c r="B990" t="s">
        <v>13</v>
      </c>
      <c r="C990" t="s">
        <v>1032</v>
      </c>
      <c r="D990" t="s">
        <v>26</v>
      </c>
      <c r="E990" t="s">
        <v>52</v>
      </c>
      <c r="F990">
        <v>345000</v>
      </c>
      <c r="G990">
        <v>3.45</v>
      </c>
      <c r="H990" t="s">
        <v>53</v>
      </c>
      <c r="I990" t="s">
        <v>845</v>
      </c>
      <c r="J990" s="8">
        <v>46135</v>
      </c>
      <c r="K990" t="s">
        <v>846</v>
      </c>
    </row>
    <row r="991" spans="1:11" x14ac:dyDescent="0.3">
      <c r="A991" t="s">
        <v>1627</v>
      </c>
      <c r="B991" t="s">
        <v>13</v>
      </c>
      <c r="C991" t="s">
        <v>1032</v>
      </c>
      <c r="D991" t="s">
        <v>26</v>
      </c>
      <c r="E991" t="s">
        <v>52</v>
      </c>
      <c r="F991">
        <v>345000</v>
      </c>
      <c r="G991">
        <v>3.45</v>
      </c>
      <c r="H991" t="s">
        <v>53</v>
      </c>
      <c r="I991" t="s">
        <v>845</v>
      </c>
      <c r="J991" s="8">
        <v>46135</v>
      </c>
      <c r="K991" t="s">
        <v>21</v>
      </c>
    </row>
    <row r="992" spans="1:11" x14ac:dyDescent="0.3">
      <c r="A992" t="s">
        <v>1629</v>
      </c>
      <c r="B992" t="s">
        <v>13</v>
      </c>
      <c r="C992" t="s">
        <v>321</v>
      </c>
      <c r="D992" t="s">
        <v>76</v>
      </c>
      <c r="E992" t="s">
        <v>116</v>
      </c>
      <c r="F992">
        <v>1245000</v>
      </c>
      <c r="G992">
        <v>12.45</v>
      </c>
      <c r="H992" t="s">
        <v>27</v>
      </c>
      <c r="I992" t="s">
        <v>28</v>
      </c>
      <c r="J992" s="8">
        <v>46051</v>
      </c>
      <c r="K992" t="s">
        <v>21</v>
      </c>
    </row>
    <row r="993" spans="1:11" x14ac:dyDescent="0.3">
      <c r="A993" t="s">
        <v>1629</v>
      </c>
      <c r="B993" t="s">
        <v>13</v>
      </c>
      <c r="C993" t="s">
        <v>321</v>
      </c>
      <c r="D993" t="s">
        <v>76</v>
      </c>
      <c r="E993" t="s">
        <v>116</v>
      </c>
      <c r="F993">
        <v>1245000</v>
      </c>
      <c r="G993">
        <v>12.45</v>
      </c>
      <c r="H993" t="s">
        <v>27</v>
      </c>
      <c r="I993" t="s">
        <v>28</v>
      </c>
      <c r="J993" s="8">
        <v>46051</v>
      </c>
      <c r="K993" t="s">
        <v>46</v>
      </c>
    </row>
    <row r="994" spans="1:11" x14ac:dyDescent="0.3">
      <c r="A994" t="s">
        <v>1629</v>
      </c>
      <c r="B994" t="s">
        <v>13</v>
      </c>
      <c r="C994" t="s">
        <v>321</v>
      </c>
      <c r="D994" t="s">
        <v>76</v>
      </c>
      <c r="E994" t="s">
        <v>116</v>
      </c>
      <c r="F994">
        <v>1245000</v>
      </c>
      <c r="G994">
        <v>12.45</v>
      </c>
      <c r="H994" t="s">
        <v>27</v>
      </c>
      <c r="I994" t="s">
        <v>28</v>
      </c>
      <c r="J994" s="8">
        <v>46051</v>
      </c>
      <c r="K994" t="s">
        <v>878</v>
      </c>
    </row>
    <row r="995" spans="1:11" x14ac:dyDescent="0.3">
      <c r="A995" t="s">
        <v>1632</v>
      </c>
      <c r="B995" t="s">
        <v>62</v>
      </c>
      <c r="C995" t="s">
        <v>112</v>
      </c>
      <c r="D995" t="s">
        <v>26</v>
      </c>
      <c r="E995" t="s">
        <v>37</v>
      </c>
      <c r="F995">
        <v>1210000</v>
      </c>
      <c r="G995">
        <v>12.1</v>
      </c>
      <c r="H995" t="s">
        <v>27</v>
      </c>
      <c r="I995" t="s">
        <v>845</v>
      </c>
      <c r="J995" s="8">
        <v>46243</v>
      </c>
      <c r="K995" t="s">
        <v>30</v>
      </c>
    </row>
    <row r="996" spans="1:11" x14ac:dyDescent="0.3">
      <c r="A996" t="s">
        <v>1632</v>
      </c>
      <c r="B996" t="s">
        <v>62</v>
      </c>
      <c r="C996" t="s">
        <v>112</v>
      </c>
      <c r="D996" t="s">
        <v>26</v>
      </c>
      <c r="E996" t="s">
        <v>37</v>
      </c>
      <c r="F996">
        <v>1210000</v>
      </c>
      <c r="G996">
        <v>12.1</v>
      </c>
      <c r="H996" t="s">
        <v>27</v>
      </c>
      <c r="I996" t="s">
        <v>845</v>
      </c>
      <c r="J996" s="8">
        <v>46243</v>
      </c>
      <c r="K996" t="s">
        <v>46</v>
      </c>
    </row>
    <row r="997" spans="1:11" x14ac:dyDescent="0.3">
      <c r="A997" t="s">
        <v>1632</v>
      </c>
      <c r="B997" t="s">
        <v>62</v>
      </c>
      <c r="C997" t="s">
        <v>112</v>
      </c>
      <c r="D997" t="s">
        <v>26</v>
      </c>
      <c r="E997" t="s">
        <v>37</v>
      </c>
      <c r="F997">
        <v>1210000</v>
      </c>
      <c r="G997">
        <v>12.1</v>
      </c>
      <c r="H997" t="s">
        <v>27</v>
      </c>
      <c r="I997" t="s">
        <v>845</v>
      </c>
      <c r="J997" s="8">
        <v>46243</v>
      </c>
      <c r="K997" t="s">
        <v>20</v>
      </c>
    </row>
    <row r="998" spans="1:11" x14ac:dyDescent="0.3">
      <c r="A998" t="s">
        <v>1633</v>
      </c>
      <c r="B998" t="s">
        <v>864</v>
      </c>
      <c r="C998" t="s">
        <v>260</v>
      </c>
      <c r="D998" t="s">
        <v>26</v>
      </c>
      <c r="E998" t="s">
        <v>116</v>
      </c>
      <c r="F998">
        <v>1550000</v>
      </c>
      <c r="G998">
        <v>15.5</v>
      </c>
      <c r="H998" t="s">
        <v>27</v>
      </c>
      <c r="I998" t="s">
        <v>28</v>
      </c>
      <c r="J998" s="8">
        <v>46263</v>
      </c>
      <c r="K998" t="s">
        <v>21</v>
      </c>
    </row>
    <row r="999" spans="1:11" x14ac:dyDescent="0.3">
      <c r="A999" t="s">
        <v>1633</v>
      </c>
      <c r="B999" t="s">
        <v>864</v>
      </c>
      <c r="C999" t="s">
        <v>260</v>
      </c>
      <c r="D999" t="s">
        <v>26</v>
      </c>
      <c r="E999" t="s">
        <v>116</v>
      </c>
      <c r="F999">
        <v>1550000</v>
      </c>
      <c r="G999">
        <v>15.5</v>
      </c>
      <c r="H999" t="s">
        <v>27</v>
      </c>
      <c r="I999" t="s">
        <v>28</v>
      </c>
      <c r="J999" s="8">
        <v>46263</v>
      </c>
      <c r="K999" t="s">
        <v>45</v>
      </c>
    </row>
    <row r="1000" spans="1:11" x14ac:dyDescent="0.3">
      <c r="A1000" t="s">
        <v>1633</v>
      </c>
      <c r="B1000" t="s">
        <v>864</v>
      </c>
      <c r="C1000" t="s">
        <v>260</v>
      </c>
      <c r="D1000" t="s">
        <v>26</v>
      </c>
      <c r="E1000" t="s">
        <v>116</v>
      </c>
      <c r="F1000">
        <v>1550000</v>
      </c>
      <c r="G1000">
        <v>15.5</v>
      </c>
      <c r="H1000" t="s">
        <v>27</v>
      </c>
      <c r="I1000" t="s">
        <v>28</v>
      </c>
      <c r="J1000" s="8">
        <v>46263</v>
      </c>
      <c r="K1000" t="s">
        <v>846</v>
      </c>
    </row>
    <row r="1001" spans="1:11" x14ac:dyDescent="0.3">
      <c r="A1001" t="s">
        <v>1635</v>
      </c>
      <c r="B1001" t="s">
        <v>24</v>
      </c>
      <c r="C1001" t="s">
        <v>63</v>
      </c>
      <c r="D1001" t="s">
        <v>36</v>
      </c>
      <c r="E1001" t="s">
        <v>52</v>
      </c>
      <c r="F1001">
        <v>385000</v>
      </c>
      <c r="G1001">
        <v>3.85</v>
      </c>
      <c r="H1001" t="s">
        <v>53</v>
      </c>
      <c r="I1001" t="s">
        <v>28</v>
      </c>
      <c r="J1001" s="8">
        <v>46199</v>
      </c>
      <c r="K1001" t="s">
        <v>846</v>
      </c>
    </row>
    <row r="1002" spans="1:11" x14ac:dyDescent="0.3">
      <c r="A1002" t="s">
        <v>1635</v>
      </c>
      <c r="B1002" t="s">
        <v>24</v>
      </c>
      <c r="C1002" t="s">
        <v>63</v>
      </c>
      <c r="D1002" t="s">
        <v>36</v>
      </c>
      <c r="E1002" t="s">
        <v>52</v>
      </c>
      <c r="F1002">
        <v>385000</v>
      </c>
      <c r="G1002">
        <v>3.85</v>
      </c>
      <c r="H1002" t="s">
        <v>53</v>
      </c>
      <c r="I1002" t="s">
        <v>28</v>
      </c>
      <c r="J1002" s="8">
        <v>46199</v>
      </c>
      <c r="K1002" t="s">
        <v>908</v>
      </c>
    </row>
    <row r="1003" spans="1:11" x14ac:dyDescent="0.3">
      <c r="A1003" t="s">
        <v>1635</v>
      </c>
      <c r="B1003" t="s">
        <v>24</v>
      </c>
      <c r="C1003" t="s">
        <v>63</v>
      </c>
      <c r="D1003" t="s">
        <v>36</v>
      </c>
      <c r="E1003" t="s">
        <v>52</v>
      </c>
      <c r="F1003">
        <v>385000</v>
      </c>
      <c r="G1003">
        <v>3.85</v>
      </c>
      <c r="H1003" t="s">
        <v>53</v>
      </c>
      <c r="I1003" t="s">
        <v>28</v>
      </c>
      <c r="J1003" s="8">
        <v>46199</v>
      </c>
      <c r="K1003" t="s">
        <v>874</v>
      </c>
    </row>
    <row r="1004" spans="1:11" x14ac:dyDescent="0.3">
      <c r="A1004" t="s">
        <v>1637</v>
      </c>
      <c r="B1004" t="s">
        <v>24</v>
      </c>
      <c r="C1004" t="s">
        <v>123</v>
      </c>
      <c r="D1004" t="s">
        <v>51</v>
      </c>
      <c r="E1004" t="s">
        <v>37</v>
      </c>
      <c r="F1004">
        <v>2110000</v>
      </c>
      <c r="G1004">
        <v>21.1</v>
      </c>
      <c r="H1004" t="s">
        <v>27</v>
      </c>
      <c r="I1004" t="s">
        <v>59</v>
      </c>
      <c r="J1004" s="8">
        <v>46199</v>
      </c>
      <c r="K1004" t="s">
        <v>46</v>
      </c>
    </row>
    <row r="1005" spans="1:11" x14ac:dyDescent="0.3">
      <c r="A1005" t="s">
        <v>1637</v>
      </c>
      <c r="B1005" t="s">
        <v>24</v>
      </c>
      <c r="C1005" t="s">
        <v>123</v>
      </c>
      <c r="D1005" t="s">
        <v>51</v>
      </c>
      <c r="E1005" t="s">
        <v>37</v>
      </c>
      <c r="F1005">
        <v>2110000</v>
      </c>
      <c r="G1005">
        <v>21.1</v>
      </c>
      <c r="H1005" t="s">
        <v>27</v>
      </c>
      <c r="I1005" t="s">
        <v>59</v>
      </c>
      <c r="J1005" s="8">
        <v>46199</v>
      </c>
      <c r="K1005" t="s">
        <v>31</v>
      </c>
    </row>
    <row r="1006" spans="1:11" x14ac:dyDescent="0.3">
      <c r="A1006" t="s">
        <v>1637</v>
      </c>
      <c r="B1006" t="s">
        <v>24</v>
      </c>
      <c r="C1006" t="s">
        <v>123</v>
      </c>
      <c r="D1006" t="s">
        <v>51</v>
      </c>
      <c r="E1006" t="s">
        <v>37</v>
      </c>
      <c r="F1006">
        <v>2110000</v>
      </c>
      <c r="G1006">
        <v>21.1</v>
      </c>
      <c r="H1006" t="s">
        <v>27</v>
      </c>
      <c r="I1006" t="s">
        <v>59</v>
      </c>
      <c r="J1006" s="8">
        <v>46199</v>
      </c>
      <c r="K1006" t="s">
        <v>39</v>
      </c>
    </row>
    <row r="1007" spans="1:11" x14ac:dyDescent="0.3">
      <c r="A1007" t="s">
        <v>1639</v>
      </c>
      <c r="B1007" t="s">
        <v>24</v>
      </c>
      <c r="C1007" t="s">
        <v>63</v>
      </c>
      <c r="D1007" t="s">
        <v>26</v>
      </c>
      <c r="E1007" t="s">
        <v>16</v>
      </c>
      <c r="F1007">
        <v>560000</v>
      </c>
      <c r="G1007">
        <v>5.6</v>
      </c>
      <c r="H1007" t="s">
        <v>27</v>
      </c>
      <c r="I1007" t="s">
        <v>845</v>
      </c>
      <c r="J1007" s="8">
        <v>46116</v>
      </c>
      <c r="K1007" t="s">
        <v>31</v>
      </c>
    </row>
    <row r="1008" spans="1:11" x14ac:dyDescent="0.3">
      <c r="A1008" t="s">
        <v>1639</v>
      </c>
      <c r="B1008" t="s">
        <v>24</v>
      </c>
      <c r="C1008" t="s">
        <v>63</v>
      </c>
      <c r="D1008" t="s">
        <v>26</v>
      </c>
      <c r="E1008" t="s">
        <v>16</v>
      </c>
      <c r="F1008">
        <v>560000</v>
      </c>
      <c r="G1008">
        <v>5.6</v>
      </c>
      <c r="H1008" t="s">
        <v>27</v>
      </c>
      <c r="I1008" t="s">
        <v>845</v>
      </c>
      <c r="J1008" s="8">
        <v>46116</v>
      </c>
      <c r="K1008" t="s">
        <v>908</v>
      </c>
    </row>
    <row r="1009" spans="1:11" x14ac:dyDescent="0.3">
      <c r="A1009" t="s">
        <v>1639</v>
      </c>
      <c r="B1009" t="s">
        <v>24</v>
      </c>
      <c r="C1009" t="s">
        <v>63</v>
      </c>
      <c r="D1009" t="s">
        <v>26</v>
      </c>
      <c r="E1009" t="s">
        <v>16</v>
      </c>
      <c r="F1009">
        <v>560000</v>
      </c>
      <c r="G1009">
        <v>5.6</v>
      </c>
      <c r="H1009" t="s">
        <v>27</v>
      </c>
      <c r="I1009" t="s">
        <v>845</v>
      </c>
      <c r="J1009" s="8">
        <v>46116</v>
      </c>
      <c r="K1009" t="s">
        <v>846</v>
      </c>
    </row>
    <row r="1010" spans="1:11" x14ac:dyDescent="0.3">
      <c r="A1010" t="s">
        <v>1641</v>
      </c>
      <c r="B1010" t="s">
        <v>42</v>
      </c>
      <c r="C1010" t="s">
        <v>887</v>
      </c>
      <c r="D1010" t="s">
        <v>51</v>
      </c>
      <c r="E1010" t="s">
        <v>116</v>
      </c>
      <c r="F1010">
        <v>1160000</v>
      </c>
      <c r="G1010">
        <v>11.6</v>
      </c>
      <c r="H1010" t="s">
        <v>27</v>
      </c>
      <c r="I1010" t="s">
        <v>845</v>
      </c>
      <c r="J1010" s="8">
        <v>46073</v>
      </c>
      <c r="K1010" t="s">
        <v>846</v>
      </c>
    </row>
    <row r="1011" spans="1:11" x14ac:dyDescent="0.3">
      <c r="A1011" t="s">
        <v>1641</v>
      </c>
      <c r="B1011" t="s">
        <v>42</v>
      </c>
      <c r="C1011" t="s">
        <v>887</v>
      </c>
      <c r="D1011" t="s">
        <v>51</v>
      </c>
      <c r="E1011" t="s">
        <v>116</v>
      </c>
      <c r="F1011">
        <v>1160000</v>
      </c>
      <c r="G1011">
        <v>11.6</v>
      </c>
      <c r="H1011" t="s">
        <v>27</v>
      </c>
      <c r="I1011" t="s">
        <v>845</v>
      </c>
      <c r="J1011" s="8">
        <v>46073</v>
      </c>
      <c r="K1011" t="s">
        <v>854</v>
      </c>
    </row>
    <row r="1012" spans="1:11" x14ac:dyDescent="0.3">
      <c r="A1012" t="s">
        <v>1641</v>
      </c>
      <c r="B1012" t="s">
        <v>42</v>
      </c>
      <c r="C1012" t="s">
        <v>887</v>
      </c>
      <c r="D1012" t="s">
        <v>51</v>
      </c>
      <c r="E1012" t="s">
        <v>116</v>
      </c>
      <c r="F1012">
        <v>1160000</v>
      </c>
      <c r="G1012">
        <v>11.6</v>
      </c>
      <c r="H1012" t="s">
        <v>27</v>
      </c>
      <c r="I1012" t="s">
        <v>845</v>
      </c>
      <c r="J1012" s="8">
        <v>46073</v>
      </c>
      <c r="K1012" t="s">
        <v>874</v>
      </c>
    </row>
    <row r="1013" spans="1:11" x14ac:dyDescent="0.3">
      <c r="A1013" t="s">
        <v>1642</v>
      </c>
      <c r="B1013" t="s">
        <v>960</v>
      </c>
      <c r="C1013" t="s">
        <v>334</v>
      </c>
      <c r="D1013" t="s">
        <v>64</v>
      </c>
      <c r="E1013" t="s">
        <v>52</v>
      </c>
      <c r="F1013">
        <v>480000</v>
      </c>
      <c r="G1013">
        <v>4.8</v>
      </c>
      <c r="H1013" t="s">
        <v>27</v>
      </c>
      <c r="I1013" t="s">
        <v>59</v>
      </c>
      <c r="J1013" s="8">
        <v>46083</v>
      </c>
      <c r="K1013" t="s">
        <v>937</v>
      </c>
    </row>
    <row r="1014" spans="1:11" x14ac:dyDescent="0.3">
      <c r="A1014" t="s">
        <v>1642</v>
      </c>
      <c r="B1014" t="s">
        <v>960</v>
      </c>
      <c r="C1014" t="s">
        <v>334</v>
      </c>
      <c r="D1014" t="s">
        <v>64</v>
      </c>
      <c r="E1014" t="s">
        <v>52</v>
      </c>
      <c r="F1014">
        <v>480000</v>
      </c>
      <c r="G1014">
        <v>4.8</v>
      </c>
      <c r="H1014" t="s">
        <v>27</v>
      </c>
      <c r="I1014" t="s">
        <v>59</v>
      </c>
      <c r="J1014" s="8">
        <v>46083</v>
      </c>
      <c r="K1014" t="s">
        <v>878</v>
      </c>
    </row>
    <row r="1015" spans="1:11" x14ac:dyDescent="0.3">
      <c r="A1015" t="s">
        <v>1642</v>
      </c>
      <c r="B1015" t="s">
        <v>960</v>
      </c>
      <c r="C1015" t="s">
        <v>334</v>
      </c>
      <c r="D1015" t="s">
        <v>64</v>
      </c>
      <c r="E1015" t="s">
        <v>52</v>
      </c>
      <c r="F1015">
        <v>480000</v>
      </c>
      <c r="G1015">
        <v>4.8</v>
      </c>
      <c r="H1015" t="s">
        <v>27</v>
      </c>
      <c r="I1015" t="s">
        <v>59</v>
      </c>
      <c r="J1015" s="8">
        <v>46083</v>
      </c>
      <c r="K1015" t="s">
        <v>20</v>
      </c>
    </row>
    <row r="1016" spans="1:11" x14ac:dyDescent="0.3">
      <c r="A1016" t="s">
        <v>1644</v>
      </c>
      <c r="B1016" t="s">
        <v>75</v>
      </c>
      <c r="C1016" t="s">
        <v>242</v>
      </c>
      <c r="D1016" t="s">
        <v>51</v>
      </c>
      <c r="E1016" t="s">
        <v>16</v>
      </c>
      <c r="F1016">
        <v>950000</v>
      </c>
      <c r="G1016">
        <v>9.5</v>
      </c>
      <c r="H1016" t="s">
        <v>27</v>
      </c>
      <c r="I1016" t="s">
        <v>845</v>
      </c>
      <c r="J1016" s="8">
        <v>46166</v>
      </c>
      <c r="K1016" t="s">
        <v>45</v>
      </c>
    </row>
    <row r="1017" spans="1:11" x14ac:dyDescent="0.3">
      <c r="A1017" t="s">
        <v>1644</v>
      </c>
      <c r="B1017" t="s">
        <v>75</v>
      </c>
      <c r="C1017" t="s">
        <v>242</v>
      </c>
      <c r="D1017" t="s">
        <v>51</v>
      </c>
      <c r="E1017" t="s">
        <v>16</v>
      </c>
      <c r="F1017">
        <v>950000</v>
      </c>
      <c r="G1017">
        <v>9.5</v>
      </c>
      <c r="H1017" t="s">
        <v>27</v>
      </c>
      <c r="I1017" t="s">
        <v>845</v>
      </c>
      <c r="J1017" s="8">
        <v>46166</v>
      </c>
      <c r="K1017" t="s">
        <v>54</v>
      </c>
    </row>
    <row r="1018" spans="1:11" x14ac:dyDescent="0.3">
      <c r="A1018" t="s">
        <v>1644</v>
      </c>
      <c r="B1018" t="s">
        <v>75</v>
      </c>
      <c r="C1018" t="s">
        <v>242</v>
      </c>
      <c r="D1018" t="s">
        <v>51</v>
      </c>
      <c r="E1018" t="s">
        <v>16</v>
      </c>
      <c r="F1018">
        <v>950000</v>
      </c>
      <c r="G1018">
        <v>9.5</v>
      </c>
      <c r="H1018" t="s">
        <v>27</v>
      </c>
      <c r="I1018" t="s">
        <v>845</v>
      </c>
      <c r="J1018" s="8">
        <v>46166</v>
      </c>
      <c r="K1018" t="s">
        <v>874</v>
      </c>
    </row>
    <row r="1019" spans="1:11" x14ac:dyDescent="0.3">
      <c r="A1019" t="s">
        <v>1646</v>
      </c>
      <c r="B1019" t="s">
        <v>864</v>
      </c>
      <c r="C1019" t="s">
        <v>655</v>
      </c>
      <c r="D1019" t="s">
        <v>76</v>
      </c>
      <c r="E1019" t="s">
        <v>37</v>
      </c>
      <c r="F1019">
        <v>1025000</v>
      </c>
      <c r="G1019">
        <v>10.25</v>
      </c>
      <c r="H1019" t="s">
        <v>27</v>
      </c>
      <c r="I1019" t="s">
        <v>845</v>
      </c>
      <c r="J1019" s="8">
        <v>46086</v>
      </c>
      <c r="K1019" t="s">
        <v>878</v>
      </c>
    </row>
    <row r="1020" spans="1:11" x14ac:dyDescent="0.3">
      <c r="A1020" t="s">
        <v>1646</v>
      </c>
      <c r="B1020" t="s">
        <v>864</v>
      </c>
      <c r="C1020" t="s">
        <v>655</v>
      </c>
      <c r="D1020" t="s">
        <v>76</v>
      </c>
      <c r="E1020" t="s">
        <v>37</v>
      </c>
      <c r="F1020">
        <v>1025000</v>
      </c>
      <c r="G1020">
        <v>10.25</v>
      </c>
      <c r="H1020" t="s">
        <v>27</v>
      </c>
      <c r="I1020" t="s">
        <v>845</v>
      </c>
      <c r="J1020" s="8">
        <v>46086</v>
      </c>
      <c r="K1020" t="s">
        <v>39</v>
      </c>
    </row>
    <row r="1021" spans="1:11" x14ac:dyDescent="0.3">
      <c r="A1021" t="s">
        <v>1646</v>
      </c>
      <c r="B1021" t="s">
        <v>864</v>
      </c>
      <c r="C1021" t="s">
        <v>655</v>
      </c>
      <c r="D1021" t="s">
        <v>76</v>
      </c>
      <c r="E1021" t="s">
        <v>37</v>
      </c>
      <c r="F1021">
        <v>1025000</v>
      </c>
      <c r="G1021">
        <v>10.25</v>
      </c>
      <c r="H1021" t="s">
        <v>27</v>
      </c>
      <c r="I1021" t="s">
        <v>845</v>
      </c>
      <c r="J1021" s="8">
        <v>46086</v>
      </c>
      <c r="K1021" t="s">
        <v>30</v>
      </c>
    </row>
    <row r="1022" spans="1:11" x14ac:dyDescent="0.3">
      <c r="A1022" t="s">
        <v>1647</v>
      </c>
      <c r="B1022" t="s">
        <v>13</v>
      </c>
      <c r="C1022" t="s">
        <v>1082</v>
      </c>
      <c r="D1022" t="s">
        <v>44</v>
      </c>
      <c r="E1022" t="s">
        <v>16</v>
      </c>
      <c r="F1022">
        <v>655000</v>
      </c>
      <c r="G1022">
        <v>6.55</v>
      </c>
      <c r="H1022" t="s">
        <v>27</v>
      </c>
      <c r="I1022" t="s">
        <v>845</v>
      </c>
      <c r="J1022" s="8">
        <v>46204</v>
      </c>
      <c r="K1022" t="s">
        <v>45</v>
      </c>
    </row>
    <row r="1023" spans="1:11" x14ac:dyDescent="0.3">
      <c r="A1023" t="s">
        <v>1647</v>
      </c>
      <c r="B1023" t="s">
        <v>13</v>
      </c>
      <c r="C1023" t="s">
        <v>1082</v>
      </c>
      <c r="D1023" t="s">
        <v>44</v>
      </c>
      <c r="E1023" t="s">
        <v>16</v>
      </c>
      <c r="F1023">
        <v>655000</v>
      </c>
      <c r="G1023">
        <v>6.55</v>
      </c>
      <c r="H1023" t="s">
        <v>27</v>
      </c>
      <c r="I1023" t="s">
        <v>845</v>
      </c>
      <c r="J1023" s="8">
        <v>46204</v>
      </c>
      <c r="K1023" t="s">
        <v>878</v>
      </c>
    </row>
    <row r="1024" spans="1:11" x14ac:dyDescent="0.3">
      <c r="A1024" t="s">
        <v>1647</v>
      </c>
      <c r="B1024" t="s">
        <v>13</v>
      </c>
      <c r="C1024" t="s">
        <v>1082</v>
      </c>
      <c r="D1024" t="s">
        <v>44</v>
      </c>
      <c r="E1024" t="s">
        <v>16</v>
      </c>
      <c r="F1024">
        <v>655000</v>
      </c>
      <c r="G1024">
        <v>6.55</v>
      </c>
      <c r="H1024" t="s">
        <v>27</v>
      </c>
      <c r="I1024" t="s">
        <v>845</v>
      </c>
      <c r="J1024" s="8">
        <v>46204</v>
      </c>
      <c r="K1024" t="s">
        <v>846</v>
      </c>
    </row>
    <row r="1025" spans="1:11" x14ac:dyDescent="0.3">
      <c r="A1025" t="s">
        <v>1648</v>
      </c>
      <c r="B1025" t="s">
        <v>62</v>
      </c>
      <c r="C1025" t="s">
        <v>237</v>
      </c>
      <c r="D1025" t="s">
        <v>51</v>
      </c>
      <c r="E1025" t="s">
        <v>37</v>
      </c>
      <c r="F1025">
        <v>1640000</v>
      </c>
      <c r="G1025">
        <v>16.399999999999999</v>
      </c>
      <c r="H1025" t="s">
        <v>17</v>
      </c>
      <c r="I1025" t="s">
        <v>28</v>
      </c>
      <c r="J1025" s="8">
        <v>46109</v>
      </c>
      <c r="K1025" t="s">
        <v>21</v>
      </c>
    </row>
    <row r="1026" spans="1:11" x14ac:dyDescent="0.3">
      <c r="A1026" t="s">
        <v>1648</v>
      </c>
      <c r="B1026" t="s">
        <v>62</v>
      </c>
      <c r="C1026" t="s">
        <v>237</v>
      </c>
      <c r="D1026" t="s">
        <v>51</v>
      </c>
      <c r="E1026" t="s">
        <v>37</v>
      </c>
      <c r="F1026">
        <v>1640000</v>
      </c>
      <c r="G1026">
        <v>16.399999999999999</v>
      </c>
      <c r="H1026" t="s">
        <v>17</v>
      </c>
      <c r="I1026" t="s">
        <v>28</v>
      </c>
      <c r="J1026" s="8">
        <v>46109</v>
      </c>
      <c r="K1026" t="s">
        <v>29</v>
      </c>
    </row>
    <row r="1027" spans="1:11" x14ac:dyDescent="0.3">
      <c r="A1027" t="s">
        <v>1648</v>
      </c>
      <c r="B1027" t="s">
        <v>62</v>
      </c>
      <c r="C1027" t="s">
        <v>237</v>
      </c>
      <c r="D1027" t="s">
        <v>51</v>
      </c>
      <c r="E1027" t="s">
        <v>37</v>
      </c>
      <c r="F1027">
        <v>1640000</v>
      </c>
      <c r="G1027">
        <v>16.399999999999999</v>
      </c>
      <c r="H1027" t="s">
        <v>17</v>
      </c>
      <c r="I1027" t="s">
        <v>28</v>
      </c>
      <c r="J1027" s="8">
        <v>46109</v>
      </c>
      <c r="K1027" t="s">
        <v>31</v>
      </c>
    </row>
    <row r="1028" spans="1:11" x14ac:dyDescent="0.3">
      <c r="A1028" t="s">
        <v>1650</v>
      </c>
      <c r="B1028" t="s">
        <v>852</v>
      </c>
      <c r="C1028" t="s">
        <v>106</v>
      </c>
      <c r="D1028" t="s">
        <v>44</v>
      </c>
      <c r="E1028" t="s">
        <v>77</v>
      </c>
      <c r="F1028">
        <v>2905000</v>
      </c>
      <c r="G1028">
        <v>29.05</v>
      </c>
      <c r="H1028" t="s">
        <v>27</v>
      </c>
      <c r="I1028" t="s">
        <v>845</v>
      </c>
      <c r="J1028" s="8">
        <v>46226</v>
      </c>
      <c r="K1028" t="s">
        <v>46</v>
      </c>
    </row>
    <row r="1029" spans="1:11" x14ac:dyDescent="0.3">
      <c r="A1029" t="s">
        <v>1650</v>
      </c>
      <c r="B1029" t="s">
        <v>852</v>
      </c>
      <c r="C1029" t="s">
        <v>106</v>
      </c>
      <c r="D1029" t="s">
        <v>44</v>
      </c>
      <c r="E1029" t="s">
        <v>77</v>
      </c>
      <c r="F1029">
        <v>2905000</v>
      </c>
      <c r="G1029">
        <v>29.05</v>
      </c>
      <c r="H1029" t="s">
        <v>27</v>
      </c>
      <c r="I1029" t="s">
        <v>845</v>
      </c>
      <c r="J1029" s="8">
        <v>46226</v>
      </c>
      <c r="K1029" t="s">
        <v>20</v>
      </c>
    </row>
    <row r="1030" spans="1:11" x14ac:dyDescent="0.3">
      <c r="A1030" t="s">
        <v>1650</v>
      </c>
      <c r="B1030" t="s">
        <v>852</v>
      </c>
      <c r="C1030" t="s">
        <v>106</v>
      </c>
      <c r="D1030" t="s">
        <v>44</v>
      </c>
      <c r="E1030" t="s">
        <v>77</v>
      </c>
      <c r="F1030">
        <v>2905000</v>
      </c>
      <c r="G1030">
        <v>29.05</v>
      </c>
      <c r="H1030" t="s">
        <v>27</v>
      </c>
      <c r="I1030" t="s">
        <v>845</v>
      </c>
      <c r="J1030" s="8">
        <v>46226</v>
      </c>
      <c r="K1030" t="s">
        <v>854</v>
      </c>
    </row>
    <row r="1031" spans="1:11" x14ac:dyDescent="0.3">
      <c r="A1031" t="s">
        <v>1652</v>
      </c>
      <c r="B1031" t="s">
        <v>960</v>
      </c>
      <c r="C1031" t="s">
        <v>967</v>
      </c>
      <c r="D1031" t="s">
        <v>51</v>
      </c>
      <c r="E1031" t="s">
        <v>37</v>
      </c>
      <c r="F1031">
        <v>1160000</v>
      </c>
      <c r="G1031">
        <v>11.6</v>
      </c>
      <c r="H1031" t="s">
        <v>27</v>
      </c>
      <c r="I1031" t="s">
        <v>28</v>
      </c>
      <c r="J1031" s="8">
        <v>46050</v>
      </c>
      <c r="K1031" t="s">
        <v>29</v>
      </c>
    </row>
    <row r="1032" spans="1:11" x14ac:dyDescent="0.3">
      <c r="A1032" t="s">
        <v>1652</v>
      </c>
      <c r="B1032" t="s">
        <v>960</v>
      </c>
      <c r="C1032" t="s">
        <v>967</v>
      </c>
      <c r="D1032" t="s">
        <v>51</v>
      </c>
      <c r="E1032" t="s">
        <v>37</v>
      </c>
      <c r="F1032">
        <v>1160000</v>
      </c>
      <c r="G1032">
        <v>11.6</v>
      </c>
      <c r="H1032" t="s">
        <v>27</v>
      </c>
      <c r="I1032" t="s">
        <v>28</v>
      </c>
      <c r="J1032" s="8">
        <v>46050</v>
      </c>
      <c r="K1032" t="s">
        <v>45</v>
      </c>
    </row>
    <row r="1033" spans="1:11" x14ac:dyDescent="0.3">
      <c r="A1033" t="s">
        <v>1652</v>
      </c>
      <c r="B1033" t="s">
        <v>960</v>
      </c>
      <c r="C1033" t="s">
        <v>967</v>
      </c>
      <c r="D1033" t="s">
        <v>51</v>
      </c>
      <c r="E1033" t="s">
        <v>37</v>
      </c>
      <c r="F1033">
        <v>1160000</v>
      </c>
      <c r="G1033">
        <v>11.6</v>
      </c>
      <c r="H1033" t="s">
        <v>27</v>
      </c>
      <c r="I1033" t="s">
        <v>28</v>
      </c>
      <c r="J1033" s="8">
        <v>46050</v>
      </c>
      <c r="K1033" t="s">
        <v>46</v>
      </c>
    </row>
    <row r="1034" spans="1:11" x14ac:dyDescent="0.3">
      <c r="A1034" t="s">
        <v>1653</v>
      </c>
      <c r="B1034" t="s">
        <v>13</v>
      </c>
      <c r="C1034" t="s">
        <v>906</v>
      </c>
      <c r="D1034" t="s">
        <v>15</v>
      </c>
      <c r="E1034" t="s">
        <v>52</v>
      </c>
      <c r="F1034">
        <v>295000</v>
      </c>
      <c r="G1034">
        <v>2.95</v>
      </c>
      <c r="H1034" t="s">
        <v>53</v>
      </c>
      <c r="I1034" t="s">
        <v>28</v>
      </c>
      <c r="J1034" s="8">
        <v>46113</v>
      </c>
      <c r="K1034" t="s">
        <v>45</v>
      </c>
    </row>
    <row r="1035" spans="1:11" x14ac:dyDescent="0.3">
      <c r="A1035" t="s">
        <v>1653</v>
      </c>
      <c r="B1035" t="s">
        <v>13</v>
      </c>
      <c r="C1035" t="s">
        <v>906</v>
      </c>
      <c r="D1035" t="s">
        <v>15</v>
      </c>
      <c r="E1035" t="s">
        <v>52</v>
      </c>
      <c r="F1035">
        <v>295000</v>
      </c>
      <c r="G1035">
        <v>2.95</v>
      </c>
      <c r="H1035" t="s">
        <v>53</v>
      </c>
      <c r="I1035" t="s">
        <v>28</v>
      </c>
      <c r="J1035" s="8">
        <v>46113</v>
      </c>
      <c r="K1035" t="s">
        <v>30</v>
      </c>
    </row>
    <row r="1036" spans="1:11" x14ac:dyDescent="0.3">
      <c r="A1036" t="s">
        <v>1653</v>
      </c>
      <c r="B1036" t="s">
        <v>13</v>
      </c>
      <c r="C1036" t="s">
        <v>906</v>
      </c>
      <c r="D1036" t="s">
        <v>15</v>
      </c>
      <c r="E1036" t="s">
        <v>52</v>
      </c>
      <c r="F1036">
        <v>295000</v>
      </c>
      <c r="G1036">
        <v>2.95</v>
      </c>
      <c r="H1036" t="s">
        <v>53</v>
      </c>
      <c r="I1036" t="s">
        <v>28</v>
      </c>
      <c r="J1036" s="8">
        <v>46113</v>
      </c>
      <c r="K1036" t="s">
        <v>846</v>
      </c>
    </row>
    <row r="1037" spans="1:11" x14ac:dyDescent="0.3">
      <c r="A1037" t="s">
        <v>1656</v>
      </c>
      <c r="B1037" t="s">
        <v>996</v>
      </c>
      <c r="C1037" t="s">
        <v>63</v>
      </c>
      <c r="D1037" t="s">
        <v>81</v>
      </c>
      <c r="E1037" t="s">
        <v>37</v>
      </c>
      <c r="F1037">
        <v>1030000</v>
      </c>
      <c r="G1037">
        <v>10.3</v>
      </c>
      <c r="H1037" t="s">
        <v>17</v>
      </c>
      <c r="I1037" t="s">
        <v>28</v>
      </c>
      <c r="J1037" s="8">
        <v>46185</v>
      </c>
      <c r="K1037" t="s">
        <v>878</v>
      </c>
    </row>
    <row r="1038" spans="1:11" x14ac:dyDescent="0.3">
      <c r="A1038" t="s">
        <v>1656</v>
      </c>
      <c r="B1038" t="s">
        <v>996</v>
      </c>
      <c r="C1038" t="s">
        <v>63</v>
      </c>
      <c r="D1038" t="s">
        <v>81</v>
      </c>
      <c r="E1038" t="s">
        <v>37</v>
      </c>
      <c r="F1038">
        <v>1030000</v>
      </c>
      <c r="G1038">
        <v>10.3</v>
      </c>
      <c r="H1038" t="s">
        <v>17</v>
      </c>
      <c r="I1038" t="s">
        <v>28</v>
      </c>
      <c r="J1038" s="8">
        <v>46185</v>
      </c>
      <c r="K1038" t="s">
        <v>39</v>
      </c>
    </row>
    <row r="1039" spans="1:11" x14ac:dyDescent="0.3">
      <c r="A1039" t="s">
        <v>1656</v>
      </c>
      <c r="B1039" t="s">
        <v>996</v>
      </c>
      <c r="C1039" t="s">
        <v>63</v>
      </c>
      <c r="D1039" t="s">
        <v>81</v>
      </c>
      <c r="E1039" t="s">
        <v>37</v>
      </c>
      <c r="F1039">
        <v>1030000</v>
      </c>
      <c r="G1039">
        <v>10.3</v>
      </c>
      <c r="H1039" t="s">
        <v>17</v>
      </c>
      <c r="I1039" t="s">
        <v>28</v>
      </c>
      <c r="J1039" s="8">
        <v>46185</v>
      </c>
      <c r="K1039" t="s">
        <v>846</v>
      </c>
    </row>
    <row r="1040" spans="1:11" x14ac:dyDescent="0.3">
      <c r="A1040" t="s">
        <v>1657</v>
      </c>
      <c r="B1040" t="s">
        <v>75</v>
      </c>
      <c r="C1040" t="s">
        <v>1082</v>
      </c>
      <c r="D1040" t="s">
        <v>76</v>
      </c>
      <c r="E1040" t="s">
        <v>77</v>
      </c>
      <c r="F1040">
        <v>3860000</v>
      </c>
      <c r="G1040">
        <v>38.6</v>
      </c>
      <c r="H1040" t="s">
        <v>17</v>
      </c>
      <c r="I1040" t="s">
        <v>845</v>
      </c>
      <c r="J1040" s="8">
        <v>46121</v>
      </c>
      <c r="K1040" t="s">
        <v>31</v>
      </c>
    </row>
    <row r="1041" spans="1:11" x14ac:dyDescent="0.3">
      <c r="A1041" t="s">
        <v>1657</v>
      </c>
      <c r="B1041" t="s">
        <v>75</v>
      </c>
      <c r="C1041" t="s">
        <v>1082</v>
      </c>
      <c r="D1041" t="s">
        <v>76</v>
      </c>
      <c r="E1041" t="s">
        <v>77</v>
      </c>
      <c r="F1041">
        <v>3860000</v>
      </c>
      <c r="G1041">
        <v>38.6</v>
      </c>
      <c r="H1041" t="s">
        <v>17</v>
      </c>
      <c r="I1041" t="s">
        <v>845</v>
      </c>
      <c r="J1041" s="8">
        <v>46121</v>
      </c>
      <c r="K1041" t="s">
        <v>854</v>
      </c>
    </row>
    <row r="1042" spans="1:11" x14ac:dyDescent="0.3">
      <c r="A1042" t="s">
        <v>1657</v>
      </c>
      <c r="B1042" t="s">
        <v>75</v>
      </c>
      <c r="C1042" t="s">
        <v>1082</v>
      </c>
      <c r="D1042" t="s">
        <v>76</v>
      </c>
      <c r="E1042" t="s">
        <v>77</v>
      </c>
      <c r="F1042">
        <v>3860000</v>
      </c>
      <c r="G1042">
        <v>38.6</v>
      </c>
      <c r="H1042" t="s">
        <v>17</v>
      </c>
      <c r="I1042" t="s">
        <v>845</v>
      </c>
      <c r="J1042" s="8">
        <v>46121</v>
      </c>
      <c r="K1042" t="s">
        <v>54</v>
      </c>
    </row>
    <row r="1043" spans="1:11" x14ac:dyDescent="0.3">
      <c r="A1043" t="s">
        <v>1660</v>
      </c>
      <c r="B1043" t="s">
        <v>62</v>
      </c>
      <c r="C1043" t="s">
        <v>172</v>
      </c>
      <c r="D1043" t="s">
        <v>96</v>
      </c>
      <c r="E1043" t="s">
        <v>37</v>
      </c>
      <c r="F1043">
        <v>1860000</v>
      </c>
      <c r="G1043">
        <v>18.600000000000001</v>
      </c>
      <c r="H1043" t="s">
        <v>27</v>
      </c>
      <c r="I1043" t="s">
        <v>59</v>
      </c>
      <c r="J1043" s="8">
        <v>46122</v>
      </c>
      <c r="K1043" t="s">
        <v>20</v>
      </c>
    </row>
    <row r="1044" spans="1:11" x14ac:dyDescent="0.3">
      <c r="A1044" t="s">
        <v>1660</v>
      </c>
      <c r="B1044" t="s">
        <v>62</v>
      </c>
      <c r="C1044" t="s">
        <v>172</v>
      </c>
      <c r="D1044" t="s">
        <v>96</v>
      </c>
      <c r="E1044" t="s">
        <v>37</v>
      </c>
      <c r="F1044">
        <v>1860000</v>
      </c>
      <c r="G1044">
        <v>18.600000000000001</v>
      </c>
      <c r="H1044" t="s">
        <v>27</v>
      </c>
      <c r="I1044" t="s">
        <v>59</v>
      </c>
      <c r="J1044" s="8">
        <v>46122</v>
      </c>
      <c r="K1044" t="s">
        <v>45</v>
      </c>
    </row>
    <row r="1045" spans="1:11" x14ac:dyDescent="0.3">
      <c r="A1045" t="s">
        <v>1660</v>
      </c>
      <c r="B1045" t="s">
        <v>62</v>
      </c>
      <c r="C1045" t="s">
        <v>172</v>
      </c>
      <c r="D1045" t="s">
        <v>96</v>
      </c>
      <c r="E1045" t="s">
        <v>37</v>
      </c>
      <c r="F1045">
        <v>1860000</v>
      </c>
      <c r="G1045">
        <v>18.600000000000001</v>
      </c>
      <c r="H1045" t="s">
        <v>27</v>
      </c>
      <c r="I1045" t="s">
        <v>59</v>
      </c>
      <c r="J1045" s="8">
        <v>46122</v>
      </c>
      <c r="K1045" t="s">
        <v>937</v>
      </c>
    </row>
    <row r="1046" spans="1:11" x14ac:dyDescent="0.3">
      <c r="A1046" t="s">
        <v>1662</v>
      </c>
      <c r="B1046" t="s">
        <v>852</v>
      </c>
      <c r="C1046" t="s">
        <v>357</v>
      </c>
      <c r="D1046" t="s">
        <v>36</v>
      </c>
      <c r="E1046" t="s">
        <v>16</v>
      </c>
      <c r="F1046">
        <v>800000</v>
      </c>
      <c r="G1046">
        <v>8</v>
      </c>
      <c r="H1046" t="s">
        <v>27</v>
      </c>
      <c r="I1046" t="s">
        <v>28</v>
      </c>
      <c r="J1046" s="8">
        <v>46195</v>
      </c>
      <c r="K1046" t="s">
        <v>908</v>
      </c>
    </row>
    <row r="1047" spans="1:11" x14ac:dyDescent="0.3">
      <c r="A1047" t="s">
        <v>1662</v>
      </c>
      <c r="B1047" t="s">
        <v>852</v>
      </c>
      <c r="C1047" t="s">
        <v>357</v>
      </c>
      <c r="D1047" t="s">
        <v>36</v>
      </c>
      <c r="E1047" t="s">
        <v>16</v>
      </c>
      <c r="F1047">
        <v>800000</v>
      </c>
      <c r="G1047">
        <v>8</v>
      </c>
      <c r="H1047" t="s">
        <v>27</v>
      </c>
      <c r="I1047" t="s">
        <v>28</v>
      </c>
      <c r="J1047" s="8">
        <v>46195</v>
      </c>
      <c r="K1047" t="s">
        <v>937</v>
      </c>
    </row>
    <row r="1048" spans="1:11" x14ac:dyDescent="0.3">
      <c r="A1048" t="s">
        <v>1662</v>
      </c>
      <c r="B1048" t="s">
        <v>852</v>
      </c>
      <c r="C1048" t="s">
        <v>357</v>
      </c>
      <c r="D1048" t="s">
        <v>36</v>
      </c>
      <c r="E1048" t="s">
        <v>16</v>
      </c>
      <c r="F1048">
        <v>800000</v>
      </c>
      <c r="G1048">
        <v>8</v>
      </c>
      <c r="H1048" t="s">
        <v>27</v>
      </c>
      <c r="I1048" t="s">
        <v>28</v>
      </c>
      <c r="J1048" s="8">
        <v>46195</v>
      </c>
      <c r="K1048" t="s">
        <v>20</v>
      </c>
    </row>
    <row r="1049" spans="1:11" x14ac:dyDescent="0.3">
      <c r="A1049" t="s">
        <v>1664</v>
      </c>
      <c r="B1049" t="s">
        <v>852</v>
      </c>
      <c r="C1049" t="s">
        <v>548</v>
      </c>
      <c r="D1049" t="s">
        <v>76</v>
      </c>
      <c r="E1049" t="s">
        <v>77</v>
      </c>
      <c r="F1049">
        <v>3070000</v>
      </c>
      <c r="G1049">
        <v>30.7</v>
      </c>
      <c r="H1049" t="s">
        <v>27</v>
      </c>
      <c r="I1049" t="s">
        <v>28</v>
      </c>
      <c r="J1049" s="8">
        <v>46117</v>
      </c>
      <c r="K1049" t="s">
        <v>29</v>
      </c>
    </row>
    <row r="1050" spans="1:11" x14ac:dyDescent="0.3">
      <c r="A1050" t="s">
        <v>1664</v>
      </c>
      <c r="B1050" t="s">
        <v>852</v>
      </c>
      <c r="C1050" t="s">
        <v>548</v>
      </c>
      <c r="D1050" t="s">
        <v>76</v>
      </c>
      <c r="E1050" t="s">
        <v>77</v>
      </c>
      <c r="F1050">
        <v>3070000</v>
      </c>
      <c r="G1050">
        <v>30.7</v>
      </c>
      <c r="H1050" t="s">
        <v>27</v>
      </c>
      <c r="I1050" t="s">
        <v>28</v>
      </c>
      <c r="J1050" s="8">
        <v>46117</v>
      </c>
      <c r="K1050" t="s">
        <v>874</v>
      </c>
    </row>
    <row r="1051" spans="1:11" x14ac:dyDescent="0.3">
      <c r="A1051" t="s">
        <v>1664</v>
      </c>
      <c r="B1051" t="s">
        <v>852</v>
      </c>
      <c r="C1051" t="s">
        <v>548</v>
      </c>
      <c r="D1051" t="s">
        <v>76</v>
      </c>
      <c r="E1051" t="s">
        <v>77</v>
      </c>
      <c r="F1051">
        <v>3070000</v>
      </c>
      <c r="G1051">
        <v>30.7</v>
      </c>
      <c r="H1051" t="s">
        <v>27</v>
      </c>
      <c r="I1051" t="s">
        <v>28</v>
      </c>
      <c r="J1051" s="8">
        <v>46117</v>
      </c>
      <c r="K1051" t="s">
        <v>937</v>
      </c>
    </row>
    <row r="1052" spans="1:11" x14ac:dyDescent="0.3">
      <c r="A1052" t="s">
        <v>1666</v>
      </c>
      <c r="B1052" t="s">
        <v>49</v>
      </c>
      <c r="C1052" t="s">
        <v>99</v>
      </c>
      <c r="D1052" t="s">
        <v>71</v>
      </c>
      <c r="E1052" t="s">
        <v>77</v>
      </c>
      <c r="F1052">
        <v>2325000</v>
      </c>
      <c r="G1052">
        <v>23.25</v>
      </c>
      <c r="H1052" t="s">
        <v>27</v>
      </c>
      <c r="I1052" t="s">
        <v>845</v>
      </c>
      <c r="J1052" s="8">
        <v>46218</v>
      </c>
      <c r="K1052" t="s">
        <v>908</v>
      </c>
    </row>
    <row r="1053" spans="1:11" x14ac:dyDescent="0.3">
      <c r="A1053" t="s">
        <v>1666</v>
      </c>
      <c r="B1053" t="s">
        <v>49</v>
      </c>
      <c r="C1053" t="s">
        <v>99</v>
      </c>
      <c r="D1053" t="s">
        <v>71</v>
      </c>
      <c r="E1053" t="s">
        <v>77</v>
      </c>
      <c r="F1053">
        <v>2325000</v>
      </c>
      <c r="G1053">
        <v>23.25</v>
      </c>
      <c r="H1053" t="s">
        <v>27</v>
      </c>
      <c r="I1053" t="s">
        <v>845</v>
      </c>
      <c r="J1053" s="8">
        <v>46218</v>
      </c>
      <c r="K1053" t="s">
        <v>31</v>
      </c>
    </row>
    <row r="1054" spans="1:11" x14ac:dyDescent="0.3">
      <c r="A1054" t="s">
        <v>1666</v>
      </c>
      <c r="B1054" t="s">
        <v>49</v>
      </c>
      <c r="C1054" t="s">
        <v>99</v>
      </c>
      <c r="D1054" t="s">
        <v>71</v>
      </c>
      <c r="E1054" t="s">
        <v>77</v>
      </c>
      <c r="F1054">
        <v>2325000</v>
      </c>
      <c r="G1054">
        <v>23.25</v>
      </c>
      <c r="H1054" t="s">
        <v>27</v>
      </c>
      <c r="I1054" t="s">
        <v>845</v>
      </c>
      <c r="J1054" s="8">
        <v>46218</v>
      </c>
      <c r="K1054" t="s">
        <v>21</v>
      </c>
    </row>
    <row r="1055" spans="1:11" x14ac:dyDescent="0.3">
      <c r="A1055" t="s">
        <v>1668</v>
      </c>
      <c r="B1055" t="s">
        <v>24</v>
      </c>
      <c r="C1055" t="s">
        <v>967</v>
      </c>
      <c r="D1055" t="s">
        <v>96</v>
      </c>
      <c r="E1055" t="s">
        <v>52</v>
      </c>
      <c r="F1055">
        <v>455000</v>
      </c>
      <c r="G1055">
        <v>4.55</v>
      </c>
      <c r="H1055" t="s">
        <v>53</v>
      </c>
      <c r="I1055" t="s">
        <v>845</v>
      </c>
      <c r="J1055" s="8">
        <v>46076</v>
      </c>
      <c r="K1055" t="s">
        <v>908</v>
      </c>
    </row>
    <row r="1056" spans="1:11" x14ac:dyDescent="0.3">
      <c r="A1056" t="s">
        <v>1668</v>
      </c>
      <c r="B1056" t="s">
        <v>24</v>
      </c>
      <c r="C1056" t="s">
        <v>967</v>
      </c>
      <c r="D1056" t="s">
        <v>96</v>
      </c>
      <c r="E1056" t="s">
        <v>52</v>
      </c>
      <c r="F1056">
        <v>455000</v>
      </c>
      <c r="G1056">
        <v>4.55</v>
      </c>
      <c r="H1056" t="s">
        <v>53</v>
      </c>
      <c r="I1056" t="s">
        <v>845</v>
      </c>
      <c r="J1056" s="8">
        <v>46076</v>
      </c>
      <c r="K1056" t="s">
        <v>29</v>
      </c>
    </row>
    <row r="1057" spans="1:11" x14ac:dyDescent="0.3">
      <c r="A1057" t="s">
        <v>1668</v>
      </c>
      <c r="B1057" t="s">
        <v>24</v>
      </c>
      <c r="C1057" t="s">
        <v>967</v>
      </c>
      <c r="D1057" t="s">
        <v>96</v>
      </c>
      <c r="E1057" t="s">
        <v>52</v>
      </c>
      <c r="F1057">
        <v>455000</v>
      </c>
      <c r="G1057">
        <v>4.55</v>
      </c>
      <c r="H1057" t="s">
        <v>53</v>
      </c>
      <c r="I1057" t="s">
        <v>845</v>
      </c>
      <c r="J1057" s="8">
        <v>46076</v>
      </c>
      <c r="K1057" t="s">
        <v>20</v>
      </c>
    </row>
    <row r="1058" spans="1:11" x14ac:dyDescent="0.3">
      <c r="A1058" t="s">
        <v>1671</v>
      </c>
      <c r="B1058" t="s">
        <v>24</v>
      </c>
      <c r="C1058" t="s">
        <v>87</v>
      </c>
      <c r="D1058" t="s">
        <v>96</v>
      </c>
      <c r="E1058" t="s">
        <v>116</v>
      </c>
      <c r="F1058">
        <v>1180000</v>
      </c>
      <c r="G1058">
        <v>11.8</v>
      </c>
      <c r="H1058" t="s">
        <v>17</v>
      </c>
      <c r="I1058" t="s">
        <v>59</v>
      </c>
      <c r="J1058" s="8">
        <v>46137</v>
      </c>
      <c r="K1058" t="s">
        <v>45</v>
      </c>
    </row>
    <row r="1059" spans="1:11" x14ac:dyDescent="0.3">
      <c r="A1059" t="s">
        <v>1671</v>
      </c>
      <c r="B1059" t="s">
        <v>24</v>
      </c>
      <c r="C1059" t="s">
        <v>87</v>
      </c>
      <c r="D1059" t="s">
        <v>96</v>
      </c>
      <c r="E1059" t="s">
        <v>116</v>
      </c>
      <c r="F1059">
        <v>1180000</v>
      </c>
      <c r="G1059">
        <v>11.8</v>
      </c>
      <c r="H1059" t="s">
        <v>17</v>
      </c>
      <c r="I1059" t="s">
        <v>59</v>
      </c>
      <c r="J1059" s="8">
        <v>46137</v>
      </c>
      <c r="K1059" t="s">
        <v>31</v>
      </c>
    </row>
    <row r="1060" spans="1:11" x14ac:dyDescent="0.3">
      <c r="A1060" t="s">
        <v>1671</v>
      </c>
      <c r="B1060" t="s">
        <v>24</v>
      </c>
      <c r="C1060" t="s">
        <v>87</v>
      </c>
      <c r="D1060" t="s">
        <v>96</v>
      </c>
      <c r="E1060" t="s">
        <v>116</v>
      </c>
      <c r="F1060">
        <v>1180000</v>
      </c>
      <c r="G1060">
        <v>11.8</v>
      </c>
      <c r="H1060" t="s">
        <v>17</v>
      </c>
      <c r="I1060" t="s">
        <v>59</v>
      </c>
      <c r="J1060" s="8">
        <v>46137</v>
      </c>
      <c r="K1060" t="s">
        <v>54</v>
      </c>
    </row>
    <row r="1061" spans="1:11" x14ac:dyDescent="0.3">
      <c r="A1061" t="s">
        <v>1672</v>
      </c>
      <c r="B1061" t="s">
        <v>42</v>
      </c>
      <c r="C1061" t="s">
        <v>172</v>
      </c>
      <c r="D1061" t="s">
        <v>44</v>
      </c>
      <c r="E1061" t="s">
        <v>52</v>
      </c>
      <c r="F1061">
        <v>280000</v>
      </c>
      <c r="G1061">
        <v>2.8</v>
      </c>
      <c r="H1061" t="s">
        <v>53</v>
      </c>
      <c r="I1061" t="s">
        <v>845</v>
      </c>
      <c r="J1061" s="8">
        <v>46091</v>
      </c>
      <c r="K1061" t="s">
        <v>31</v>
      </c>
    </row>
    <row r="1062" spans="1:11" x14ac:dyDescent="0.3">
      <c r="A1062" t="s">
        <v>1672</v>
      </c>
      <c r="B1062" t="s">
        <v>42</v>
      </c>
      <c r="C1062" t="s">
        <v>172</v>
      </c>
      <c r="D1062" t="s">
        <v>44</v>
      </c>
      <c r="E1062" t="s">
        <v>52</v>
      </c>
      <c r="F1062">
        <v>280000</v>
      </c>
      <c r="G1062">
        <v>2.8</v>
      </c>
      <c r="H1062" t="s">
        <v>53</v>
      </c>
      <c r="I1062" t="s">
        <v>845</v>
      </c>
      <c r="J1062" s="8">
        <v>46091</v>
      </c>
      <c r="K1062" t="s">
        <v>854</v>
      </c>
    </row>
    <row r="1063" spans="1:11" x14ac:dyDescent="0.3">
      <c r="A1063" t="s">
        <v>1672</v>
      </c>
      <c r="B1063" t="s">
        <v>42</v>
      </c>
      <c r="C1063" t="s">
        <v>172</v>
      </c>
      <c r="D1063" t="s">
        <v>44</v>
      </c>
      <c r="E1063" t="s">
        <v>52</v>
      </c>
      <c r="F1063">
        <v>280000</v>
      </c>
      <c r="G1063">
        <v>2.8</v>
      </c>
      <c r="H1063" t="s">
        <v>53</v>
      </c>
      <c r="I1063" t="s">
        <v>845</v>
      </c>
      <c r="J1063" s="8">
        <v>46091</v>
      </c>
      <c r="K1063" t="s">
        <v>874</v>
      </c>
    </row>
    <row r="1064" spans="1:11" x14ac:dyDescent="0.3">
      <c r="A1064" t="s">
        <v>1674</v>
      </c>
      <c r="B1064" t="s">
        <v>75</v>
      </c>
      <c r="C1064" t="s">
        <v>400</v>
      </c>
      <c r="D1064" t="s">
        <v>26</v>
      </c>
      <c r="E1064" t="s">
        <v>52</v>
      </c>
      <c r="F1064">
        <v>440000</v>
      </c>
      <c r="G1064">
        <v>4.4000000000000004</v>
      </c>
      <c r="H1064" t="s">
        <v>27</v>
      </c>
      <c r="I1064" t="s">
        <v>845</v>
      </c>
      <c r="J1064" s="8">
        <v>46195</v>
      </c>
      <c r="K1064" t="s">
        <v>45</v>
      </c>
    </row>
    <row r="1065" spans="1:11" x14ac:dyDescent="0.3">
      <c r="A1065" t="s">
        <v>1674</v>
      </c>
      <c r="B1065" t="s">
        <v>75</v>
      </c>
      <c r="C1065" t="s">
        <v>400</v>
      </c>
      <c r="D1065" t="s">
        <v>26</v>
      </c>
      <c r="E1065" t="s">
        <v>52</v>
      </c>
      <c r="F1065">
        <v>440000</v>
      </c>
      <c r="G1065">
        <v>4.4000000000000004</v>
      </c>
      <c r="H1065" t="s">
        <v>27</v>
      </c>
      <c r="I1065" t="s">
        <v>845</v>
      </c>
      <c r="J1065" s="8">
        <v>46195</v>
      </c>
      <c r="K1065" t="s">
        <v>31</v>
      </c>
    </row>
    <row r="1066" spans="1:11" x14ac:dyDescent="0.3">
      <c r="A1066" t="s">
        <v>1674</v>
      </c>
      <c r="B1066" t="s">
        <v>75</v>
      </c>
      <c r="C1066" t="s">
        <v>400</v>
      </c>
      <c r="D1066" t="s">
        <v>26</v>
      </c>
      <c r="E1066" t="s">
        <v>52</v>
      </c>
      <c r="F1066">
        <v>440000</v>
      </c>
      <c r="G1066">
        <v>4.4000000000000004</v>
      </c>
      <c r="H1066" t="s">
        <v>27</v>
      </c>
      <c r="I1066" t="s">
        <v>845</v>
      </c>
      <c r="J1066" s="8">
        <v>46195</v>
      </c>
      <c r="K1066" t="s">
        <v>846</v>
      </c>
    </row>
    <row r="1067" spans="1:11" x14ac:dyDescent="0.3">
      <c r="A1067" t="s">
        <v>1676</v>
      </c>
      <c r="B1067" t="s">
        <v>49</v>
      </c>
      <c r="C1067" t="s">
        <v>179</v>
      </c>
      <c r="D1067" t="s">
        <v>15</v>
      </c>
      <c r="E1067" t="s">
        <v>16</v>
      </c>
      <c r="F1067">
        <v>1015000</v>
      </c>
      <c r="G1067">
        <v>10.15</v>
      </c>
      <c r="H1067" t="s">
        <v>27</v>
      </c>
      <c r="I1067" t="s">
        <v>28</v>
      </c>
      <c r="J1067" s="8">
        <v>46188</v>
      </c>
      <c r="K1067" t="s">
        <v>21</v>
      </c>
    </row>
    <row r="1068" spans="1:11" x14ac:dyDescent="0.3">
      <c r="A1068" t="s">
        <v>1676</v>
      </c>
      <c r="B1068" t="s">
        <v>49</v>
      </c>
      <c r="C1068" t="s">
        <v>179</v>
      </c>
      <c r="D1068" t="s">
        <v>15</v>
      </c>
      <c r="E1068" t="s">
        <v>16</v>
      </c>
      <c r="F1068">
        <v>1015000</v>
      </c>
      <c r="G1068">
        <v>10.15</v>
      </c>
      <c r="H1068" t="s">
        <v>27</v>
      </c>
      <c r="I1068" t="s">
        <v>28</v>
      </c>
      <c r="J1068" s="8">
        <v>46188</v>
      </c>
      <c r="K1068" t="s">
        <v>54</v>
      </c>
    </row>
    <row r="1069" spans="1:11" x14ac:dyDescent="0.3">
      <c r="A1069" t="s">
        <v>1676</v>
      </c>
      <c r="B1069" t="s">
        <v>49</v>
      </c>
      <c r="C1069" t="s">
        <v>179</v>
      </c>
      <c r="D1069" t="s">
        <v>15</v>
      </c>
      <c r="E1069" t="s">
        <v>16</v>
      </c>
      <c r="F1069">
        <v>1015000</v>
      </c>
      <c r="G1069">
        <v>10.15</v>
      </c>
      <c r="H1069" t="s">
        <v>27</v>
      </c>
      <c r="I1069" t="s">
        <v>28</v>
      </c>
      <c r="J1069" s="8">
        <v>46188</v>
      </c>
      <c r="K1069" t="s">
        <v>846</v>
      </c>
    </row>
    <row r="1070" spans="1:11" x14ac:dyDescent="0.3">
      <c r="A1070" t="s">
        <v>1677</v>
      </c>
      <c r="B1070" t="s">
        <v>24</v>
      </c>
      <c r="C1070" t="s">
        <v>99</v>
      </c>
      <c r="D1070" t="s">
        <v>26</v>
      </c>
      <c r="E1070" t="s">
        <v>16</v>
      </c>
      <c r="F1070">
        <v>750000</v>
      </c>
      <c r="G1070">
        <v>7.5</v>
      </c>
      <c r="H1070" t="s">
        <v>17</v>
      </c>
      <c r="I1070" t="s">
        <v>28</v>
      </c>
      <c r="J1070" s="8">
        <v>46198</v>
      </c>
      <c r="K1070" t="s">
        <v>31</v>
      </c>
    </row>
    <row r="1071" spans="1:11" x14ac:dyDescent="0.3">
      <c r="A1071" t="s">
        <v>1677</v>
      </c>
      <c r="B1071" t="s">
        <v>24</v>
      </c>
      <c r="C1071" t="s">
        <v>99</v>
      </c>
      <c r="D1071" t="s">
        <v>26</v>
      </c>
      <c r="E1071" t="s">
        <v>16</v>
      </c>
      <c r="F1071">
        <v>750000</v>
      </c>
      <c r="G1071">
        <v>7.5</v>
      </c>
      <c r="H1071" t="s">
        <v>17</v>
      </c>
      <c r="I1071" t="s">
        <v>28</v>
      </c>
      <c r="J1071" s="8">
        <v>46198</v>
      </c>
      <c r="K1071" t="s">
        <v>908</v>
      </c>
    </row>
    <row r="1072" spans="1:11" x14ac:dyDescent="0.3">
      <c r="A1072" t="s">
        <v>1677</v>
      </c>
      <c r="B1072" t="s">
        <v>24</v>
      </c>
      <c r="C1072" t="s">
        <v>99</v>
      </c>
      <c r="D1072" t="s">
        <v>26</v>
      </c>
      <c r="E1072" t="s">
        <v>16</v>
      </c>
      <c r="F1072">
        <v>750000</v>
      </c>
      <c r="G1072">
        <v>7.5</v>
      </c>
      <c r="H1072" t="s">
        <v>17</v>
      </c>
      <c r="I1072" t="s">
        <v>28</v>
      </c>
      <c r="J1072" s="8">
        <v>46198</v>
      </c>
      <c r="K1072" t="s">
        <v>46</v>
      </c>
    </row>
    <row r="1073" spans="1:11" x14ac:dyDescent="0.3">
      <c r="A1073" t="s">
        <v>1678</v>
      </c>
      <c r="B1073" t="s">
        <v>864</v>
      </c>
      <c r="C1073" t="s">
        <v>119</v>
      </c>
      <c r="D1073" t="s">
        <v>26</v>
      </c>
      <c r="E1073" t="s">
        <v>116</v>
      </c>
      <c r="F1073">
        <v>1755000</v>
      </c>
      <c r="G1073">
        <v>17.55</v>
      </c>
      <c r="H1073" t="s">
        <v>27</v>
      </c>
      <c r="I1073" t="s">
        <v>845</v>
      </c>
      <c r="J1073" s="8">
        <v>46053</v>
      </c>
      <c r="K1073" t="s">
        <v>21</v>
      </c>
    </row>
    <row r="1074" spans="1:11" x14ac:dyDescent="0.3">
      <c r="A1074" t="s">
        <v>1678</v>
      </c>
      <c r="B1074" t="s">
        <v>864</v>
      </c>
      <c r="C1074" t="s">
        <v>119</v>
      </c>
      <c r="D1074" t="s">
        <v>26</v>
      </c>
      <c r="E1074" t="s">
        <v>116</v>
      </c>
      <c r="F1074">
        <v>1755000</v>
      </c>
      <c r="G1074">
        <v>17.55</v>
      </c>
      <c r="H1074" t="s">
        <v>27</v>
      </c>
      <c r="I1074" t="s">
        <v>845</v>
      </c>
      <c r="J1074" s="8">
        <v>46053</v>
      </c>
      <c r="K1074" t="s">
        <v>878</v>
      </c>
    </row>
    <row r="1075" spans="1:11" x14ac:dyDescent="0.3">
      <c r="A1075" t="s">
        <v>1678</v>
      </c>
      <c r="B1075" t="s">
        <v>864</v>
      </c>
      <c r="C1075" t="s">
        <v>119</v>
      </c>
      <c r="D1075" t="s">
        <v>26</v>
      </c>
      <c r="E1075" t="s">
        <v>116</v>
      </c>
      <c r="F1075">
        <v>1755000</v>
      </c>
      <c r="G1075">
        <v>17.55</v>
      </c>
      <c r="H1075" t="s">
        <v>27</v>
      </c>
      <c r="I1075" t="s">
        <v>845</v>
      </c>
      <c r="J1075" s="8">
        <v>46053</v>
      </c>
      <c r="K1075" t="s">
        <v>45</v>
      </c>
    </row>
    <row r="1076" spans="1:11" x14ac:dyDescent="0.3">
      <c r="A1076" t="s">
        <v>1680</v>
      </c>
      <c r="B1076" t="s">
        <v>960</v>
      </c>
      <c r="C1076" t="s">
        <v>152</v>
      </c>
      <c r="D1076" t="s">
        <v>64</v>
      </c>
      <c r="E1076" t="s">
        <v>16</v>
      </c>
      <c r="F1076">
        <v>795000</v>
      </c>
      <c r="G1076">
        <v>7.95</v>
      </c>
      <c r="H1076" t="s">
        <v>27</v>
      </c>
      <c r="I1076" t="s">
        <v>28</v>
      </c>
      <c r="J1076" s="8">
        <v>46072</v>
      </c>
      <c r="K1076" t="s">
        <v>46</v>
      </c>
    </row>
    <row r="1077" spans="1:11" x14ac:dyDescent="0.3">
      <c r="A1077" t="s">
        <v>1680</v>
      </c>
      <c r="B1077" t="s">
        <v>960</v>
      </c>
      <c r="C1077" t="s">
        <v>152</v>
      </c>
      <c r="D1077" t="s">
        <v>64</v>
      </c>
      <c r="E1077" t="s">
        <v>16</v>
      </c>
      <c r="F1077">
        <v>795000</v>
      </c>
      <c r="G1077">
        <v>7.95</v>
      </c>
      <c r="H1077" t="s">
        <v>27</v>
      </c>
      <c r="I1077" t="s">
        <v>28</v>
      </c>
      <c r="J1077" s="8">
        <v>46072</v>
      </c>
      <c r="K1077" t="s">
        <v>846</v>
      </c>
    </row>
    <row r="1078" spans="1:11" x14ac:dyDescent="0.3">
      <c r="A1078" t="s">
        <v>1680</v>
      </c>
      <c r="B1078" t="s">
        <v>960</v>
      </c>
      <c r="C1078" t="s">
        <v>152</v>
      </c>
      <c r="D1078" t="s">
        <v>64</v>
      </c>
      <c r="E1078" t="s">
        <v>16</v>
      </c>
      <c r="F1078">
        <v>795000</v>
      </c>
      <c r="G1078">
        <v>7.95</v>
      </c>
      <c r="H1078" t="s">
        <v>27</v>
      </c>
      <c r="I1078" t="s">
        <v>28</v>
      </c>
      <c r="J1078" s="8">
        <v>46072</v>
      </c>
      <c r="K1078" t="s">
        <v>29</v>
      </c>
    </row>
    <row r="1079" spans="1:11" x14ac:dyDescent="0.3">
      <c r="A1079" t="s">
        <v>1682</v>
      </c>
      <c r="B1079" t="s">
        <v>75</v>
      </c>
      <c r="C1079" t="s">
        <v>125</v>
      </c>
      <c r="D1079" t="s">
        <v>96</v>
      </c>
      <c r="E1079" t="s">
        <v>52</v>
      </c>
      <c r="F1079">
        <v>380000</v>
      </c>
      <c r="G1079">
        <v>3.8</v>
      </c>
      <c r="H1079" t="s">
        <v>53</v>
      </c>
      <c r="I1079" t="s">
        <v>845</v>
      </c>
      <c r="J1079" s="8">
        <v>46121</v>
      </c>
      <c r="K1079" t="s">
        <v>30</v>
      </c>
    </row>
    <row r="1080" spans="1:11" x14ac:dyDescent="0.3">
      <c r="A1080" t="s">
        <v>1682</v>
      </c>
      <c r="B1080" t="s">
        <v>75</v>
      </c>
      <c r="C1080" t="s">
        <v>125</v>
      </c>
      <c r="D1080" t="s">
        <v>96</v>
      </c>
      <c r="E1080" t="s">
        <v>52</v>
      </c>
      <c r="F1080">
        <v>380000</v>
      </c>
      <c r="G1080">
        <v>3.8</v>
      </c>
      <c r="H1080" t="s">
        <v>53</v>
      </c>
      <c r="I1080" t="s">
        <v>845</v>
      </c>
      <c r="J1080" s="8">
        <v>46121</v>
      </c>
      <c r="K1080" t="s">
        <v>854</v>
      </c>
    </row>
    <row r="1081" spans="1:11" x14ac:dyDescent="0.3">
      <c r="A1081" t="s">
        <v>1682</v>
      </c>
      <c r="B1081" t="s">
        <v>75</v>
      </c>
      <c r="C1081" t="s">
        <v>125</v>
      </c>
      <c r="D1081" t="s">
        <v>96</v>
      </c>
      <c r="E1081" t="s">
        <v>52</v>
      </c>
      <c r="F1081">
        <v>380000</v>
      </c>
      <c r="G1081">
        <v>3.8</v>
      </c>
      <c r="H1081" t="s">
        <v>53</v>
      </c>
      <c r="I1081" t="s">
        <v>845</v>
      </c>
      <c r="J1081" s="8">
        <v>46121</v>
      </c>
      <c r="K1081" t="s">
        <v>31</v>
      </c>
    </row>
    <row r="1082" spans="1:11" x14ac:dyDescent="0.3">
      <c r="A1082" t="s">
        <v>1683</v>
      </c>
      <c r="B1082" t="s">
        <v>864</v>
      </c>
      <c r="C1082" t="s">
        <v>242</v>
      </c>
      <c r="D1082" t="s">
        <v>64</v>
      </c>
      <c r="E1082" t="s">
        <v>116</v>
      </c>
      <c r="F1082">
        <v>1365000</v>
      </c>
      <c r="G1082">
        <v>13.65</v>
      </c>
      <c r="H1082" t="s">
        <v>27</v>
      </c>
      <c r="I1082" t="s">
        <v>28</v>
      </c>
      <c r="J1082" s="8">
        <v>46094</v>
      </c>
      <c r="K1082" t="s">
        <v>45</v>
      </c>
    </row>
    <row r="1083" spans="1:11" x14ac:dyDescent="0.3">
      <c r="A1083" t="s">
        <v>1683</v>
      </c>
      <c r="B1083" t="s">
        <v>864</v>
      </c>
      <c r="C1083" t="s">
        <v>242</v>
      </c>
      <c r="D1083" t="s">
        <v>64</v>
      </c>
      <c r="E1083" t="s">
        <v>116</v>
      </c>
      <c r="F1083">
        <v>1365000</v>
      </c>
      <c r="G1083">
        <v>13.65</v>
      </c>
      <c r="H1083" t="s">
        <v>27</v>
      </c>
      <c r="I1083" t="s">
        <v>28</v>
      </c>
      <c r="J1083" s="8">
        <v>46094</v>
      </c>
      <c r="K1083" t="s">
        <v>54</v>
      </c>
    </row>
    <row r="1084" spans="1:11" x14ac:dyDescent="0.3">
      <c r="A1084" t="s">
        <v>1683</v>
      </c>
      <c r="B1084" t="s">
        <v>864</v>
      </c>
      <c r="C1084" t="s">
        <v>242</v>
      </c>
      <c r="D1084" t="s">
        <v>64</v>
      </c>
      <c r="E1084" t="s">
        <v>116</v>
      </c>
      <c r="F1084">
        <v>1365000</v>
      </c>
      <c r="G1084">
        <v>13.65</v>
      </c>
      <c r="H1084" t="s">
        <v>27</v>
      </c>
      <c r="I1084" t="s">
        <v>28</v>
      </c>
      <c r="J1084" s="8">
        <v>46094</v>
      </c>
      <c r="K1084" t="s">
        <v>39</v>
      </c>
    </row>
    <row r="1085" spans="1:11" x14ac:dyDescent="0.3">
      <c r="A1085" t="s">
        <v>1684</v>
      </c>
      <c r="B1085" t="s">
        <v>996</v>
      </c>
      <c r="C1085" t="s">
        <v>25</v>
      </c>
      <c r="D1085" t="s">
        <v>64</v>
      </c>
      <c r="E1085" t="s">
        <v>16</v>
      </c>
      <c r="F1085">
        <v>615000</v>
      </c>
      <c r="G1085">
        <v>6.15</v>
      </c>
      <c r="H1085" t="s">
        <v>27</v>
      </c>
      <c r="I1085" t="s">
        <v>28</v>
      </c>
      <c r="J1085" s="8">
        <v>46098</v>
      </c>
      <c r="K1085" t="s">
        <v>874</v>
      </c>
    </row>
    <row r="1086" spans="1:11" x14ac:dyDescent="0.3">
      <c r="A1086" t="s">
        <v>1684</v>
      </c>
      <c r="B1086" t="s">
        <v>996</v>
      </c>
      <c r="C1086" t="s">
        <v>25</v>
      </c>
      <c r="D1086" t="s">
        <v>64</v>
      </c>
      <c r="E1086" t="s">
        <v>16</v>
      </c>
      <c r="F1086">
        <v>615000</v>
      </c>
      <c r="G1086">
        <v>6.15</v>
      </c>
      <c r="H1086" t="s">
        <v>27</v>
      </c>
      <c r="I1086" t="s">
        <v>28</v>
      </c>
      <c r="J1086" s="8">
        <v>46098</v>
      </c>
      <c r="K1086" t="s">
        <v>46</v>
      </c>
    </row>
    <row r="1087" spans="1:11" x14ac:dyDescent="0.3">
      <c r="A1087" t="s">
        <v>1684</v>
      </c>
      <c r="B1087" t="s">
        <v>996</v>
      </c>
      <c r="C1087" t="s">
        <v>25</v>
      </c>
      <c r="D1087" t="s">
        <v>64</v>
      </c>
      <c r="E1087" t="s">
        <v>16</v>
      </c>
      <c r="F1087">
        <v>615000</v>
      </c>
      <c r="G1087">
        <v>6.15</v>
      </c>
      <c r="H1087" t="s">
        <v>27</v>
      </c>
      <c r="I1087" t="s">
        <v>28</v>
      </c>
      <c r="J1087" s="8">
        <v>46098</v>
      </c>
      <c r="K1087" t="s">
        <v>937</v>
      </c>
    </row>
    <row r="1088" spans="1:11" x14ac:dyDescent="0.3">
      <c r="A1088" t="s">
        <v>1685</v>
      </c>
      <c r="B1088" t="s">
        <v>864</v>
      </c>
      <c r="C1088" t="s">
        <v>152</v>
      </c>
      <c r="D1088" t="s">
        <v>76</v>
      </c>
      <c r="E1088" t="s">
        <v>52</v>
      </c>
      <c r="F1088">
        <v>585000</v>
      </c>
      <c r="G1088">
        <v>5.85</v>
      </c>
      <c r="H1088" t="s">
        <v>27</v>
      </c>
      <c r="I1088" t="s">
        <v>28</v>
      </c>
      <c r="J1088" s="8">
        <v>46126</v>
      </c>
      <c r="K1088" t="s">
        <v>29</v>
      </c>
    </row>
    <row r="1089" spans="1:11" x14ac:dyDescent="0.3">
      <c r="A1089" t="s">
        <v>1685</v>
      </c>
      <c r="B1089" t="s">
        <v>864</v>
      </c>
      <c r="C1089" t="s">
        <v>152</v>
      </c>
      <c r="D1089" t="s">
        <v>76</v>
      </c>
      <c r="E1089" t="s">
        <v>52</v>
      </c>
      <c r="F1089">
        <v>585000</v>
      </c>
      <c r="G1089">
        <v>5.85</v>
      </c>
      <c r="H1089" t="s">
        <v>27</v>
      </c>
      <c r="I1089" t="s">
        <v>28</v>
      </c>
      <c r="J1089" s="8">
        <v>46126</v>
      </c>
      <c r="K1089" t="s">
        <v>878</v>
      </c>
    </row>
    <row r="1090" spans="1:11" x14ac:dyDescent="0.3">
      <c r="A1090" t="s">
        <v>1685</v>
      </c>
      <c r="B1090" t="s">
        <v>864</v>
      </c>
      <c r="C1090" t="s">
        <v>152</v>
      </c>
      <c r="D1090" t="s">
        <v>76</v>
      </c>
      <c r="E1090" t="s">
        <v>52</v>
      </c>
      <c r="F1090">
        <v>585000</v>
      </c>
      <c r="G1090">
        <v>5.85</v>
      </c>
      <c r="H1090" t="s">
        <v>27</v>
      </c>
      <c r="I1090" t="s">
        <v>28</v>
      </c>
      <c r="J1090" s="8">
        <v>46126</v>
      </c>
      <c r="K1090" t="s">
        <v>846</v>
      </c>
    </row>
    <row r="1091" spans="1:11" x14ac:dyDescent="0.3">
      <c r="A1091" t="s">
        <v>1686</v>
      </c>
      <c r="B1091" t="s">
        <v>24</v>
      </c>
      <c r="C1091" t="s">
        <v>237</v>
      </c>
      <c r="D1091" t="s">
        <v>81</v>
      </c>
      <c r="E1091" t="s">
        <v>52</v>
      </c>
      <c r="F1091">
        <v>270000</v>
      </c>
      <c r="G1091">
        <v>2.7</v>
      </c>
      <c r="H1091" t="s">
        <v>53</v>
      </c>
      <c r="I1091" t="s">
        <v>845</v>
      </c>
      <c r="J1091" s="8">
        <v>46100</v>
      </c>
      <c r="K1091" t="s">
        <v>45</v>
      </c>
    </row>
    <row r="1092" spans="1:11" x14ac:dyDescent="0.3">
      <c r="A1092" t="s">
        <v>1686</v>
      </c>
      <c r="B1092" t="s">
        <v>24</v>
      </c>
      <c r="C1092" t="s">
        <v>237</v>
      </c>
      <c r="D1092" t="s">
        <v>81</v>
      </c>
      <c r="E1092" t="s">
        <v>52</v>
      </c>
      <c r="F1092">
        <v>270000</v>
      </c>
      <c r="G1092">
        <v>2.7</v>
      </c>
      <c r="H1092" t="s">
        <v>53</v>
      </c>
      <c r="I1092" t="s">
        <v>845</v>
      </c>
      <c r="J1092" s="8">
        <v>46100</v>
      </c>
      <c r="K1092" t="s">
        <v>908</v>
      </c>
    </row>
    <row r="1093" spans="1:11" x14ac:dyDescent="0.3">
      <c r="A1093" t="s">
        <v>1686</v>
      </c>
      <c r="B1093" t="s">
        <v>24</v>
      </c>
      <c r="C1093" t="s">
        <v>237</v>
      </c>
      <c r="D1093" t="s">
        <v>81</v>
      </c>
      <c r="E1093" t="s">
        <v>52</v>
      </c>
      <c r="F1093">
        <v>270000</v>
      </c>
      <c r="G1093">
        <v>2.7</v>
      </c>
      <c r="H1093" t="s">
        <v>53</v>
      </c>
      <c r="I1093" t="s">
        <v>845</v>
      </c>
      <c r="J1093" s="8">
        <v>46100</v>
      </c>
      <c r="K1093" t="s">
        <v>46</v>
      </c>
    </row>
    <row r="1094" spans="1:11" x14ac:dyDescent="0.3">
      <c r="A1094" t="s">
        <v>1689</v>
      </c>
      <c r="B1094" t="s">
        <v>42</v>
      </c>
      <c r="C1094" t="s">
        <v>25</v>
      </c>
      <c r="D1094" t="s">
        <v>96</v>
      </c>
      <c r="E1094" t="s">
        <v>77</v>
      </c>
      <c r="F1094">
        <v>3920000</v>
      </c>
      <c r="G1094">
        <v>39.200000000000003</v>
      </c>
      <c r="H1094" t="s">
        <v>27</v>
      </c>
      <c r="I1094" t="s">
        <v>28</v>
      </c>
      <c r="J1094" s="8">
        <v>46188</v>
      </c>
      <c r="K1094" t="s">
        <v>29</v>
      </c>
    </row>
    <row r="1095" spans="1:11" x14ac:dyDescent="0.3">
      <c r="A1095" t="s">
        <v>1689</v>
      </c>
      <c r="B1095" t="s">
        <v>42</v>
      </c>
      <c r="C1095" t="s">
        <v>25</v>
      </c>
      <c r="D1095" t="s">
        <v>96</v>
      </c>
      <c r="E1095" t="s">
        <v>77</v>
      </c>
      <c r="F1095">
        <v>3920000</v>
      </c>
      <c r="G1095">
        <v>39.200000000000003</v>
      </c>
      <c r="H1095" t="s">
        <v>27</v>
      </c>
      <c r="I1095" t="s">
        <v>28</v>
      </c>
      <c r="J1095" s="8">
        <v>46188</v>
      </c>
      <c r="K1095" t="s">
        <v>45</v>
      </c>
    </row>
    <row r="1096" spans="1:11" x14ac:dyDescent="0.3">
      <c r="A1096" t="s">
        <v>1689</v>
      </c>
      <c r="B1096" t="s">
        <v>42</v>
      </c>
      <c r="C1096" t="s">
        <v>25</v>
      </c>
      <c r="D1096" t="s">
        <v>96</v>
      </c>
      <c r="E1096" t="s">
        <v>77</v>
      </c>
      <c r="F1096">
        <v>3920000</v>
      </c>
      <c r="G1096">
        <v>39.200000000000003</v>
      </c>
      <c r="H1096" t="s">
        <v>27</v>
      </c>
      <c r="I1096" t="s">
        <v>28</v>
      </c>
      <c r="J1096" s="8">
        <v>46188</v>
      </c>
      <c r="K1096" t="s">
        <v>46</v>
      </c>
    </row>
    <row r="1097" spans="1:11" x14ac:dyDescent="0.3">
      <c r="A1097" t="s">
        <v>1691</v>
      </c>
      <c r="B1097" t="s">
        <v>75</v>
      </c>
      <c r="C1097" t="s">
        <v>119</v>
      </c>
      <c r="D1097" t="s">
        <v>76</v>
      </c>
      <c r="E1097" t="s">
        <v>16</v>
      </c>
      <c r="F1097">
        <v>655000</v>
      </c>
      <c r="G1097">
        <v>6.55</v>
      </c>
      <c r="H1097" t="s">
        <v>27</v>
      </c>
      <c r="I1097" t="s">
        <v>59</v>
      </c>
      <c r="J1097" s="8">
        <v>46217</v>
      </c>
      <c r="K1097" t="s">
        <v>30</v>
      </c>
    </row>
    <row r="1098" spans="1:11" x14ac:dyDescent="0.3">
      <c r="A1098" t="s">
        <v>1691</v>
      </c>
      <c r="B1098" t="s">
        <v>75</v>
      </c>
      <c r="C1098" t="s">
        <v>119</v>
      </c>
      <c r="D1098" t="s">
        <v>76</v>
      </c>
      <c r="E1098" t="s">
        <v>16</v>
      </c>
      <c r="F1098">
        <v>655000</v>
      </c>
      <c r="G1098">
        <v>6.55</v>
      </c>
      <c r="H1098" t="s">
        <v>27</v>
      </c>
      <c r="I1098" t="s">
        <v>59</v>
      </c>
      <c r="J1098" s="8">
        <v>46217</v>
      </c>
      <c r="K1098" t="s">
        <v>45</v>
      </c>
    </row>
    <row r="1099" spans="1:11" x14ac:dyDescent="0.3">
      <c r="A1099" t="s">
        <v>1691</v>
      </c>
      <c r="B1099" t="s">
        <v>75</v>
      </c>
      <c r="C1099" t="s">
        <v>119</v>
      </c>
      <c r="D1099" t="s">
        <v>76</v>
      </c>
      <c r="E1099" t="s">
        <v>16</v>
      </c>
      <c r="F1099">
        <v>655000</v>
      </c>
      <c r="G1099">
        <v>6.55</v>
      </c>
      <c r="H1099" t="s">
        <v>27</v>
      </c>
      <c r="I1099" t="s">
        <v>59</v>
      </c>
      <c r="J1099" s="8">
        <v>46217</v>
      </c>
      <c r="K1099" t="s">
        <v>31</v>
      </c>
    </row>
    <row r="1100" spans="1:11" x14ac:dyDescent="0.3">
      <c r="A1100" t="s">
        <v>1692</v>
      </c>
      <c r="B1100" t="s">
        <v>49</v>
      </c>
      <c r="C1100" t="s">
        <v>1195</v>
      </c>
      <c r="D1100" t="s">
        <v>36</v>
      </c>
      <c r="E1100" t="s">
        <v>16</v>
      </c>
      <c r="F1100">
        <v>540000</v>
      </c>
      <c r="G1100">
        <v>5.4</v>
      </c>
      <c r="H1100" t="s">
        <v>27</v>
      </c>
      <c r="I1100" t="s">
        <v>28</v>
      </c>
      <c r="J1100" s="8">
        <v>46027</v>
      </c>
      <c r="K1100" t="s">
        <v>39</v>
      </c>
    </row>
    <row r="1101" spans="1:11" x14ac:dyDescent="0.3">
      <c r="A1101" t="s">
        <v>1692</v>
      </c>
      <c r="B1101" t="s">
        <v>49</v>
      </c>
      <c r="C1101" t="s">
        <v>1195</v>
      </c>
      <c r="D1101" t="s">
        <v>36</v>
      </c>
      <c r="E1101" t="s">
        <v>16</v>
      </c>
      <c r="F1101">
        <v>540000</v>
      </c>
      <c r="G1101">
        <v>5.4</v>
      </c>
      <c r="H1101" t="s">
        <v>27</v>
      </c>
      <c r="I1101" t="s">
        <v>28</v>
      </c>
      <c r="J1101" s="8">
        <v>46027</v>
      </c>
      <c r="K1101" t="s">
        <v>45</v>
      </c>
    </row>
    <row r="1102" spans="1:11" x14ac:dyDescent="0.3">
      <c r="A1102" t="s">
        <v>1692</v>
      </c>
      <c r="B1102" t="s">
        <v>49</v>
      </c>
      <c r="C1102" t="s">
        <v>1195</v>
      </c>
      <c r="D1102" t="s">
        <v>36</v>
      </c>
      <c r="E1102" t="s">
        <v>16</v>
      </c>
      <c r="F1102">
        <v>540000</v>
      </c>
      <c r="G1102">
        <v>5.4</v>
      </c>
      <c r="H1102" t="s">
        <v>27</v>
      </c>
      <c r="I1102" t="s">
        <v>28</v>
      </c>
      <c r="J1102" s="8">
        <v>46027</v>
      </c>
      <c r="K1102" t="s">
        <v>54</v>
      </c>
    </row>
    <row r="1103" spans="1:11" x14ac:dyDescent="0.3">
      <c r="A1103" t="s">
        <v>1693</v>
      </c>
      <c r="B1103" t="s">
        <v>49</v>
      </c>
      <c r="C1103" t="s">
        <v>899</v>
      </c>
      <c r="D1103" t="s">
        <v>44</v>
      </c>
      <c r="E1103" t="s">
        <v>116</v>
      </c>
      <c r="F1103">
        <v>845000</v>
      </c>
      <c r="G1103">
        <v>8.4499999999999993</v>
      </c>
      <c r="H1103" t="s">
        <v>27</v>
      </c>
      <c r="I1103" t="s">
        <v>59</v>
      </c>
      <c r="J1103" s="8">
        <v>46164</v>
      </c>
      <c r="K1103" t="s">
        <v>46</v>
      </c>
    </row>
    <row r="1104" spans="1:11" x14ac:dyDescent="0.3">
      <c r="A1104" t="s">
        <v>1693</v>
      </c>
      <c r="B1104" t="s">
        <v>49</v>
      </c>
      <c r="C1104" t="s">
        <v>899</v>
      </c>
      <c r="D1104" t="s">
        <v>44</v>
      </c>
      <c r="E1104" t="s">
        <v>116</v>
      </c>
      <c r="F1104">
        <v>845000</v>
      </c>
      <c r="G1104">
        <v>8.4499999999999993</v>
      </c>
      <c r="H1104" t="s">
        <v>27</v>
      </c>
      <c r="I1104" t="s">
        <v>59</v>
      </c>
      <c r="J1104" s="8">
        <v>46164</v>
      </c>
      <c r="K1104" t="s">
        <v>45</v>
      </c>
    </row>
    <row r="1105" spans="1:11" x14ac:dyDescent="0.3">
      <c r="A1105" t="s">
        <v>1693</v>
      </c>
      <c r="B1105" t="s">
        <v>49</v>
      </c>
      <c r="C1105" t="s">
        <v>899</v>
      </c>
      <c r="D1105" t="s">
        <v>44</v>
      </c>
      <c r="E1105" t="s">
        <v>116</v>
      </c>
      <c r="F1105">
        <v>845000</v>
      </c>
      <c r="G1105">
        <v>8.4499999999999993</v>
      </c>
      <c r="H1105" t="s">
        <v>27</v>
      </c>
      <c r="I1105" t="s">
        <v>59</v>
      </c>
      <c r="J1105" s="8">
        <v>46164</v>
      </c>
      <c r="K1105" t="s">
        <v>20</v>
      </c>
    </row>
    <row r="1106" spans="1:11" x14ac:dyDescent="0.3">
      <c r="A1106" t="s">
        <v>1694</v>
      </c>
      <c r="B1106" t="s">
        <v>960</v>
      </c>
      <c r="C1106" t="s">
        <v>689</v>
      </c>
      <c r="D1106" t="s">
        <v>51</v>
      </c>
      <c r="E1106" t="s">
        <v>52</v>
      </c>
      <c r="F1106">
        <v>530000</v>
      </c>
      <c r="G1106">
        <v>5.3</v>
      </c>
      <c r="H1106" t="s">
        <v>27</v>
      </c>
      <c r="I1106" t="s">
        <v>28</v>
      </c>
      <c r="J1106" s="8">
        <v>46073</v>
      </c>
      <c r="K1106" t="s">
        <v>846</v>
      </c>
    </row>
    <row r="1107" spans="1:11" x14ac:dyDescent="0.3">
      <c r="A1107" t="s">
        <v>1694</v>
      </c>
      <c r="B1107" t="s">
        <v>960</v>
      </c>
      <c r="C1107" t="s">
        <v>689</v>
      </c>
      <c r="D1107" t="s">
        <v>51</v>
      </c>
      <c r="E1107" t="s">
        <v>52</v>
      </c>
      <c r="F1107">
        <v>530000</v>
      </c>
      <c r="G1107">
        <v>5.3</v>
      </c>
      <c r="H1107" t="s">
        <v>27</v>
      </c>
      <c r="I1107" t="s">
        <v>28</v>
      </c>
      <c r="J1107" s="8">
        <v>46073</v>
      </c>
      <c r="K1107" t="s">
        <v>20</v>
      </c>
    </row>
    <row r="1108" spans="1:11" x14ac:dyDescent="0.3">
      <c r="A1108" t="s">
        <v>1694</v>
      </c>
      <c r="B1108" t="s">
        <v>960</v>
      </c>
      <c r="C1108" t="s">
        <v>689</v>
      </c>
      <c r="D1108" t="s">
        <v>51</v>
      </c>
      <c r="E1108" t="s">
        <v>52</v>
      </c>
      <c r="F1108">
        <v>530000</v>
      </c>
      <c r="G1108">
        <v>5.3</v>
      </c>
      <c r="H1108" t="s">
        <v>27</v>
      </c>
      <c r="I1108" t="s">
        <v>28</v>
      </c>
      <c r="J1108" s="8">
        <v>46073</v>
      </c>
      <c r="K1108" t="s">
        <v>45</v>
      </c>
    </row>
    <row r="1109" spans="1:11" x14ac:dyDescent="0.3">
      <c r="A1109" t="s">
        <v>1696</v>
      </c>
      <c r="B1109" t="s">
        <v>13</v>
      </c>
      <c r="C1109" t="s">
        <v>188</v>
      </c>
      <c r="D1109" t="s">
        <v>15</v>
      </c>
      <c r="E1109" t="s">
        <v>52</v>
      </c>
      <c r="F1109">
        <v>720000</v>
      </c>
      <c r="G1109">
        <v>7.2</v>
      </c>
      <c r="H1109" t="s">
        <v>27</v>
      </c>
      <c r="I1109" t="s">
        <v>59</v>
      </c>
      <c r="J1109" s="8">
        <v>46129</v>
      </c>
      <c r="K1109" t="s">
        <v>878</v>
      </c>
    </row>
    <row r="1110" spans="1:11" x14ac:dyDescent="0.3">
      <c r="A1110" t="s">
        <v>1696</v>
      </c>
      <c r="B1110" t="s">
        <v>13</v>
      </c>
      <c r="C1110" t="s">
        <v>188</v>
      </c>
      <c r="D1110" t="s">
        <v>15</v>
      </c>
      <c r="E1110" t="s">
        <v>52</v>
      </c>
      <c r="F1110">
        <v>720000</v>
      </c>
      <c r="G1110">
        <v>7.2</v>
      </c>
      <c r="H1110" t="s">
        <v>27</v>
      </c>
      <c r="I1110" t="s">
        <v>59</v>
      </c>
      <c r="J1110" s="8">
        <v>46129</v>
      </c>
      <c r="K1110" t="s">
        <v>908</v>
      </c>
    </row>
    <row r="1111" spans="1:11" x14ac:dyDescent="0.3">
      <c r="A1111" t="s">
        <v>1696</v>
      </c>
      <c r="B1111" t="s">
        <v>13</v>
      </c>
      <c r="C1111" t="s">
        <v>188</v>
      </c>
      <c r="D1111" t="s">
        <v>15</v>
      </c>
      <c r="E1111" t="s">
        <v>52</v>
      </c>
      <c r="F1111">
        <v>720000</v>
      </c>
      <c r="G1111">
        <v>7.2</v>
      </c>
      <c r="H1111" t="s">
        <v>27</v>
      </c>
      <c r="I1111" t="s">
        <v>59</v>
      </c>
      <c r="J1111" s="8">
        <v>46129</v>
      </c>
      <c r="K1111" t="s">
        <v>45</v>
      </c>
    </row>
    <row r="1112" spans="1:11" x14ac:dyDescent="0.3">
      <c r="A1112" t="s">
        <v>1697</v>
      </c>
      <c r="B1112" t="s">
        <v>49</v>
      </c>
      <c r="C1112" t="s">
        <v>237</v>
      </c>
      <c r="D1112" t="s">
        <v>96</v>
      </c>
      <c r="E1112" t="s">
        <v>37</v>
      </c>
      <c r="F1112">
        <v>1445000</v>
      </c>
      <c r="G1112">
        <v>14.45</v>
      </c>
      <c r="H1112" t="s">
        <v>27</v>
      </c>
      <c r="I1112" t="s">
        <v>845</v>
      </c>
      <c r="J1112" s="8">
        <v>46148</v>
      </c>
      <c r="K1112" t="s">
        <v>908</v>
      </c>
    </row>
    <row r="1113" spans="1:11" x14ac:dyDescent="0.3">
      <c r="A1113" t="s">
        <v>1697</v>
      </c>
      <c r="B1113" t="s">
        <v>49</v>
      </c>
      <c r="C1113" t="s">
        <v>237</v>
      </c>
      <c r="D1113" t="s">
        <v>96</v>
      </c>
      <c r="E1113" t="s">
        <v>37</v>
      </c>
      <c r="F1113">
        <v>1445000</v>
      </c>
      <c r="G1113">
        <v>14.45</v>
      </c>
      <c r="H1113" t="s">
        <v>27</v>
      </c>
      <c r="I1113" t="s">
        <v>845</v>
      </c>
      <c r="J1113" s="8">
        <v>46148</v>
      </c>
      <c r="K1113" t="s">
        <v>874</v>
      </c>
    </row>
    <row r="1114" spans="1:11" x14ac:dyDescent="0.3">
      <c r="A1114" t="s">
        <v>1697</v>
      </c>
      <c r="B1114" t="s">
        <v>49</v>
      </c>
      <c r="C1114" t="s">
        <v>237</v>
      </c>
      <c r="D1114" t="s">
        <v>96</v>
      </c>
      <c r="E1114" t="s">
        <v>37</v>
      </c>
      <c r="F1114">
        <v>1445000</v>
      </c>
      <c r="G1114">
        <v>14.45</v>
      </c>
      <c r="H1114" t="s">
        <v>27</v>
      </c>
      <c r="I1114" t="s">
        <v>845</v>
      </c>
      <c r="J1114" s="8">
        <v>46148</v>
      </c>
      <c r="K1114" t="s">
        <v>54</v>
      </c>
    </row>
    <row r="1115" spans="1:11" x14ac:dyDescent="0.3">
      <c r="A1115" t="s">
        <v>1698</v>
      </c>
      <c r="B1115" t="s">
        <v>13</v>
      </c>
      <c r="C1115" t="s">
        <v>865</v>
      </c>
      <c r="D1115" t="s">
        <v>15</v>
      </c>
      <c r="E1115" t="s">
        <v>37</v>
      </c>
      <c r="F1115">
        <v>1220000</v>
      </c>
      <c r="G1115">
        <v>12.2</v>
      </c>
      <c r="H1115" t="s">
        <v>27</v>
      </c>
      <c r="I1115" t="s">
        <v>28</v>
      </c>
      <c r="J1115" s="8">
        <v>46051</v>
      </c>
      <c r="K1115" t="s">
        <v>46</v>
      </c>
    </row>
    <row r="1116" spans="1:11" x14ac:dyDescent="0.3">
      <c r="A1116" t="s">
        <v>1698</v>
      </c>
      <c r="B1116" t="s">
        <v>13</v>
      </c>
      <c r="C1116" t="s">
        <v>865</v>
      </c>
      <c r="D1116" t="s">
        <v>15</v>
      </c>
      <c r="E1116" t="s">
        <v>37</v>
      </c>
      <c r="F1116">
        <v>1220000</v>
      </c>
      <c r="G1116">
        <v>12.2</v>
      </c>
      <c r="H1116" t="s">
        <v>27</v>
      </c>
      <c r="I1116" t="s">
        <v>28</v>
      </c>
      <c r="J1116" s="8">
        <v>46051</v>
      </c>
      <c r="K1116" t="s">
        <v>878</v>
      </c>
    </row>
    <row r="1117" spans="1:11" x14ac:dyDescent="0.3">
      <c r="A1117" t="s">
        <v>1698</v>
      </c>
      <c r="B1117" t="s">
        <v>13</v>
      </c>
      <c r="C1117" t="s">
        <v>865</v>
      </c>
      <c r="D1117" t="s">
        <v>15</v>
      </c>
      <c r="E1117" t="s">
        <v>37</v>
      </c>
      <c r="F1117">
        <v>1220000</v>
      </c>
      <c r="G1117">
        <v>12.2</v>
      </c>
      <c r="H1117" t="s">
        <v>27</v>
      </c>
      <c r="I1117" t="s">
        <v>28</v>
      </c>
      <c r="J1117" s="8">
        <v>46051</v>
      </c>
      <c r="K1117" t="s">
        <v>39</v>
      </c>
    </row>
    <row r="1118" spans="1:11" x14ac:dyDescent="0.3">
      <c r="A1118" t="s">
        <v>1699</v>
      </c>
      <c r="B1118" t="s">
        <v>960</v>
      </c>
      <c r="C1118" t="s">
        <v>887</v>
      </c>
      <c r="D1118" t="s">
        <v>76</v>
      </c>
      <c r="E1118" t="s">
        <v>37</v>
      </c>
      <c r="F1118">
        <v>1425000</v>
      </c>
      <c r="G1118">
        <v>14.25</v>
      </c>
      <c r="H1118" t="s">
        <v>27</v>
      </c>
      <c r="I1118" t="s">
        <v>845</v>
      </c>
      <c r="J1118" s="8">
        <v>46176</v>
      </c>
      <c r="K1118" t="s">
        <v>45</v>
      </c>
    </row>
    <row r="1119" spans="1:11" x14ac:dyDescent="0.3">
      <c r="A1119" t="s">
        <v>1699</v>
      </c>
      <c r="B1119" t="s">
        <v>960</v>
      </c>
      <c r="C1119" t="s">
        <v>887</v>
      </c>
      <c r="D1119" t="s">
        <v>76</v>
      </c>
      <c r="E1119" t="s">
        <v>37</v>
      </c>
      <c r="F1119">
        <v>1425000</v>
      </c>
      <c r="G1119">
        <v>14.25</v>
      </c>
      <c r="H1119" t="s">
        <v>27</v>
      </c>
      <c r="I1119" t="s">
        <v>845</v>
      </c>
      <c r="J1119" s="8">
        <v>46176</v>
      </c>
      <c r="K1119" t="s">
        <v>21</v>
      </c>
    </row>
    <row r="1120" spans="1:11" x14ac:dyDescent="0.3">
      <c r="A1120" t="s">
        <v>1699</v>
      </c>
      <c r="B1120" t="s">
        <v>960</v>
      </c>
      <c r="C1120" t="s">
        <v>887</v>
      </c>
      <c r="D1120" t="s">
        <v>76</v>
      </c>
      <c r="E1120" t="s">
        <v>37</v>
      </c>
      <c r="F1120">
        <v>1425000</v>
      </c>
      <c r="G1120">
        <v>14.25</v>
      </c>
      <c r="H1120" t="s">
        <v>27</v>
      </c>
      <c r="I1120" t="s">
        <v>845</v>
      </c>
      <c r="J1120" s="8">
        <v>46176</v>
      </c>
      <c r="K1120" t="s">
        <v>54</v>
      </c>
    </row>
    <row r="1121" spans="1:11" x14ac:dyDescent="0.3">
      <c r="A1121" t="s">
        <v>1700</v>
      </c>
      <c r="B1121" t="s">
        <v>49</v>
      </c>
      <c r="C1121" t="s">
        <v>217</v>
      </c>
      <c r="D1121" t="s">
        <v>51</v>
      </c>
      <c r="E1121" t="s">
        <v>16</v>
      </c>
      <c r="F1121">
        <v>920000</v>
      </c>
      <c r="G1121">
        <v>9.1999999999999993</v>
      </c>
      <c r="H1121" t="s">
        <v>17</v>
      </c>
      <c r="I1121" t="s">
        <v>28</v>
      </c>
      <c r="J1121" s="8">
        <v>46209</v>
      </c>
      <c r="K1121" t="s">
        <v>30</v>
      </c>
    </row>
    <row r="1122" spans="1:11" x14ac:dyDescent="0.3">
      <c r="A1122" t="s">
        <v>1700</v>
      </c>
      <c r="B1122" t="s">
        <v>49</v>
      </c>
      <c r="C1122" t="s">
        <v>217</v>
      </c>
      <c r="D1122" t="s">
        <v>51</v>
      </c>
      <c r="E1122" t="s">
        <v>16</v>
      </c>
      <c r="F1122">
        <v>920000</v>
      </c>
      <c r="G1122">
        <v>9.1999999999999993</v>
      </c>
      <c r="H1122" t="s">
        <v>17</v>
      </c>
      <c r="I1122" t="s">
        <v>28</v>
      </c>
      <c r="J1122" s="8">
        <v>46209</v>
      </c>
      <c r="K1122" t="s">
        <v>874</v>
      </c>
    </row>
    <row r="1123" spans="1:11" x14ac:dyDescent="0.3">
      <c r="A1123" t="s">
        <v>1700</v>
      </c>
      <c r="B1123" t="s">
        <v>49</v>
      </c>
      <c r="C1123" t="s">
        <v>217</v>
      </c>
      <c r="D1123" t="s">
        <v>51</v>
      </c>
      <c r="E1123" t="s">
        <v>16</v>
      </c>
      <c r="F1123">
        <v>920000</v>
      </c>
      <c r="G1123">
        <v>9.1999999999999993</v>
      </c>
      <c r="H1123" t="s">
        <v>17</v>
      </c>
      <c r="I1123" t="s">
        <v>28</v>
      </c>
      <c r="J1123" s="8">
        <v>46209</v>
      </c>
      <c r="K1123" t="s">
        <v>20</v>
      </c>
    </row>
    <row r="1124" spans="1:11" x14ac:dyDescent="0.3">
      <c r="A1124" t="s">
        <v>1703</v>
      </c>
      <c r="B1124" t="s">
        <v>996</v>
      </c>
      <c r="C1124" t="s">
        <v>80</v>
      </c>
      <c r="D1124" t="s">
        <v>15</v>
      </c>
      <c r="E1124" t="s">
        <v>77</v>
      </c>
      <c r="F1124">
        <v>4395000</v>
      </c>
      <c r="G1124">
        <v>43.95</v>
      </c>
      <c r="H1124" t="s">
        <v>27</v>
      </c>
      <c r="I1124" t="s">
        <v>845</v>
      </c>
      <c r="J1124" s="8">
        <v>46196</v>
      </c>
      <c r="K1124" t="s">
        <v>46</v>
      </c>
    </row>
    <row r="1125" spans="1:11" x14ac:dyDescent="0.3">
      <c r="A1125" t="s">
        <v>1703</v>
      </c>
      <c r="B1125" t="s">
        <v>996</v>
      </c>
      <c r="C1125" t="s">
        <v>80</v>
      </c>
      <c r="D1125" t="s">
        <v>15</v>
      </c>
      <c r="E1125" t="s">
        <v>77</v>
      </c>
      <c r="F1125">
        <v>4395000</v>
      </c>
      <c r="G1125">
        <v>43.95</v>
      </c>
      <c r="H1125" t="s">
        <v>27</v>
      </c>
      <c r="I1125" t="s">
        <v>845</v>
      </c>
      <c r="J1125" s="8">
        <v>46196</v>
      </c>
      <c r="K1125" t="s">
        <v>874</v>
      </c>
    </row>
    <row r="1126" spans="1:11" x14ac:dyDescent="0.3">
      <c r="A1126" t="s">
        <v>1703</v>
      </c>
      <c r="B1126" t="s">
        <v>996</v>
      </c>
      <c r="C1126" t="s">
        <v>80</v>
      </c>
      <c r="D1126" t="s">
        <v>15</v>
      </c>
      <c r="E1126" t="s">
        <v>77</v>
      </c>
      <c r="F1126">
        <v>4395000</v>
      </c>
      <c r="G1126">
        <v>43.95</v>
      </c>
      <c r="H1126" t="s">
        <v>27</v>
      </c>
      <c r="I1126" t="s">
        <v>845</v>
      </c>
      <c r="J1126" s="8">
        <v>46196</v>
      </c>
      <c r="K1126" t="s">
        <v>846</v>
      </c>
    </row>
    <row r="1127" spans="1:11" x14ac:dyDescent="0.3">
      <c r="A1127" t="s">
        <v>1705</v>
      </c>
      <c r="B1127" t="s">
        <v>13</v>
      </c>
      <c r="C1127" t="s">
        <v>389</v>
      </c>
      <c r="D1127" t="s">
        <v>51</v>
      </c>
      <c r="E1127" t="s">
        <v>52</v>
      </c>
      <c r="F1127">
        <v>670000</v>
      </c>
      <c r="G1127">
        <v>6.7</v>
      </c>
      <c r="H1127" t="s">
        <v>27</v>
      </c>
      <c r="I1127" t="s">
        <v>845</v>
      </c>
      <c r="J1127" s="8">
        <v>46040</v>
      </c>
      <c r="K1127" t="s">
        <v>878</v>
      </c>
    </row>
    <row r="1128" spans="1:11" x14ac:dyDescent="0.3">
      <c r="A1128" t="s">
        <v>1705</v>
      </c>
      <c r="B1128" t="s">
        <v>13</v>
      </c>
      <c r="C1128" t="s">
        <v>389</v>
      </c>
      <c r="D1128" t="s">
        <v>51</v>
      </c>
      <c r="E1128" t="s">
        <v>52</v>
      </c>
      <c r="F1128">
        <v>670000</v>
      </c>
      <c r="G1128">
        <v>6.7</v>
      </c>
      <c r="H1128" t="s">
        <v>27</v>
      </c>
      <c r="I1128" t="s">
        <v>845</v>
      </c>
      <c r="J1128" s="8">
        <v>46040</v>
      </c>
      <c r="K1128" t="s">
        <v>46</v>
      </c>
    </row>
    <row r="1129" spans="1:11" x14ac:dyDescent="0.3">
      <c r="A1129" t="s">
        <v>1705</v>
      </c>
      <c r="B1129" t="s">
        <v>13</v>
      </c>
      <c r="C1129" t="s">
        <v>389</v>
      </c>
      <c r="D1129" t="s">
        <v>51</v>
      </c>
      <c r="E1129" t="s">
        <v>52</v>
      </c>
      <c r="F1129">
        <v>670000</v>
      </c>
      <c r="G1129">
        <v>6.7</v>
      </c>
      <c r="H1129" t="s">
        <v>27</v>
      </c>
      <c r="I1129" t="s">
        <v>845</v>
      </c>
      <c r="J1129" s="8">
        <v>46040</v>
      </c>
      <c r="K1129" t="s">
        <v>874</v>
      </c>
    </row>
    <row r="1130" spans="1:11" x14ac:dyDescent="0.3">
      <c r="A1130" t="s">
        <v>1706</v>
      </c>
      <c r="B1130" t="s">
        <v>864</v>
      </c>
      <c r="C1130" t="s">
        <v>530</v>
      </c>
      <c r="D1130" t="s">
        <v>64</v>
      </c>
      <c r="E1130" t="s">
        <v>37</v>
      </c>
      <c r="F1130">
        <v>1650000</v>
      </c>
      <c r="G1130">
        <v>16.5</v>
      </c>
      <c r="H1130" t="s">
        <v>17</v>
      </c>
      <c r="I1130" t="s">
        <v>28</v>
      </c>
      <c r="J1130" s="8">
        <v>46257</v>
      </c>
      <c r="K1130" t="s">
        <v>937</v>
      </c>
    </row>
    <row r="1131" spans="1:11" x14ac:dyDescent="0.3">
      <c r="A1131" t="s">
        <v>1706</v>
      </c>
      <c r="B1131" t="s">
        <v>864</v>
      </c>
      <c r="C1131" t="s">
        <v>530</v>
      </c>
      <c r="D1131" t="s">
        <v>64</v>
      </c>
      <c r="E1131" t="s">
        <v>37</v>
      </c>
      <c r="F1131">
        <v>1650000</v>
      </c>
      <c r="G1131">
        <v>16.5</v>
      </c>
      <c r="H1131" t="s">
        <v>17</v>
      </c>
      <c r="I1131" t="s">
        <v>28</v>
      </c>
      <c r="J1131" s="8">
        <v>46257</v>
      </c>
      <c r="K1131" t="s">
        <v>908</v>
      </c>
    </row>
    <row r="1132" spans="1:11" x14ac:dyDescent="0.3">
      <c r="A1132" t="s">
        <v>1706</v>
      </c>
      <c r="B1132" t="s">
        <v>864</v>
      </c>
      <c r="C1132" t="s">
        <v>530</v>
      </c>
      <c r="D1132" t="s">
        <v>64</v>
      </c>
      <c r="E1132" t="s">
        <v>37</v>
      </c>
      <c r="F1132">
        <v>1650000</v>
      </c>
      <c r="G1132">
        <v>16.5</v>
      </c>
      <c r="H1132" t="s">
        <v>17</v>
      </c>
      <c r="I1132" t="s">
        <v>28</v>
      </c>
      <c r="J1132" s="8">
        <v>46257</v>
      </c>
      <c r="K1132" t="s">
        <v>39</v>
      </c>
    </row>
    <row r="1133" spans="1:11" x14ac:dyDescent="0.3">
      <c r="A1133" t="s">
        <v>1708</v>
      </c>
      <c r="B1133" t="s">
        <v>24</v>
      </c>
      <c r="C1133" t="s">
        <v>242</v>
      </c>
      <c r="D1133" t="s">
        <v>15</v>
      </c>
      <c r="E1133" t="s">
        <v>37</v>
      </c>
      <c r="F1133">
        <v>1795000</v>
      </c>
      <c r="G1133">
        <v>17.95</v>
      </c>
      <c r="H1133" t="s">
        <v>27</v>
      </c>
      <c r="I1133" t="s">
        <v>845</v>
      </c>
      <c r="J1133" s="8">
        <v>46032</v>
      </c>
      <c r="K1133" t="s">
        <v>54</v>
      </c>
    </row>
    <row r="1134" spans="1:11" x14ac:dyDescent="0.3">
      <c r="A1134" t="s">
        <v>1708</v>
      </c>
      <c r="B1134" t="s">
        <v>24</v>
      </c>
      <c r="C1134" t="s">
        <v>242</v>
      </c>
      <c r="D1134" t="s">
        <v>15</v>
      </c>
      <c r="E1134" t="s">
        <v>37</v>
      </c>
      <c r="F1134">
        <v>1795000</v>
      </c>
      <c r="G1134">
        <v>17.95</v>
      </c>
      <c r="H1134" t="s">
        <v>27</v>
      </c>
      <c r="I1134" t="s">
        <v>845</v>
      </c>
      <c r="J1134" s="8">
        <v>46032</v>
      </c>
      <c r="K1134" t="s">
        <v>39</v>
      </c>
    </row>
    <row r="1135" spans="1:11" x14ac:dyDescent="0.3">
      <c r="A1135" t="s">
        <v>1708</v>
      </c>
      <c r="B1135" t="s">
        <v>24</v>
      </c>
      <c r="C1135" t="s">
        <v>242</v>
      </c>
      <c r="D1135" t="s">
        <v>15</v>
      </c>
      <c r="E1135" t="s">
        <v>37</v>
      </c>
      <c r="F1135">
        <v>1795000</v>
      </c>
      <c r="G1135">
        <v>17.95</v>
      </c>
      <c r="H1135" t="s">
        <v>27</v>
      </c>
      <c r="I1135" t="s">
        <v>845</v>
      </c>
      <c r="J1135" s="8">
        <v>46032</v>
      </c>
      <c r="K1135" t="s">
        <v>45</v>
      </c>
    </row>
    <row r="1136" spans="1:11" x14ac:dyDescent="0.3">
      <c r="A1136" t="s">
        <v>1709</v>
      </c>
      <c r="B1136" t="s">
        <v>49</v>
      </c>
      <c r="C1136" t="s">
        <v>899</v>
      </c>
      <c r="D1136" t="s">
        <v>81</v>
      </c>
      <c r="E1136" t="s">
        <v>16</v>
      </c>
      <c r="F1136">
        <v>805000</v>
      </c>
      <c r="G1136">
        <v>8.0500000000000007</v>
      </c>
      <c r="H1136" t="s">
        <v>27</v>
      </c>
      <c r="I1136" t="s">
        <v>59</v>
      </c>
      <c r="J1136" s="8">
        <v>46230</v>
      </c>
      <c r="K1136" t="s">
        <v>854</v>
      </c>
    </row>
    <row r="1137" spans="1:11" x14ac:dyDescent="0.3">
      <c r="A1137" t="s">
        <v>1709</v>
      </c>
      <c r="B1137" t="s">
        <v>49</v>
      </c>
      <c r="C1137" t="s">
        <v>899</v>
      </c>
      <c r="D1137" t="s">
        <v>81</v>
      </c>
      <c r="E1137" t="s">
        <v>16</v>
      </c>
      <c r="F1137">
        <v>805000</v>
      </c>
      <c r="G1137">
        <v>8.0500000000000007</v>
      </c>
      <c r="H1137" t="s">
        <v>27</v>
      </c>
      <c r="I1137" t="s">
        <v>59</v>
      </c>
      <c r="J1137" s="8">
        <v>46230</v>
      </c>
      <c r="K1137" t="s">
        <v>31</v>
      </c>
    </row>
    <row r="1138" spans="1:11" x14ac:dyDescent="0.3">
      <c r="A1138" t="s">
        <v>1709</v>
      </c>
      <c r="B1138" t="s">
        <v>49</v>
      </c>
      <c r="C1138" t="s">
        <v>899</v>
      </c>
      <c r="D1138" t="s">
        <v>81</v>
      </c>
      <c r="E1138" t="s">
        <v>16</v>
      </c>
      <c r="F1138">
        <v>805000</v>
      </c>
      <c r="G1138">
        <v>8.0500000000000007</v>
      </c>
      <c r="H1138" t="s">
        <v>27</v>
      </c>
      <c r="I1138" t="s">
        <v>59</v>
      </c>
      <c r="J1138" s="8">
        <v>46230</v>
      </c>
      <c r="K1138" t="s">
        <v>878</v>
      </c>
    </row>
    <row r="1139" spans="1:11" x14ac:dyDescent="0.3">
      <c r="A1139" t="s">
        <v>1710</v>
      </c>
      <c r="B1139" t="s">
        <v>24</v>
      </c>
      <c r="C1139" t="s">
        <v>283</v>
      </c>
      <c r="D1139" t="s">
        <v>76</v>
      </c>
      <c r="E1139" t="s">
        <v>52</v>
      </c>
      <c r="F1139">
        <v>310000</v>
      </c>
      <c r="G1139">
        <v>3.1</v>
      </c>
      <c r="H1139" t="s">
        <v>53</v>
      </c>
      <c r="I1139" t="s">
        <v>28</v>
      </c>
      <c r="J1139" s="8">
        <v>46187</v>
      </c>
      <c r="K1139" t="s">
        <v>46</v>
      </c>
    </row>
    <row r="1140" spans="1:11" x14ac:dyDescent="0.3">
      <c r="A1140" t="s">
        <v>1710</v>
      </c>
      <c r="B1140" t="s">
        <v>24</v>
      </c>
      <c r="C1140" t="s">
        <v>283</v>
      </c>
      <c r="D1140" t="s">
        <v>76</v>
      </c>
      <c r="E1140" t="s">
        <v>52</v>
      </c>
      <c r="F1140">
        <v>310000</v>
      </c>
      <c r="G1140">
        <v>3.1</v>
      </c>
      <c r="H1140" t="s">
        <v>53</v>
      </c>
      <c r="I1140" t="s">
        <v>28</v>
      </c>
      <c r="J1140" s="8">
        <v>46187</v>
      </c>
      <c r="K1140" t="s">
        <v>45</v>
      </c>
    </row>
    <row r="1141" spans="1:11" x14ac:dyDescent="0.3">
      <c r="A1141" t="s">
        <v>1710</v>
      </c>
      <c r="B1141" t="s">
        <v>24</v>
      </c>
      <c r="C1141" t="s">
        <v>283</v>
      </c>
      <c r="D1141" t="s">
        <v>76</v>
      </c>
      <c r="E1141" t="s">
        <v>52</v>
      </c>
      <c r="F1141">
        <v>310000</v>
      </c>
      <c r="G1141">
        <v>3.1</v>
      </c>
      <c r="H1141" t="s">
        <v>53</v>
      </c>
      <c r="I1141" t="s">
        <v>28</v>
      </c>
      <c r="J1141" s="8">
        <v>46187</v>
      </c>
      <c r="K1141" t="s">
        <v>20</v>
      </c>
    </row>
    <row r="1142" spans="1:11" x14ac:dyDescent="0.3">
      <c r="A1142" t="s">
        <v>1712</v>
      </c>
      <c r="B1142" t="s">
        <v>49</v>
      </c>
      <c r="C1142" t="s">
        <v>899</v>
      </c>
      <c r="D1142" t="s">
        <v>64</v>
      </c>
      <c r="E1142" t="s">
        <v>16</v>
      </c>
      <c r="F1142">
        <v>725000</v>
      </c>
      <c r="G1142">
        <v>7.25</v>
      </c>
      <c r="H1142" t="s">
        <v>27</v>
      </c>
      <c r="I1142" t="s">
        <v>59</v>
      </c>
      <c r="J1142" s="8">
        <v>46063</v>
      </c>
      <c r="K1142" t="s">
        <v>846</v>
      </c>
    </row>
    <row r="1143" spans="1:11" x14ac:dyDescent="0.3">
      <c r="A1143" t="s">
        <v>1712</v>
      </c>
      <c r="B1143" t="s">
        <v>49</v>
      </c>
      <c r="C1143" t="s">
        <v>899</v>
      </c>
      <c r="D1143" t="s">
        <v>64</v>
      </c>
      <c r="E1143" t="s">
        <v>16</v>
      </c>
      <c r="F1143">
        <v>725000</v>
      </c>
      <c r="G1143">
        <v>7.25</v>
      </c>
      <c r="H1143" t="s">
        <v>27</v>
      </c>
      <c r="I1143" t="s">
        <v>59</v>
      </c>
      <c r="J1143" s="8">
        <v>46063</v>
      </c>
      <c r="K1143" t="s">
        <v>21</v>
      </c>
    </row>
    <row r="1144" spans="1:11" x14ac:dyDescent="0.3">
      <c r="A1144" t="s">
        <v>1712</v>
      </c>
      <c r="B1144" t="s">
        <v>49</v>
      </c>
      <c r="C1144" t="s">
        <v>899</v>
      </c>
      <c r="D1144" t="s">
        <v>64</v>
      </c>
      <c r="E1144" t="s">
        <v>16</v>
      </c>
      <c r="F1144">
        <v>725000</v>
      </c>
      <c r="G1144">
        <v>7.25</v>
      </c>
      <c r="H1144" t="s">
        <v>27</v>
      </c>
      <c r="I1144" t="s">
        <v>59</v>
      </c>
      <c r="J1144" s="8">
        <v>46063</v>
      </c>
      <c r="K1144" t="s">
        <v>908</v>
      </c>
    </row>
    <row r="1145" spans="1:11" x14ac:dyDescent="0.3">
      <c r="A1145" t="s">
        <v>1714</v>
      </c>
      <c r="B1145" t="s">
        <v>996</v>
      </c>
      <c r="C1145" t="s">
        <v>80</v>
      </c>
      <c r="D1145" t="s">
        <v>15</v>
      </c>
      <c r="E1145" t="s">
        <v>37</v>
      </c>
      <c r="F1145">
        <v>2000000</v>
      </c>
      <c r="G1145">
        <v>20</v>
      </c>
      <c r="H1145" t="s">
        <v>17</v>
      </c>
      <c r="I1145" t="s">
        <v>59</v>
      </c>
      <c r="J1145" s="8">
        <v>46125</v>
      </c>
      <c r="K1145" t="s">
        <v>878</v>
      </c>
    </row>
    <row r="1146" spans="1:11" x14ac:dyDescent="0.3">
      <c r="A1146" t="s">
        <v>1714</v>
      </c>
      <c r="B1146" t="s">
        <v>996</v>
      </c>
      <c r="C1146" t="s">
        <v>80</v>
      </c>
      <c r="D1146" t="s">
        <v>15</v>
      </c>
      <c r="E1146" t="s">
        <v>37</v>
      </c>
      <c r="F1146">
        <v>2000000</v>
      </c>
      <c r="G1146">
        <v>20</v>
      </c>
      <c r="H1146" t="s">
        <v>17</v>
      </c>
      <c r="I1146" t="s">
        <v>59</v>
      </c>
      <c r="J1146" s="8">
        <v>46125</v>
      </c>
      <c r="K1146" t="s">
        <v>854</v>
      </c>
    </row>
    <row r="1147" spans="1:11" x14ac:dyDescent="0.3">
      <c r="A1147" t="s">
        <v>1714</v>
      </c>
      <c r="B1147" t="s">
        <v>996</v>
      </c>
      <c r="C1147" t="s">
        <v>80</v>
      </c>
      <c r="D1147" t="s">
        <v>15</v>
      </c>
      <c r="E1147" t="s">
        <v>37</v>
      </c>
      <c r="F1147">
        <v>2000000</v>
      </c>
      <c r="G1147">
        <v>20</v>
      </c>
      <c r="H1147" t="s">
        <v>17</v>
      </c>
      <c r="I1147" t="s">
        <v>59</v>
      </c>
      <c r="J1147" s="8">
        <v>46125</v>
      </c>
      <c r="K1147" t="s">
        <v>908</v>
      </c>
    </row>
    <row r="1148" spans="1:11" x14ac:dyDescent="0.3">
      <c r="A1148" t="s">
        <v>1716</v>
      </c>
      <c r="B1148" t="s">
        <v>960</v>
      </c>
      <c r="C1148" t="s">
        <v>123</v>
      </c>
      <c r="D1148" t="s">
        <v>81</v>
      </c>
      <c r="E1148" t="s">
        <v>37</v>
      </c>
      <c r="F1148">
        <v>1925000</v>
      </c>
      <c r="G1148">
        <v>19.25</v>
      </c>
      <c r="H1148" t="s">
        <v>27</v>
      </c>
      <c r="I1148" t="s">
        <v>28</v>
      </c>
      <c r="J1148" s="8">
        <v>46063</v>
      </c>
      <c r="K1148" t="s">
        <v>39</v>
      </c>
    </row>
    <row r="1149" spans="1:11" x14ac:dyDescent="0.3">
      <c r="A1149" t="s">
        <v>1716</v>
      </c>
      <c r="B1149" t="s">
        <v>960</v>
      </c>
      <c r="C1149" t="s">
        <v>123</v>
      </c>
      <c r="D1149" t="s">
        <v>81</v>
      </c>
      <c r="E1149" t="s">
        <v>37</v>
      </c>
      <c r="F1149">
        <v>1925000</v>
      </c>
      <c r="G1149">
        <v>19.25</v>
      </c>
      <c r="H1149" t="s">
        <v>27</v>
      </c>
      <c r="I1149" t="s">
        <v>28</v>
      </c>
      <c r="J1149" s="8">
        <v>46063</v>
      </c>
      <c r="K1149" t="s">
        <v>846</v>
      </c>
    </row>
    <row r="1150" spans="1:11" x14ac:dyDescent="0.3">
      <c r="A1150" t="s">
        <v>1716</v>
      </c>
      <c r="B1150" t="s">
        <v>960</v>
      </c>
      <c r="C1150" t="s">
        <v>123</v>
      </c>
      <c r="D1150" t="s">
        <v>81</v>
      </c>
      <c r="E1150" t="s">
        <v>37</v>
      </c>
      <c r="F1150">
        <v>1925000</v>
      </c>
      <c r="G1150">
        <v>19.25</v>
      </c>
      <c r="H1150" t="s">
        <v>27</v>
      </c>
      <c r="I1150" t="s">
        <v>28</v>
      </c>
      <c r="J1150" s="8">
        <v>46063</v>
      </c>
      <c r="K1150" t="s">
        <v>29</v>
      </c>
    </row>
    <row r="1151" spans="1:11" x14ac:dyDescent="0.3">
      <c r="A1151" t="s">
        <v>1717</v>
      </c>
      <c r="B1151" t="s">
        <v>75</v>
      </c>
      <c r="C1151" t="s">
        <v>999</v>
      </c>
      <c r="D1151" t="s">
        <v>76</v>
      </c>
      <c r="E1151" t="s">
        <v>16</v>
      </c>
      <c r="F1151">
        <v>870000</v>
      </c>
      <c r="G1151">
        <v>8.6999999999999993</v>
      </c>
      <c r="H1151" t="s">
        <v>27</v>
      </c>
      <c r="I1151" t="s">
        <v>28</v>
      </c>
      <c r="J1151" s="8">
        <v>46159</v>
      </c>
      <c r="K1151" t="s">
        <v>854</v>
      </c>
    </row>
    <row r="1152" spans="1:11" x14ac:dyDescent="0.3">
      <c r="A1152" t="s">
        <v>1717</v>
      </c>
      <c r="B1152" t="s">
        <v>75</v>
      </c>
      <c r="C1152" t="s">
        <v>999</v>
      </c>
      <c r="D1152" t="s">
        <v>76</v>
      </c>
      <c r="E1152" t="s">
        <v>16</v>
      </c>
      <c r="F1152">
        <v>870000</v>
      </c>
      <c r="G1152">
        <v>8.6999999999999993</v>
      </c>
      <c r="H1152" t="s">
        <v>27</v>
      </c>
      <c r="I1152" t="s">
        <v>28</v>
      </c>
      <c r="J1152" s="8">
        <v>46159</v>
      </c>
      <c r="K1152" t="s">
        <v>21</v>
      </c>
    </row>
    <row r="1153" spans="1:11" x14ac:dyDescent="0.3">
      <c r="A1153" t="s">
        <v>1717</v>
      </c>
      <c r="B1153" t="s">
        <v>75</v>
      </c>
      <c r="C1153" t="s">
        <v>999</v>
      </c>
      <c r="D1153" t="s">
        <v>76</v>
      </c>
      <c r="E1153" t="s">
        <v>16</v>
      </c>
      <c r="F1153">
        <v>870000</v>
      </c>
      <c r="G1153">
        <v>8.6999999999999993</v>
      </c>
      <c r="H1153" t="s">
        <v>27</v>
      </c>
      <c r="I1153" t="s">
        <v>28</v>
      </c>
      <c r="J1153" s="8">
        <v>46159</v>
      </c>
      <c r="K1153" t="s">
        <v>874</v>
      </c>
    </row>
    <row r="1154" spans="1:11" x14ac:dyDescent="0.3">
      <c r="A1154" t="s">
        <v>1719</v>
      </c>
      <c r="B1154" t="s">
        <v>42</v>
      </c>
      <c r="C1154" t="s">
        <v>689</v>
      </c>
      <c r="D1154" t="s">
        <v>44</v>
      </c>
      <c r="E1154" t="s">
        <v>116</v>
      </c>
      <c r="F1154">
        <v>815000</v>
      </c>
      <c r="G1154">
        <v>8.15</v>
      </c>
      <c r="H1154" t="s">
        <v>27</v>
      </c>
      <c r="I1154" t="s">
        <v>28</v>
      </c>
      <c r="J1154" s="8">
        <v>46260</v>
      </c>
      <c r="K1154" t="s">
        <v>46</v>
      </c>
    </row>
    <row r="1155" spans="1:11" x14ac:dyDescent="0.3">
      <c r="A1155" t="s">
        <v>1719</v>
      </c>
      <c r="B1155" t="s">
        <v>42</v>
      </c>
      <c r="C1155" t="s">
        <v>689</v>
      </c>
      <c r="D1155" t="s">
        <v>44</v>
      </c>
      <c r="E1155" t="s">
        <v>116</v>
      </c>
      <c r="F1155">
        <v>815000</v>
      </c>
      <c r="G1155">
        <v>8.15</v>
      </c>
      <c r="H1155" t="s">
        <v>27</v>
      </c>
      <c r="I1155" t="s">
        <v>28</v>
      </c>
      <c r="J1155" s="8">
        <v>46260</v>
      </c>
      <c r="K1155" t="s">
        <v>29</v>
      </c>
    </row>
    <row r="1156" spans="1:11" x14ac:dyDescent="0.3">
      <c r="A1156" t="s">
        <v>1719</v>
      </c>
      <c r="B1156" t="s">
        <v>42</v>
      </c>
      <c r="C1156" t="s">
        <v>689</v>
      </c>
      <c r="D1156" t="s">
        <v>44</v>
      </c>
      <c r="E1156" t="s">
        <v>116</v>
      </c>
      <c r="F1156">
        <v>815000</v>
      </c>
      <c r="G1156">
        <v>8.15</v>
      </c>
      <c r="H1156" t="s">
        <v>27</v>
      </c>
      <c r="I1156" t="s">
        <v>28</v>
      </c>
      <c r="J1156" s="8">
        <v>46260</v>
      </c>
      <c r="K1156" t="s">
        <v>20</v>
      </c>
    </row>
    <row r="1157" spans="1:11" x14ac:dyDescent="0.3">
      <c r="A1157" t="s">
        <v>1721</v>
      </c>
      <c r="B1157" t="s">
        <v>852</v>
      </c>
      <c r="C1157" t="s">
        <v>172</v>
      </c>
      <c r="D1157" t="s">
        <v>51</v>
      </c>
      <c r="E1157" t="s">
        <v>52</v>
      </c>
      <c r="F1157">
        <v>350000</v>
      </c>
      <c r="G1157">
        <v>3.5</v>
      </c>
      <c r="H1157" t="s">
        <v>17</v>
      </c>
      <c r="I1157" t="s">
        <v>845</v>
      </c>
      <c r="J1157" s="8">
        <v>46099</v>
      </c>
      <c r="K1157" t="s">
        <v>21</v>
      </c>
    </row>
    <row r="1158" spans="1:11" x14ac:dyDescent="0.3">
      <c r="A1158" t="s">
        <v>1721</v>
      </c>
      <c r="B1158" t="s">
        <v>852</v>
      </c>
      <c r="C1158" t="s">
        <v>172</v>
      </c>
      <c r="D1158" t="s">
        <v>51</v>
      </c>
      <c r="E1158" t="s">
        <v>52</v>
      </c>
      <c r="F1158">
        <v>350000</v>
      </c>
      <c r="G1158">
        <v>3.5</v>
      </c>
      <c r="H1158" t="s">
        <v>17</v>
      </c>
      <c r="I1158" t="s">
        <v>845</v>
      </c>
      <c r="J1158" s="8">
        <v>46099</v>
      </c>
      <c r="K1158" t="s">
        <v>937</v>
      </c>
    </row>
    <row r="1159" spans="1:11" x14ac:dyDescent="0.3">
      <c r="A1159" t="s">
        <v>1721</v>
      </c>
      <c r="B1159" t="s">
        <v>852</v>
      </c>
      <c r="C1159" t="s">
        <v>172</v>
      </c>
      <c r="D1159" t="s">
        <v>51</v>
      </c>
      <c r="E1159" t="s">
        <v>52</v>
      </c>
      <c r="F1159">
        <v>350000</v>
      </c>
      <c r="G1159">
        <v>3.5</v>
      </c>
      <c r="H1159" t="s">
        <v>17</v>
      </c>
      <c r="I1159" t="s">
        <v>845</v>
      </c>
      <c r="J1159" s="8">
        <v>46099</v>
      </c>
      <c r="K1159" t="s">
        <v>20</v>
      </c>
    </row>
    <row r="1160" spans="1:11" x14ac:dyDescent="0.3">
      <c r="A1160" t="s">
        <v>1723</v>
      </c>
      <c r="B1160" t="s">
        <v>13</v>
      </c>
      <c r="C1160" t="s">
        <v>172</v>
      </c>
      <c r="D1160" t="s">
        <v>76</v>
      </c>
      <c r="E1160" t="s">
        <v>52</v>
      </c>
      <c r="F1160">
        <v>555000</v>
      </c>
      <c r="G1160">
        <v>5.55</v>
      </c>
      <c r="H1160" t="s">
        <v>27</v>
      </c>
      <c r="I1160" t="s">
        <v>28</v>
      </c>
      <c r="J1160" s="8">
        <v>46230</v>
      </c>
      <c r="K1160" t="s">
        <v>878</v>
      </c>
    </row>
    <row r="1161" spans="1:11" x14ac:dyDescent="0.3">
      <c r="A1161" t="s">
        <v>1723</v>
      </c>
      <c r="B1161" t="s">
        <v>13</v>
      </c>
      <c r="C1161" t="s">
        <v>172</v>
      </c>
      <c r="D1161" t="s">
        <v>76</v>
      </c>
      <c r="E1161" t="s">
        <v>52</v>
      </c>
      <c r="F1161">
        <v>555000</v>
      </c>
      <c r="G1161">
        <v>5.55</v>
      </c>
      <c r="H1161" t="s">
        <v>27</v>
      </c>
      <c r="I1161" t="s">
        <v>28</v>
      </c>
      <c r="J1161" s="8">
        <v>46230</v>
      </c>
      <c r="K1161" t="s">
        <v>31</v>
      </c>
    </row>
    <row r="1162" spans="1:11" x14ac:dyDescent="0.3">
      <c r="A1162" t="s">
        <v>1723</v>
      </c>
      <c r="B1162" t="s">
        <v>13</v>
      </c>
      <c r="C1162" t="s">
        <v>172</v>
      </c>
      <c r="D1162" t="s">
        <v>76</v>
      </c>
      <c r="E1162" t="s">
        <v>52</v>
      </c>
      <c r="F1162">
        <v>555000</v>
      </c>
      <c r="G1162">
        <v>5.55</v>
      </c>
      <c r="H1162" t="s">
        <v>27</v>
      </c>
      <c r="I1162" t="s">
        <v>28</v>
      </c>
      <c r="J1162" s="8">
        <v>46230</v>
      </c>
      <c r="K1162" t="s">
        <v>54</v>
      </c>
    </row>
    <row r="1163" spans="1:11" x14ac:dyDescent="0.3">
      <c r="A1163" t="s">
        <v>1725</v>
      </c>
      <c r="B1163" t="s">
        <v>62</v>
      </c>
      <c r="C1163" t="s">
        <v>305</v>
      </c>
      <c r="D1163" t="s">
        <v>76</v>
      </c>
      <c r="E1163" t="s">
        <v>52</v>
      </c>
      <c r="F1163">
        <v>605000</v>
      </c>
      <c r="G1163">
        <v>6.05</v>
      </c>
      <c r="H1163" t="s">
        <v>27</v>
      </c>
      <c r="I1163" t="s">
        <v>28</v>
      </c>
      <c r="J1163" s="8">
        <v>46023</v>
      </c>
      <c r="K1163" t="s">
        <v>46</v>
      </c>
    </row>
    <row r="1164" spans="1:11" x14ac:dyDescent="0.3">
      <c r="A1164" t="s">
        <v>1725</v>
      </c>
      <c r="B1164" t="s">
        <v>62</v>
      </c>
      <c r="C1164" t="s">
        <v>305</v>
      </c>
      <c r="D1164" t="s">
        <v>76</v>
      </c>
      <c r="E1164" t="s">
        <v>52</v>
      </c>
      <c r="F1164">
        <v>605000</v>
      </c>
      <c r="G1164">
        <v>6.05</v>
      </c>
      <c r="H1164" t="s">
        <v>27</v>
      </c>
      <c r="I1164" t="s">
        <v>28</v>
      </c>
      <c r="J1164" s="8">
        <v>46023</v>
      </c>
      <c r="K1164" t="s">
        <v>39</v>
      </c>
    </row>
    <row r="1165" spans="1:11" x14ac:dyDescent="0.3">
      <c r="A1165" t="s">
        <v>1725</v>
      </c>
      <c r="B1165" t="s">
        <v>62</v>
      </c>
      <c r="C1165" t="s">
        <v>305</v>
      </c>
      <c r="D1165" t="s">
        <v>76</v>
      </c>
      <c r="E1165" t="s">
        <v>52</v>
      </c>
      <c r="F1165">
        <v>605000</v>
      </c>
      <c r="G1165">
        <v>6.05</v>
      </c>
      <c r="H1165" t="s">
        <v>27</v>
      </c>
      <c r="I1165" t="s">
        <v>28</v>
      </c>
      <c r="J1165" s="8">
        <v>46023</v>
      </c>
      <c r="K1165" t="s">
        <v>874</v>
      </c>
    </row>
    <row r="1166" spans="1:11" x14ac:dyDescent="0.3">
      <c r="A1166" t="s">
        <v>1726</v>
      </c>
      <c r="B1166" t="s">
        <v>24</v>
      </c>
      <c r="C1166" t="s">
        <v>1278</v>
      </c>
      <c r="D1166" t="s">
        <v>96</v>
      </c>
      <c r="E1166" t="s">
        <v>116</v>
      </c>
      <c r="F1166">
        <v>1555000</v>
      </c>
      <c r="G1166">
        <v>15.55</v>
      </c>
      <c r="H1166" t="s">
        <v>27</v>
      </c>
      <c r="I1166" t="s">
        <v>59</v>
      </c>
      <c r="J1166" s="8">
        <v>46049</v>
      </c>
      <c r="K1166" t="s">
        <v>45</v>
      </c>
    </row>
    <row r="1167" spans="1:11" x14ac:dyDescent="0.3">
      <c r="A1167" t="s">
        <v>1726</v>
      </c>
      <c r="B1167" t="s">
        <v>24</v>
      </c>
      <c r="C1167" t="s">
        <v>1278</v>
      </c>
      <c r="D1167" t="s">
        <v>96</v>
      </c>
      <c r="E1167" t="s">
        <v>116</v>
      </c>
      <c r="F1167">
        <v>1555000</v>
      </c>
      <c r="G1167">
        <v>15.55</v>
      </c>
      <c r="H1167" t="s">
        <v>27</v>
      </c>
      <c r="I1167" t="s">
        <v>59</v>
      </c>
      <c r="J1167" s="8">
        <v>46049</v>
      </c>
      <c r="K1167" t="s">
        <v>908</v>
      </c>
    </row>
    <row r="1168" spans="1:11" x14ac:dyDescent="0.3">
      <c r="A1168" t="s">
        <v>1726</v>
      </c>
      <c r="B1168" t="s">
        <v>24</v>
      </c>
      <c r="C1168" t="s">
        <v>1278</v>
      </c>
      <c r="D1168" t="s">
        <v>96</v>
      </c>
      <c r="E1168" t="s">
        <v>116</v>
      </c>
      <c r="F1168">
        <v>1555000</v>
      </c>
      <c r="G1168">
        <v>15.55</v>
      </c>
      <c r="H1168" t="s">
        <v>27</v>
      </c>
      <c r="I1168" t="s">
        <v>59</v>
      </c>
      <c r="J1168" s="8">
        <v>46049</v>
      </c>
      <c r="K1168" t="s">
        <v>46</v>
      </c>
    </row>
    <row r="1169" spans="1:11" x14ac:dyDescent="0.3">
      <c r="A1169" t="s">
        <v>1728</v>
      </c>
      <c r="B1169" t="s">
        <v>13</v>
      </c>
      <c r="C1169" t="s">
        <v>90</v>
      </c>
      <c r="D1169" t="s">
        <v>36</v>
      </c>
      <c r="E1169" t="s">
        <v>116</v>
      </c>
      <c r="F1169">
        <v>1730000</v>
      </c>
      <c r="G1169">
        <v>17.3</v>
      </c>
      <c r="H1169" t="s">
        <v>27</v>
      </c>
      <c r="I1169" t="s">
        <v>28</v>
      </c>
      <c r="J1169" s="8">
        <v>46159</v>
      </c>
      <c r="K1169" t="s">
        <v>54</v>
      </c>
    </row>
    <row r="1170" spans="1:11" x14ac:dyDescent="0.3">
      <c r="A1170" t="s">
        <v>1728</v>
      </c>
      <c r="B1170" t="s">
        <v>13</v>
      </c>
      <c r="C1170" t="s">
        <v>90</v>
      </c>
      <c r="D1170" t="s">
        <v>36</v>
      </c>
      <c r="E1170" t="s">
        <v>116</v>
      </c>
      <c r="F1170">
        <v>1730000</v>
      </c>
      <c r="G1170">
        <v>17.3</v>
      </c>
      <c r="H1170" t="s">
        <v>27</v>
      </c>
      <c r="I1170" t="s">
        <v>28</v>
      </c>
      <c r="J1170" s="8">
        <v>46159</v>
      </c>
      <c r="K1170" t="s">
        <v>45</v>
      </c>
    </row>
    <row r="1171" spans="1:11" x14ac:dyDescent="0.3">
      <c r="A1171" t="s">
        <v>1728</v>
      </c>
      <c r="B1171" t="s">
        <v>13</v>
      </c>
      <c r="C1171" t="s">
        <v>90</v>
      </c>
      <c r="D1171" t="s">
        <v>36</v>
      </c>
      <c r="E1171" t="s">
        <v>116</v>
      </c>
      <c r="F1171">
        <v>1730000</v>
      </c>
      <c r="G1171">
        <v>17.3</v>
      </c>
      <c r="H1171" t="s">
        <v>27</v>
      </c>
      <c r="I1171" t="s">
        <v>28</v>
      </c>
      <c r="J1171" s="8">
        <v>46159</v>
      </c>
      <c r="K1171" t="s">
        <v>874</v>
      </c>
    </row>
    <row r="1172" spans="1:11" x14ac:dyDescent="0.3">
      <c r="A1172" t="s">
        <v>1730</v>
      </c>
      <c r="B1172" t="s">
        <v>75</v>
      </c>
      <c r="C1172" t="s">
        <v>400</v>
      </c>
      <c r="D1172" t="s">
        <v>51</v>
      </c>
      <c r="E1172" t="s">
        <v>77</v>
      </c>
      <c r="F1172">
        <v>3645000</v>
      </c>
      <c r="G1172">
        <v>36.450000000000003</v>
      </c>
      <c r="H1172" t="s">
        <v>27</v>
      </c>
      <c r="I1172" t="s">
        <v>28</v>
      </c>
      <c r="J1172" s="8">
        <v>46153</v>
      </c>
      <c r="K1172" t="s">
        <v>20</v>
      </c>
    </row>
    <row r="1173" spans="1:11" x14ac:dyDescent="0.3">
      <c r="A1173" t="s">
        <v>1730</v>
      </c>
      <c r="B1173" t="s">
        <v>75</v>
      </c>
      <c r="C1173" t="s">
        <v>400</v>
      </c>
      <c r="D1173" t="s">
        <v>51</v>
      </c>
      <c r="E1173" t="s">
        <v>77</v>
      </c>
      <c r="F1173">
        <v>3645000</v>
      </c>
      <c r="G1173">
        <v>36.450000000000003</v>
      </c>
      <c r="H1173" t="s">
        <v>27</v>
      </c>
      <c r="I1173" t="s">
        <v>28</v>
      </c>
      <c r="J1173" s="8">
        <v>46153</v>
      </c>
      <c r="K1173" t="s">
        <v>45</v>
      </c>
    </row>
    <row r="1174" spans="1:11" x14ac:dyDescent="0.3">
      <c r="A1174" t="s">
        <v>1730</v>
      </c>
      <c r="B1174" t="s">
        <v>75</v>
      </c>
      <c r="C1174" t="s">
        <v>400</v>
      </c>
      <c r="D1174" t="s">
        <v>51</v>
      </c>
      <c r="E1174" t="s">
        <v>77</v>
      </c>
      <c r="F1174">
        <v>3645000</v>
      </c>
      <c r="G1174">
        <v>36.450000000000003</v>
      </c>
      <c r="H1174" t="s">
        <v>27</v>
      </c>
      <c r="I1174" t="s">
        <v>28</v>
      </c>
      <c r="J1174" s="8">
        <v>46153</v>
      </c>
      <c r="K1174" t="s">
        <v>31</v>
      </c>
    </row>
    <row r="1175" spans="1:11" x14ac:dyDescent="0.3">
      <c r="A1175" t="s">
        <v>1733</v>
      </c>
      <c r="B1175" t="s">
        <v>49</v>
      </c>
      <c r="C1175" t="s">
        <v>887</v>
      </c>
      <c r="D1175" t="s">
        <v>44</v>
      </c>
      <c r="E1175" t="s">
        <v>116</v>
      </c>
      <c r="F1175">
        <v>1325000</v>
      </c>
      <c r="G1175">
        <v>13.25</v>
      </c>
      <c r="H1175" t="s">
        <v>27</v>
      </c>
      <c r="I1175" t="s">
        <v>845</v>
      </c>
      <c r="J1175" s="8">
        <v>46242</v>
      </c>
      <c r="K1175" t="s">
        <v>45</v>
      </c>
    </row>
    <row r="1176" spans="1:11" x14ac:dyDescent="0.3">
      <c r="A1176" t="s">
        <v>1733</v>
      </c>
      <c r="B1176" t="s">
        <v>49</v>
      </c>
      <c r="C1176" t="s">
        <v>887</v>
      </c>
      <c r="D1176" t="s">
        <v>44</v>
      </c>
      <c r="E1176" t="s">
        <v>116</v>
      </c>
      <c r="F1176">
        <v>1325000</v>
      </c>
      <c r="G1176">
        <v>13.25</v>
      </c>
      <c r="H1176" t="s">
        <v>27</v>
      </c>
      <c r="I1176" t="s">
        <v>845</v>
      </c>
      <c r="J1176" s="8">
        <v>46242</v>
      </c>
      <c r="K1176" t="s">
        <v>21</v>
      </c>
    </row>
    <row r="1177" spans="1:11" x14ac:dyDescent="0.3">
      <c r="A1177" t="s">
        <v>1733</v>
      </c>
      <c r="B1177" t="s">
        <v>49</v>
      </c>
      <c r="C1177" t="s">
        <v>887</v>
      </c>
      <c r="D1177" t="s">
        <v>44</v>
      </c>
      <c r="E1177" t="s">
        <v>116</v>
      </c>
      <c r="F1177">
        <v>1325000</v>
      </c>
      <c r="G1177">
        <v>13.25</v>
      </c>
      <c r="H1177" t="s">
        <v>27</v>
      </c>
      <c r="I1177" t="s">
        <v>845</v>
      </c>
      <c r="J1177" s="8">
        <v>46242</v>
      </c>
      <c r="K1177" t="s">
        <v>54</v>
      </c>
    </row>
    <row r="1178" spans="1:11" x14ac:dyDescent="0.3">
      <c r="A1178" t="s">
        <v>1736</v>
      </c>
      <c r="B1178" t="s">
        <v>42</v>
      </c>
      <c r="C1178" t="s">
        <v>63</v>
      </c>
      <c r="D1178" t="s">
        <v>51</v>
      </c>
      <c r="E1178" t="s">
        <v>37</v>
      </c>
      <c r="F1178">
        <v>2105000</v>
      </c>
      <c r="G1178">
        <v>21.05</v>
      </c>
      <c r="H1178" t="s">
        <v>27</v>
      </c>
      <c r="I1178" t="s">
        <v>845</v>
      </c>
      <c r="J1178" s="8">
        <v>46156</v>
      </c>
      <c r="K1178" t="s">
        <v>31</v>
      </c>
    </row>
    <row r="1179" spans="1:11" x14ac:dyDescent="0.3">
      <c r="A1179" t="s">
        <v>1736</v>
      </c>
      <c r="B1179" t="s">
        <v>42</v>
      </c>
      <c r="C1179" t="s">
        <v>63</v>
      </c>
      <c r="D1179" t="s">
        <v>51</v>
      </c>
      <c r="E1179" t="s">
        <v>37</v>
      </c>
      <c r="F1179">
        <v>2105000</v>
      </c>
      <c r="G1179">
        <v>21.05</v>
      </c>
      <c r="H1179" t="s">
        <v>27</v>
      </c>
      <c r="I1179" t="s">
        <v>845</v>
      </c>
      <c r="J1179" s="8">
        <v>46156</v>
      </c>
      <c r="K1179" t="s">
        <v>54</v>
      </c>
    </row>
    <row r="1180" spans="1:11" x14ac:dyDescent="0.3">
      <c r="A1180" t="s">
        <v>1736</v>
      </c>
      <c r="B1180" t="s">
        <v>42</v>
      </c>
      <c r="C1180" t="s">
        <v>63</v>
      </c>
      <c r="D1180" t="s">
        <v>51</v>
      </c>
      <c r="E1180" t="s">
        <v>37</v>
      </c>
      <c r="F1180">
        <v>2105000</v>
      </c>
      <c r="G1180">
        <v>21.05</v>
      </c>
      <c r="H1180" t="s">
        <v>27</v>
      </c>
      <c r="I1180" t="s">
        <v>845</v>
      </c>
      <c r="J1180" s="8">
        <v>46156</v>
      </c>
      <c r="K1180" t="s">
        <v>29</v>
      </c>
    </row>
    <row r="1181" spans="1:11" x14ac:dyDescent="0.3">
      <c r="A1181" t="s">
        <v>1738</v>
      </c>
      <c r="B1181" t="s">
        <v>42</v>
      </c>
      <c r="C1181" t="s">
        <v>357</v>
      </c>
      <c r="D1181" t="s">
        <v>26</v>
      </c>
      <c r="E1181" t="s">
        <v>52</v>
      </c>
      <c r="F1181">
        <v>545000</v>
      </c>
      <c r="G1181">
        <v>5.45</v>
      </c>
      <c r="H1181" t="s">
        <v>27</v>
      </c>
      <c r="I1181" t="s">
        <v>28</v>
      </c>
      <c r="J1181" s="8">
        <v>46188</v>
      </c>
      <c r="K1181" t="s">
        <v>46</v>
      </c>
    </row>
    <row r="1182" spans="1:11" x14ac:dyDescent="0.3">
      <c r="A1182" t="s">
        <v>1738</v>
      </c>
      <c r="B1182" t="s">
        <v>42</v>
      </c>
      <c r="C1182" t="s">
        <v>357</v>
      </c>
      <c r="D1182" t="s">
        <v>26</v>
      </c>
      <c r="E1182" t="s">
        <v>52</v>
      </c>
      <c r="F1182">
        <v>545000</v>
      </c>
      <c r="G1182">
        <v>5.45</v>
      </c>
      <c r="H1182" t="s">
        <v>27</v>
      </c>
      <c r="I1182" t="s">
        <v>28</v>
      </c>
      <c r="J1182" s="8">
        <v>46188</v>
      </c>
      <c r="K1182" t="s">
        <v>30</v>
      </c>
    </row>
    <row r="1183" spans="1:11" x14ac:dyDescent="0.3">
      <c r="A1183" t="s">
        <v>1738</v>
      </c>
      <c r="B1183" t="s">
        <v>42</v>
      </c>
      <c r="C1183" t="s">
        <v>357</v>
      </c>
      <c r="D1183" t="s">
        <v>26</v>
      </c>
      <c r="E1183" t="s">
        <v>52</v>
      </c>
      <c r="F1183">
        <v>545000</v>
      </c>
      <c r="G1183">
        <v>5.45</v>
      </c>
      <c r="H1183" t="s">
        <v>27</v>
      </c>
      <c r="I1183" t="s">
        <v>28</v>
      </c>
      <c r="J1183" s="8">
        <v>46188</v>
      </c>
      <c r="K1183" t="s">
        <v>20</v>
      </c>
    </row>
    <row r="1184" spans="1:11" x14ac:dyDescent="0.3">
      <c r="A1184" t="s">
        <v>1740</v>
      </c>
      <c r="B1184" t="s">
        <v>13</v>
      </c>
      <c r="C1184" t="s">
        <v>25</v>
      </c>
      <c r="D1184" t="s">
        <v>26</v>
      </c>
      <c r="E1184" t="s">
        <v>52</v>
      </c>
      <c r="F1184">
        <v>240000</v>
      </c>
      <c r="G1184">
        <v>2.4</v>
      </c>
      <c r="H1184" t="s">
        <v>53</v>
      </c>
      <c r="I1184" t="s">
        <v>28</v>
      </c>
      <c r="J1184" s="8">
        <v>46200</v>
      </c>
      <c r="K1184" t="s">
        <v>854</v>
      </c>
    </row>
    <row r="1185" spans="1:11" x14ac:dyDescent="0.3">
      <c r="A1185" t="s">
        <v>1740</v>
      </c>
      <c r="B1185" t="s">
        <v>13</v>
      </c>
      <c r="C1185" t="s">
        <v>25</v>
      </c>
      <c r="D1185" t="s">
        <v>26</v>
      </c>
      <c r="E1185" t="s">
        <v>52</v>
      </c>
      <c r="F1185">
        <v>240000</v>
      </c>
      <c r="G1185">
        <v>2.4</v>
      </c>
      <c r="H1185" t="s">
        <v>53</v>
      </c>
      <c r="I1185" t="s">
        <v>28</v>
      </c>
      <c r="J1185" s="8">
        <v>46200</v>
      </c>
      <c r="K1185" t="s">
        <v>45</v>
      </c>
    </row>
    <row r="1186" spans="1:11" x14ac:dyDescent="0.3">
      <c r="A1186" t="s">
        <v>1740</v>
      </c>
      <c r="B1186" t="s">
        <v>13</v>
      </c>
      <c r="C1186" t="s">
        <v>25</v>
      </c>
      <c r="D1186" t="s">
        <v>26</v>
      </c>
      <c r="E1186" t="s">
        <v>52</v>
      </c>
      <c r="F1186">
        <v>240000</v>
      </c>
      <c r="G1186">
        <v>2.4</v>
      </c>
      <c r="H1186" t="s">
        <v>53</v>
      </c>
      <c r="I1186" t="s">
        <v>28</v>
      </c>
      <c r="J1186" s="8">
        <v>46200</v>
      </c>
      <c r="K1186" t="s">
        <v>21</v>
      </c>
    </row>
    <row r="1187" spans="1:11" x14ac:dyDescent="0.3">
      <c r="A1187" t="s">
        <v>1743</v>
      </c>
      <c r="B1187" t="s">
        <v>75</v>
      </c>
      <c r="C1187" t="s">
        <v>191</v>
      </c>
      <c r="D1187" t="s">
        <v>71</v>
      </c>
      <c r="E1187" t="s">
        <v>116</v>
      </c>
      <c r="F1187">
        <v>1155000</v>
      </c>
      <c r="G1187">
        <v>11.55</v>
      </c>
      <c r="H1187" t="s">
        <v>27</v>
      </c>
      <c r="I1187" t="s">
        <v>845</v>
      </c>
      <c r="J1187" s="8">
        <v>46183</v>
      </c>
      <c r="K1187" t="s">
        <v>54</v>
      </c>
    </row>
    <row r="1188" spans="1:11" x14ac:dyDescent="0.3">
      <c r="A1188" t="s">
        <v>1743</v>
      </c>
      <c r="B1188" t="s">
        <v>75</v>
      </c>
      <c r="C1188" t="s">
        <v>191</v>
      </c>
      <c r="D1188" t="s">
        <v>71</v>
      </c>
      <c r="E1188" t="s">
        <v>116</v>
      </c>
      <c r="F1188">
        <v>1155000</v>
      </c>
      <c r="G1188">
        <v>11.55</v>
      </c>
      <c r="H1188" t="s">
        <v>27</v>
      </c>
      <c r="I1188" t="s">
        <v>845</v>
      </c>
      <c r="J1188" s="8">
        <v>46183</v>
      </c>
      <c r="K1188" t="s">
        <v>30</v>
      </c>
    </row>
    <row r="1189" spans="1:11" x14ac:dyDescent="0.3">
      <c r="A1189" t="s">
        <v>1743</v>
      </c>
      <c r="B1189" t="s">
        <v>75</v>
      </c>
      <c r="C1189" t="s">
        <v>191</v>
      </c>
      <c r="D1189" t="s">
        <v>71</v>
      </c>
      <c r="E1189" t="s">
        <v>116</v>
      </c>
      <c r="F1189">
        <v>1155000</v>
      </c>
      <c r="G1189">
        <v>11.55</v>
      </c>
      <c r="H1189" t="s">
        <v>27</v>
      </c>
      <c r="I1189" t="s">
        <v>845</v>
      </c>
      <c r="J1189" s="8">
        <v>46183</v>
      </c>
      <c r="K1189" t="s">
        <v>21</v>
      </c>
    </row>
    <row r="1190" spans="1:11" x14ac:dyDescent="0.3">
      <c r="A1190" t="s">
        <v>1744</v>
      </c>
      <c r="B1190" t="s">
        <v>42</v>
      </c>
      <c r="C1190" t="s">
        <v>109</v>
      </c>
      <c r="D1190" t="s">
        <v>81</v>
      </c>
      <c r="E1190" t="s">
        <v>37</v>
      </c>
      <c r="F1190">
        <v>1775000</v>
      </c>
      <c r="G1190">
        <v>17.75</v>
      </c>
      <c r="H1190" t="s">
        <v>27</v>
      </c>
      <c r="I1190" t="s">
        <v>845</v>
      </c>
      <c r="J1190" s="8">
        <v>46117</v>
      </c>
      <c r="K1190" t="s">
        <v>29</v>
      </c>
    </row>
    <row r="1191" spans="1:11" x14ac:dyDescent="0.3">
      <c r="A1191" t="s">
        <v>1744</v>
      </c>
      <c r="B1191" t="s">
        <v>42</v>
      </c>
      <c r="C1191" t="s">
        <v>109</v>
      </c>
      <c r="D1191" t="s">
        <v>81</v>
      </c>
      <c r="E1191" t="s">
        <v>37</v>
      </c>
      <c r="F1191">
        <v>1775000</v>
      </c>
      <c r="G1191">
        <v>17.75</v>
      </c>
      <c r="H1191" t="s">
        <v>27</v>
      </c>
      <c r="I1191" t="s">
        <v>845</v>
      </c>
      <c r="J1191" s="8">
        <v>46117</v>
      </c>
      <c r="K1191" t="s">
        <v>20</v>
      </c>
    </row>
    <row r="1192" spans="1:11" x14ac:dyDescent="0.3">
      <c r="A1192" t="s">
        <v>1744</v>
      </c>
      <c r="B1192" t="s">
        <v>42</v>
      </c>
      <c r="C1192" t="s">
        <v>109</v>
      </c>
      <c r="D1192" t="s">
        <v>81</v>
      </c>
      <c r="E1192" t="s">
        <v>37</v>
      </c>
      <c r="F1192">
        <v>1775000</v>
      </c>
      <c r="G1192">
        <v>17.75</v>
      </c>
      <c r="H1192" t="s">
        <v>27</v>
      </c>
      <c r="I1192" t="s">
        <v>845</v>
      </c>
      <c r="J1192" s="8">
        <v>46117</v>
      </c>
      <c r="K1192" t="s">
        <v>874</v>
      </c>
    </row>
    <row r="1193" spans="1:11" x14ac:dyDescent="0.3">
      <c r="A1193" t="s">
        <v>1746</v>
      </c>
      <c r="B1193" t="s">
        <v>62</v>
      </c>
      <c r="C1193" t="s">
        <v>283</v>
      </c>
      <c r="D1193" t="s">
        <v>64</v>
      </c>
      <c r="E1193" t="s">
        <v>116</v>
      </c>
      <c r="F1193">
        <v>880000</v>
      </c>
      <c r="G1193">
        <v>8.8000000000000007</v>
      </c>
      <c r="H1193" t="s">
        <v>27</v>
      </c>
      <c r="I1193" t="s">
        <v>845</v>
      </c>
      <c r="J1193" s="8">
        <v>46099</v>
      </c>
      <c r="K1193" t="s">
        <v>937</v>
      </c>
    </row>
    <row r="1194" spans="1:11" x14ac:dyDescent="0.3">
      <c r="A1194" t="s">
        <v>1746</v>
      </c>
      <c r="B1194" t="s">
        <v>62</v>
      </c>
      <c r="C1194" t="s">
        <v>283</v>
      </c>
      <c r="D1194" t="s">
        <v>64</v>
      </c>
      <c r="E1194" t="s">
        <v>116</v>
      </c>
      <c r="F1194">
        <v>880000</v>
      </c>
      <c r="G1194">
        <v>8.8000000000000007</v>
      </c>
      <c r="H1194" t="s">
        <v>27</v>
      </c>
      <c r="I1194" t="s">
        <v>845</v>
      </c>
      <c r="J1194" s="8">
        <v>46099</v>
      </c>
      <c r="K1194" t="s">
        <v>30</v>
      </c>
    </row>
    <row r="1195" spans="1:11" x14ac:dyDescent="0.3">
      <c r="A1195" t="s">
        <v>1746</v>
      </c>
      <c r="B1195" t="s">
        <v>62</v>
      </c>
      <c r="C1195" t="s">
        <v>283</v>
      </c>
      <c r="D1195" t="s">
        <v>64</v>
      </c>
      <c r="E1195" t="s">
        <v>116</v>
      </c>
      <c r="F1195">
        <v>880000</v>
      </c>
      <c r="G1195">
        <v>8.8000000000000007</v>
      </c>
      <c r="H1195" t="s">
        <v>27</v>
      </c>
      <c r="I1195" t="s">
        <v>845</v>
      </c>
      <c r="J1195" s="8">
        <v>46099</v>
      </c>
      <c r="K1195" t="s">
        <v>29</v>
      </c>
    </row>
    <row r="1196" spans="1:11" x14ac:dyDescent="0.3">
      <c r="A1196" t="s">
        <v>1747</v>
      </c>
      <c r="B1196" t="s">
        <v>852</v>
      </c>
      <c r="C1196" t="s">
        <v>1278</v>
      </c>
      <c r="D1196" t="s">
        <v>26</v>
      </c>
      <c r="E1196" t="s">
        <v>37</v>
      </c>
      <c r="F1196">
        <v>1395000</v>
      </c>
      <c r="G1196">
        <v>13.95</v>
      </c>
      <c r="H1196" t="s">
        <v>27</v>
      </c>
      <c r="I1196" t="s">
        <v>845</v>
      </c>
      <c r="J1196" s="8">
        <v>46240</v>
      </c>
      <c r="K1196" t="s">
        <v>39</v>
      </c>
    </row>
    <row r="1197" spans="1:11" x14ac:dyDescent="0.3">
      <c r="A1197" t="s">
        <v>1747</v>
      </c>
      <c r="B1197" t="s">
        <v>852</v>
      </c>
      <c r="C1197" t="s">
        <v>1278</v>
      </c>
      <c r="D1197" t="s">
        <v>26</v>
      </c>
      <c r="E1197" t="s">
        <v>37</v>
      </c>
      <c r="F1197">
        <v>1395000</v>
      </c>
      <c r="G1197">
        <v>13.95</v>
      </c>
      <c r="H1197" t="s">
        <v>27</v>
      </c>
      <c r="I1197" t="s">
        <v>845</v>
      </c>
      <c r="J1197" s="8">
        <v>46240</v>
      </c>
      <c r="K1197" t="s">
        <v>45</v>
      </c>
    </row>
    <row r="1198" spans="1:11" x14ac:dyDescent="0.3">
      <c r="A1198" t="s">
        <v>1747</v>
      </c>
      <c r="B1198" t="s">
        <v>852</v>
      </c>
      <c r="C1198" t="s">
        <v>1278</v>
      </c>
      <c r="D1198" t="s">
        <v>26</v>
      </c>
      <c r="E1198" t="s">
        <v>37</v>
      </c>
      <c r="F1198">
        <v>1395000</v>
      </c>
      <c r="G1198">
        <v>13.95</v>
      </c>
      <c r="H1198" t="s">
        <v>27</v>
      </c>
      <c r="I1198" t="s">
        <v>845</v>
      </c>
      <c r="J1198" s="8">
        <v>46240</v>
      </c>
      <c r="K1198" t="s">
        <v>854</v>
      </c>
    </row>
    <row r="1199" spans="1:11" x14ac:dyDescent="0.3">
      <c r="A1199" t="s">
        <v>1748</v>
      </c>
      <c r="B1199" t="s">
        <v>62</v>
      </c>
      <c r="C1199" t="s">
        <v>211</v>
      </c>
      <c r="D1199" t="s">
        <v>64</v>
      </c>
      <c r="E1199" t="s">
        <v>77</v>
      </c>
      <c r="F1199">
        <v>2175000</v>
      </c>
      <c r="G1199">
        <v>21.75</v>
      </c>
      <c r="H1199" t="s">
        <v>27</v>
      </c>
      <c r="I1199" t="s">
        <v>59</v>
      </c>
      <c r="J1199" s="8">
        <v>46176</v>
      </c>
      <c r="K1199" t="s">
        <v>31</v>
      </c>
    </row>
    <row r="1200" spans="1:11" x14ac:dyDescent="0.3">
      <c r="A1200" t="s">
        <v>1748</v>
      </c>
      <c r="B1200" t="s">
        <v>62</v>
      </c>
      <c r="C1200" t="s">
        <v>211</v>
      </c>
      <c r="D1200" t="s">
        <v>64</v>
      </c>
      <c r="E1200" t="s">
        <v>77</v>
      </c>
      <c r="F1200">
        <v>2175000</v>
      </c>
      <c r="G1200">
        <v>21.75</v>
      </c>
      <c r="H1200" t="s">
        <v>27</v>
      </c>
      <c r="I1200" t="s">
        <v>59</v>
      </c>
      <c r="J1200" s="8">
        <v>46176</v>
      </c>
      <c r="K1200" t="s">
        <v>937</v>
      </c>
    </row>
    <row r="1201" spans="1:11" x14ac:dyDescent="0.3">
      <c r="A1201" t="s">
        <v>1748</v>
      </c>
      <c r="B1201" t="s">
        <v>62</v>
      </c>
      <c r="C1201" t="s">
        <v>211</v>
      </c>
      <c r="D1201" t="s">
        <v>64</v>
      </c>
      <c r="E1201" t="s">
        <v>77</v>
      </c>
      <c r="F1201">
        <v>2175000</v>
      </c>
      <c r="G1201">
        <v>21.75</v>
      </c>
      <c r="H1201" t="s">
        <v>27</v>
      </c>
      <c r="I1201" t="s">
        <v>59</v>
      </c>
      <c r="J1201" s="8">
        <v>46176</v>
      </c>
      <c r="K1201" t="s">
        <v>21</v>
      </c>
    </row>
    <row r="1202" spans="1:11" x14ac:dyDescent="0.3">
      <c r="A1202" t="s">
        <v>1749</v>
      </c>
      <c r="B1202" t="s">
        <v>852</v>
      </c>
      <c r="C1202" t="s">
        <v>441</v>
      </c>
      <c r="D1202" t="s">
        <v>64</v>
      </c>
      <c r="E1202" t="s">
        <v>16</v>
      </c>
      <c r="F1202">
        <v>730000</v>
      </c>
      <c r="G1202">
        <v>7.3</v>
      </c>
      <c r="H1202" t="s">
        <v>27</v>
      </c>
      <c r="I1202" t="s">
        <v>28</v>
      </c>
      <c r="J1202" s="8">
        <v>46120</v>
      </c>
      <c r="K1202" t="s">
        <v>908</v>
      </c>
    </row>
    <row r="1203" spans="1:11" x14ac:dyDescent="0.3">
      <c r="A1203" t="s">
        <v>1749</v>
      </c>
      <c r="B1203" t="s">
        <v>852</v>
      </c>
      <c r="C1203" t="s">
        <v>441</v>
      </c>
      <c r="D1203" t="s">
        <v>64</v>
      </c>
      <c r="E1203" t="s">
        <v>16</v>
      </c>
      <c r="F1203">
        <v>730000</v>
      </c>
      <c r="G1203">
        <v>7.3</v>
      </c>
      <c r="H1203" t="s">
        <v>27</v>
      </c>
      <c r="I1203" t="s">
        <v>28</v>
      </c>
      <c r="J1203" s="8">
        <v>46120</v>
      </c>
      <c r="K1203" t="s">
        <v>874</v>
      </c>
    </row>
    <row r="1204" spans="1:11" x14ac:dyDescent="0.3">
      <c r="A1204" t="s">
        <v>1749</v>
      </c>
      <c r="B1204" t="s">
        <v>852</v>
      </c>
      <c r="C1204" t="s">
        <v>441</v>
      </c>
      <c r="D1204" t="s">
        <v>64</v>
      </c>
      <c r="E1204" t="s">
        <v>16</v>
      </c>
      <c r="F1204">
        <v>730000</v>
      </c>
      <c r="G1204">
        <v>7.3</v>
      </c>
      <c r="H1204" t="s">
        <v>27</v>
      </c>
      <c r="I1204" t="s">
        <v>28</v>
      </c>
      <c r="J1204" s="8">
        <v>46120</v>
      </c>
      <c r="K1204" t="s">
        <v>20</v>
      </c>
    </row>
    <row r="1205" spans="1:11" x14ac:dyDescent="0.3">
      <c r="A1205" t="s">
        <v>1750</v>
      </c>
      <c r="B1205" t="s">
        <v>960</v>
      </c>
      <c r="C1205" t="s">
        <v>63</v>
      </c>
      <c r="D1205" t="s">
        <v>44</v>
      </c>
      <c r="E1205" t="s">
        <v>52</v>
      </c>
      <c r="F1205">
        <v>495000</v>
      </c>
      <c r="G1205">
        <v>4.95</v>
      </c>
      <c r="H1205" t="s">
        <v>27</v>
      </c>
      <c r="I1205" t="s">
        <v>845</v>
      </c>
      <c r="J1205" s="8">
        <v>46063</v>
      </c>
      <c r="K1205" t="s">
        <v>846</v>
      </c>
    </row>
    <row r="1206" spans="1:11" x14ac:dyDescent="0.3">
      <c r="A1206" t="s">
        <v>1750</v>
      </c>
      <c r="B1206" t="s">
        <v>960</v>
      </c>
      <c r="C1206" t="s">
        <v>63</v>
      </c>
      <c r="D1206" t="s">
        <v>44</v>
      </c>
      <c r="E1206" t="s">
        <v>52</v>
      </c>
      <c r="F1206">
        <v>495000</v>
      </c>
      <c r="G1206">
        <v>4.95</v>
      </c>
      <c r="H1206" t="s">
        <v>27</v>
      </c>
      <c r="I1206" t="s">
        <v>845</v>
      </c>
      <c r="J1206" s="8">
        <v>46063</v>
      </c>
      <c r="K1206" t="s">
        <v>31</v>
      </c>
    </row>
    <row r="1207" spans="1:11" x14ac:dyDescent="0.3">
      <c r="A1207" t="s">
        <v>1750</v>
      </c>
      <c r="B1207" t="s">
        <v>960</v>
      </c>
      <c r="C1207" t="s">
        <v>63</v>
      </c>
      <c r="D1207" t="s">
        <v>44</v>
      </c>
      <c r="E1207" t="s">
        <v>52</v>
      </c>
      <c r="F1207">
        <v>495000</v>
      </c>
      <c r="G1207">
        <v>4.95</v>
      </c>
      <c r="H1207" t="s">
        <v>27</v>
      </c>
      <c r="I1207" t="s">
        <v>845</v>
      </c>
      <c r="J1207" s="8">
        <v>46063</v>
      </c>
      <c r="K1207" t="s">
        <v>45</v>
      </c>
    </row>
    <row r="1208" spans="1:11" x14ac:dyDescent="0.3">
      <c r="A1208" t="s">
        <v>1751</v>
      </c>
      <c r="B1208" t="s">
        <v>42</v>
      </c>
      <c r="C1208" t="s">
        <v>441</v>
      </c>
      <c r="D1208" t="s">
        <v>96</v>
      </c>
      <c r="E1208" t="s">
        <v>116</v>
      </c>
      <c r="F1208">
        <v>1010000</v>
      </c>
      <c r="G1208">
        <v>10.1</v>
      </c>
      <c r="H1208" t="s">
        <v>27</v>
      </c>
      <c r="I1208" t="s">
        <v>28</v>
      </c>
      <c r="J1208" s="8">
        <v>46194</v>
      </c>
      <c r="K1208" t="s">
        <v>20</v>
      </c>
    </row>
    <row r="1209" spans="1:11" x14ac:dyDescent="0.3">
      <c r="A1209" t="s">
        <v>1751</v>
      </c>
      <c r="B1209" t="s">
        <v>42</v>
      </c>
      <c r="C1209" t="s">
        <v>441</v>
      </c>
      <c r="D1209" t="s">
        <v>96</v>
      </c>
      <c r="E1209" t="s">
        <v>116</v>
      </c>
      <c r="F1209">
        <v>1010000</v>
      </c>
      <c r="G1209">
        <v>10.1</v>
      </c>
      <c r="H1209" t="s">
        <v>27</v>
      </c>
      <c r="I1209" t="s">
        <v>28</v>
      </c>
      <c r="J1209" s="8">
        <v>46194</v>
      </c>
      <c r="K1209" t="s">
        <v>854</v>
      </c>
    </row>
    <row r="1210" spans="1:11" x14ac:dyDescent="0.3">
      <c r="A1210" t="s">
        <v>1751</v>
      </c>
      <c r="B1210" t="s">
        <v>42</v>
      </c>
      <c r="C1210" t="s">
        <v>441</v>
      </c>
      <c r="D1210" t="s">
        <v>96</v>
      </c>
      <c r="E1210" t="s">
        <v>116</v>
      </c>
      <c r="F1210">
        <v>1010000</v>
      </c>
      <c r="G1210">
        <v>10.1</v>
      </c>
      <c r="H1210" t="s">
        <v>27</v>
      </c>
      <c r="I1210" t="s">
        <v>28</v>
      </c>
      <c r="J1210" s="8">
        <v>46194</v>
      </c>
      <c r="K1210" t="s">
        <v>54</v>
      </c>
    </row>
    <row r="1211" spans="1:11" x14ac:dyDescent="0.3">
      <c r="A1211" t="s">
        <v>1752</v>
      </c>
      <c r="B1211" t="s">
        <v>75</v>
      </c>
      <c r="C1211" t="s">
        <v>999</v>
      </c>
      <c r="D1211" t="s">
        <v>76</v>
      </c>
      <c r="E1211" t="s">
        <v>52</v>
      </c>
      <c r="F1211">
        <v>610000</v>
      </c>
      <c r="G1211">
        <v>6.1</v>
      </c>
      <c r="H1211" t="s">
        <v>27</v>
      </c>
      <c r="I1211" t="s">
        <v>28</v>
      </c>
      <c r="J1211" s="8">
        <v>46148</v>
      </c>
      <c r="K1211" t="s">
        <v>21</v>
      </c>
    </row>
    <row r="1212" spans="1:11" x14ac:dyDescent="0.3">
      <c r="A1212" t="s">
        <v>1752</v>
      </c>
      <c r="B1212" t="s">
        <v>75</v>
      </c>
      <c r="C1212" t="s">
        <v>999</v>
      </c>
      <c r="D1212" t="s">
        <v>76</v>
      </c>
      <c r="E1212" t="s">
        <v>52</v>
      </c>
      <c r="F1212">
        <v>610000</v>
      </c>
      <c r="G1212">
        <v>6.1</v>
      </c>
      <c r="H1212" t="s">
        <v>27</v>
      </c>
      <c r="I1212" t="s">
        <v>28</v>
      </c>
      <c r="J1212" s="8">
        <v>46148</v>
      </c>
      <c r="K1212" t="s">
        <v>20</v>
      </c>
    </row>
    <row r="1213" spans="1:11" x14ac:dyDescent="0.3">
      <c r="A1213" t="s">
        <v>1752</v>
      </c>
      <c r="B1213" t="s">
        <v>75</v>
      </c>
      <c r="C1213" t="s">
        <v>999</v>
      </c>
      <c r="D1213" t="s">
        <v>76</v>
      </c>
      <c r="E1213" t="s">
        <v>52</v>
      </c>
      <c r="F1213">
        <v>610000</v>
      </c>
      <c r="G1213">
        <v>6.1</v>
      </c>
      <c r="H1213" t="s">
        <v>27</v>
      </c>
      <c r="I1213" t="s">
        <v>28</v>
      </c>
      <c r="J1213" s="8">
        <v>46148</v>
      </c>
      <c r="K1213" t="s">
        <v>45</v>
      </c>
    </row>
    <row r="1214" spans="1:11" x14ac:dyDescent="0.3">
      <c r="A1214" t="s">
        <v>1753</v>
      </c>
      <c r="B1214" t="s">
        <v>49</v>
      </c>
      <c r="C1214" t="s">
        <v>334</v>
      </c>
      <c r="D1214" t="s">
        <v>96</v>
      </c>
      <c r="E1214" t="s">
        <v>16</v>
      </c>
      <c r="F1214">
        <v>1055000</v>
      </c>
      <c r="G1214">
        <v>10.55</v>
      </c>
      <c r="H1214" t="s">
        <v>27</v>
      </c>
      <c r="I1214" t="s">
        <v>845</v>
      </c>
      <c r="J1214" s="8">
        <v>46255</v>
      </c>
      <c r="K1214" t="s">
        <v>878</v>
      </c>
    </row>
    <row r="1215" spans="1:11" x14ac:dyDescent="0.3">
      <c r="A1215" t="s">
        <v>1753</v>
      </c>
      <c r="B1215" t="s">
        <v>49</v>
      </c>
      <c r="C1215" t="s">
        <v>334</v>
      </c>
      <c r="D1215" t="s">
        <v>96</v>
      </c>
      <c r="E1215" t="s">
        <v>16</v>
      </c>
      <c r="F1215">
        <v>1055000</v>
      </c>
      <c r="G1215">
        <v>10.55</v>
      </c>
      <c r="H1215" t="s">
        <v>27</v>
      </c>
      <c r="I1215" t="s">
        <v>845</v>
      </c>
      <c r="J1215" s="8">
        <v>46255</v>
      </c>
      <c r="K1215" t="s">
        <v>39</v>
      </c>
    </row>
    <row r="1216" spans="1:11" x14ac:dyDescent="0.3">
      <c r="A1216" t="s">
        <v>1753</v>
      </c>
      <c r="B1216" t="s">
        <v>49</v>
      </c>
      <c r="C1216" t="s">
        <v>334</v>
      </c>
      <c r="D1216" t="s">
        <v>96</v>
      </c>
      <c r="E1216" t="s">
        <v>16</v>
      </c>
      <c r="F1216">
        <v>1055000</v>
      </c>
      <c r="G1216">
        <v>10.55</v>
      </c>
      <c r="H1216" t="s">
        <v>27</v>
      </c>
      <c r="I1216" t="s">
        <v>845</v>
      </c>
      <c r="J1216" s="8">
        <v>46255</v>
      </c>
      <c r="K1216" t="s">
        <v>846</v>
      </c>
    </row>
    <row r="1217" spans="1:11" x14ac:dyDescent="0.3">
      <c r="A1217" t="s">
        <v>1754</v>
      </c>
      <c r="B1217" t="s">
        <v>62</v>
      </c>
      <c r="C1217" t="s">
        <v>655</v>
      </c>
      <c r="D1217" t="s">
        <v>15</v>
      </c>
      <c r="E1217" t="s">
        <v>37</v>
      </c>
      <c r="F1217">
        <v>1555000</v>
      </c>
      <c r="G1217">
        <v>15.55</v>
      </c>
      <c r="H1217" t="s">
        <v>27</v>
      </c>
      <c r="I1217" t="s">
        <v>28</v>
      </c>
      <c r="J1217" s="8">
        <v>46069</v>
      </c>
      <c r="K1217" t="s">
        <v>30</v>
      </c>
    </row>
    <row r="1218" spans="1:11" x14ac:dyDescent="0.3">
      <c r="A1218" t="s">
        <v>1754</v>
      </c>
      <c r="B1218" t="s">
        <v>62</v>
      </c>
      <c r="C1218" t="s">
        <v>655</v>
      </c>
      <c r="D1218" t="s">
        <v>15</v>
      </c>
      <c r="E1218" t="s">
        <v>37</v>
      </c>
      <c r="F1218">
        <v>1555000</v>
      </c>
      <c r="G1218">
        <v>15.55</v>
      </c>
      <c r="H1218" t="s">
        <v>27</v>
      </c>
      <c r="I1218" t="s">
        <v>28</v>
      </c>
      <c r="J1218" s="8">
        <v>46069</v>
      </c>
      <c r="K1218" t="s">
        <v>937</v>
      </c>
    </row>
    <row r="1219" spans="1:11" x14ac:dyDescent="0.3">
      <c r="A1219" t="s">
        <v>1754</v>
      </c>
      <c r="B1219" t="s">
        <v>62</v>
      </c>
      <c r="C1219" t="s">
        <v>655</v>
      </c>
      <c r="D1219" t="s">
        <v>15</v>
      </c>
      <c r="E1219" t="s">
        <v>37</v>
      </c>
      <c r="F1219">
        <v>1555000</v>
      </c>
      <c r="G1219">
        <v>15.55</v>
      </c>
      <c r="H1219" t="s">
        <v>27</v>
      </c>
      <c r="I1219" t="s">
        <v>28</v>
      </c>
      <c r="J1219" s="8">
        <v>46069</v>
      </c>
      <c r="K1219" t="s">
        <v>878</v>
      </c>
    </row>
    <row r="1220" spans="1:11" x14ac:dyDescent="0.3">
      <c r="A1220" t="s">
        <v>1755</v>
      </c>
      <c r="B1220" t="s">
        <v>852</v>
      </c>
      <c r="C1220" t="s">
        <v>1127</v>
      </c>
      <c r="D1220" t="s">
        <v>51</v>
      </c>
      <c r="E1220" t="s">
        <v>52</v>
      </c>
      <c r="F1220">
        <v>685000</v>
      </c>
      <c r="G1220">
        <v>6.85</v>
      </c>
      <c r="H1220" t="s">
        <v>27</v>
      </c>
      <c r="I1220" t="s">
        <v>845</v>
      </c>
      <c r="J1220" s="8">
        <v>46147</v>
      </c>
      <c r="K1220" t="s">
        <v>29</v>
      </c>
    </row>
    <row r="1221" spans="1:11" x14ac:dyDescent="0.3">
      <c r="A1221" t="s">
        <v>1755</v>
      </c>
      <c r="B1221" t="s">
        <v>852</v>
      </c>
      <c r="C1221" t="s">
        <v>1127</v>
      </c>
      <c r="D1221" t="s">
        <v>51</v>
      </c>
      <c r="E1221" t="s">
        <v>52</v>
      </c>
      <c r="F1221">
        <v>685000</v>
      </c>
      <c r="G1221">
        <v>6.85</v>
      </c>
      <c r="H1221" t="s">
        <v>27</v>
      </c>
      <c r="I1221" t="s">
        <v>845</v>
      </c>
      <c r="J1221" s="8">
        <v>46147</v>
      </c>
      <c r="K1221" t="s">
        <v>854</v>
      </c>
    </row>
    <row r="1222" spans="1:11" x14ac:dyDescent="0.3">
      <c r="A1222" t="s">
        <v>1755</v>
      </c>
      <c r="B1222" t="s">
        <v>852</v>
      </c>
      <c r="C1222" t="s">
        <v>1127</v>
      </c>
      <c r="D1222" t="s">
        <v>51</v>
      </c>
      <c r="E1222" t="s">
        <v>52</v>
      </c>
      <c r="F1222">
        <v>685000</v>
      </c>
      <c r="G1222">
        <v>6.85</v>
      </c>
      <c r="H1222" t="s">
        <v>27</v>
      </c>
      <c r="I1222" t="s">
        <v>845</v>
      </c>
      <c r="J1222" s="8">
        <v>46147</v>
      </c>
      <c r="K1222" t="s">
        <v>39</v>
      </c>
    </row>
    <row r="1223" spans="1:11" x14ac:dyDescent="0.3">
      <c r="A1223" t="s">
        <v>1756</v>
      </c>
      <c r="B1223" t="s">
        <v>42</v>
      </c>
      <c r="C1223" t="s">
        <v>119</v>
      </c>
      <c r="D1223" t="s">
        <v>81</v>
      </c>
      <c r="E1223" t="s">
        <v>77</v>
      </c>
      <c r="F1223">
        <v>2625000</v>
      </c>
      <c r="G1223">
        <v>26.25</v>
      </c>
      <c r="H1223" t="s">
        <v>27</v>
      </c>
      <c r="I1223" t="s">
        <v>28</v>
      </c>
      <c r="J1223" s="8">
        <v>46096</v>
      </c>
      <c r="K1223" t="s">
        <v>39</v>
      </c>
    </row>
    <row r="1224" spans="1:11" x14ac:dyDescent="0.3">
      <c r="A1224" t="s">
        <v>1756</v>
      </c>
      <c r="B1224" t="s">
        <v>42</v>
      </c>
      <c r="C1224" t="s">
        <v>119</v>
      </c>
      <c r="D1224" t="s">
        <v>81</v>
      </c>
      <c r="E1224" t="s">
        <v>77</v>
      </c>
      <c r="F1224">
        <v>2625000</v>
      </c>
      <c r="G1224">
        <v>26.25</v>
      </c>
      <c r="H1224" t="s">
        <v>27</v>
      </c>
      <c r="I1224" t="s">
        <v>28</v>
      </c>
      <c r="J1224" s="8">
        <v>46096</v>
      </c>
      <c r="K1224" t="s">
        <v>31</v>
      </c>
    </row>
    <row r="1225" spans="1:11" x14ac:dyDescent="0.3">
      <c r="A1225" t="s">
        <v>1756</v>
      </c>
      <c r="B1225" t="s">
        <v>42</v>
      </c>
      <c r="C1225" t="s">
        <v>119</v>
      </c>
      <c r="D1225" t="s">
        <v>81</v>
      </c>
      <c r="E1225" t="s">
        <v>77</v>
      </c>
      <c r="F1225">
        <v>2625000</v>
      </c>
      <c r="G1225">
        <v>26.25</v>
      </c>
      <c r="H1225" t="s">
        <v>27</v>
      </c>
      <c r="I1225" t="s">
        <v>28</v>
      </c>
      <c r="J1225" s="8">
        <v>46096</v>
      </c>
      <c r="K1225" t="s">
        <v>20</v>
      </c>
    </row>
    <row r="1226" spans="1:11" x14ac:dyDescent="0.3">
      <c r="A1226" t="s">
        <v>1758</v>
      </c>
      <c r="B1226" t="s">
        <v>62</v>
      </c>
      <c r="C1226" t="s">
        <v>106</v>
      </c>
      <c r="D1226" t="s">
        <v>96</v>
      </c>
      <c r="E1226" t="s">
        <v>77</v>
      </c>
      <c r="F1226">
        <v>3430000</v>
      </c>
      <c r="G1226">
        <v>34.299999999999997</v>
      </c>
      <c r="H1226" t="s">
        <v>17</v>
      </c>
      <c r="I1226" t="s">
        <v>28</v>
      </c>
      <c r="J1226" s="8">
        <v>46221</v>
      </c>
      <c r="K1226" t="s">
        <v>846</v>
      </c>
    </row>
    <row r="1227" spans="1:11" x14ac:dyDescent="0.3">
      <c r="A1227" t="s">
        <v>1758</v>
      </c>
      <c r="B1227" t="s">
        <v>62</v>
      </c>
      <c r="C1227" t="s">
        <v>106</v>
      </c>
      <c r="D1227" t="s">
        <v>96</v>
      </c>
      <c r="E1227" t="s">
        <v>77</v>
      </c>
      <c r="F1227">
        <v>3430000</v>
      </c>
      <c r="G1227">
        <v>34.299999999999997</v>
      </c>
      <c r="H1227" t="s">
        <v>17</v>
      </c>
      <c r="I1227" t="s">
        <v>28</v>
      </c>
      <c r="J1227" s="8">
        <v>46221</v>
      </c>
      <c r="K1227" t="s">
        <v>21</v>
      </c>
    </row>
    <row r="1228" spans="1:11" x14ac:dyDescent="0.3">
      <c r="A1228" t="s">
        <v>1758</v>
      </c>
      <c r="B1228" t="s">
        <v>62</v>
      </c>
      <c r="C1228" t="s">
        <v>106</v>
      </c>
      <c r="D1228" t="s">
        <v>96</v>
      </c>
      <c r="E1228" t="s">
        <v>77</v>
      </c>
      <c r="F1228">
        <v>3430000</v>
      </c>
      <c r="G1228">
        <v>34.299999999999997</v>
      </c>
      <c r="H1228" t="s">
        <v>17</v>
      </c>
      <c r="I1228" t="s">
        <v>28</v>
      </c>
      <c r="J1228" s="8">
        <v>46221</v>
      </c>
      <c r="K1228" t="s">
        <v>30</v>
      </c>
    </row>
    <row r="1229" spans="1:11" x14ac:dyDescent="0.3">
      <c r="A1229" t="s">
        <v>1760</v>
      </c>
      <c r="B1229" t="s">
        <v>49</v>
      </c>
      <c r="C1229" t="s">
        <v>271</v>
      </c>
      <c r="D1229" t="s">
        <v>96</v>
      </c>
      <c r="E1229" t="s">
        <v>116</v>
      </c>
      <c r="F1229">
        <v>1060000</v>
      </c>
      <c r="G1229">
        <v>10.6</v>
      </c>
      <c r="H1229" t="s">
        <v>27</v>
      </c>
      <c r="I1229" t="s">
        <v>28</v>
      </c>
      <c r="J1229" s="8">
        <v>46163</v>
      </c>
      <c r="K1229" t="s">
        <v>46</v>
      </c>
    </row>
    <row r="1230" spans="1:11" x14ac:dyDescent="0.3">
      <c r="A1230" t="s">
        <v>1760</v>
      </c>
      <c r="B1230" t="s">
        <v>49</v>
      </c>
      <c r="C1230" t="s">
        <v>271</v>
      </c>
      <c r="D1230" t="s">
        <v>96</v>
      </c>
      <c r="E1230" t="s">
        <v>116</v>
      </c>
      <c r="F1230">
        <v>1060000</v>
      </c>
      <c r="G1230">
        <v>10.6</v>
      </c>
      <c r="H1230" t="s">
        <v>27</v>
      </c>
      <c r="I1230" t="s">
        <v>28</v>
      </c>
      <c r="J1230" s="8">
        <v>46163</v>
      </c>
      <c r="K1230" t="s">
        <v>45</v>
      </c>
    </row>
    <row r="1231" spans="1:11" x14ac:dyDescent="0.3">
      <c r="A1231" t="s">
        <v>1760</v>
      </c>
      <c r="B1231" t="s">
        <v>49</v>
      </c>
      <c r="C1231" t="s">
        <v>271</v>
      </c>
      <c r="D1231" t="s">
        <v>96</v>
      </c>
      <c r="E1231" t="s">
        <v>116</v>
      </c>
      <c r="F1231">
        <v>1060000</v>
      </c>
      <c r="G1231">
        <v>10.6</v>
      </c>
      <c r="H1231" t="s">
        <v>27</v>
      </c>
      <c r="I1231" t="s">
        <v>28</v>
      </c>
      <c r="J1231" s="8">
        <v>46163</v>
      </c>
      <c r="K1231" t="s">
        <v>846</v>
      </c>
    </row>
    <row r="1232" spans="1:11" x14ac:dyDescent="0.3">
      <c r="A1232" t="s">
        <v>1761</v>
      </c>
      <c r="B1232" t="s">
        <v>49</v>
      </c>
      <c r="C1232" t="s">
        <v>530</v>
      </c>
      <c r="D1232" t="s">
        <v>36</v>
      </c>
      <c r="E1232" t="s">
        <v>16</v>
      </c>
      <c r="F1232">
        <v>970000</v>
      </c>
      <c r="G1232">
        <v>9.6999999999999993</v>
      </c>
      <c r="H1232" t="s">
        <v>27</v>
      </c>
      <c r="I1232" t="s">
        <v>59</v>
      </c>
      <c r="J1232" s="8">
        <v>46171</v>
      </c>
      <c r="K1232" t="s">
        <v>45</v>
      </c>
    </row>
    <row r="1233" spans="1:11" x14ac:dyDescent="0.3">
      <c r="A1233" t="s">
        <v>1761</v>
      </c>
      <c r="B1233" t="s">
        <v>49</v>
      </c>
      <c r="C1233" t="s">
        <v>530</v>
      </c>
      <c r="D1233" t="s">
        <v>36</v>
      </c>
      <c r="E1233" t="s">
        <v>16</v>
      </c>
      <c r="F1233">
        <v>970000</v>
      </c>
      <c r="G1233">
        <v>9.6999999999999993</v>
      </c>
      <c r="H1233" t="s">
        <v>27</v>
      </c>
      <c r="I1233" t="s">
        <v>59</v>
      </c>
      <c r="J1233" s="8">
        <v>46171</v>
      </c>
      <c r="K1233" t="s">
        <v>20</v>
      </c>
    </row>
    <row r="1234" spans="1:11" x14ac:dyDescent="0.3">
      <c r="A1234" t="s">
        <v>1761</v>
      </c>
      <c r="B1234" t="s">
        <v>49</v>
      </c>
      <c r="C1234" t="s">
        <v>530</v>
      </c>
      <c r="D1234" t="s">
        <v>36</v>
      </c>
      <c r="E1234" t="s">
        <v>16</v>
      </c>
      <c r="F1234">
        <v>970000</v>
      </c>
      <c r="G1234">
        <v>9.6999999999999993</v>
      </c>
      <c r="H1234" t="s">
        <v>27</v>
      </c>
      <c r="I1234" t="s">
        <v>59</v>
      </c>
      <c r="J1234" s="8">
        <v>46171</v>
      </c>
      <c r="K1234" t="s">
        <v>908</v>
      </c>
    </row>
    <row r="1235" spans="1:11" x14ac:dyDescent="0.3">
      <c r="A1235" t="s">
        <v>1763</v>
      </c>
      <c r="B1235" t="s">
        <v>13</v>
      </c>
      <c r="C1235" t="s">
        <v>999</v>
      </c>
      <c r="D1235" t="s">
        <v>96</v>
      </c>
      <c r="E1235" t="s">
        <v>37</v>
      </c>
      <c r="F1235">
        <v>1175000</v>
      </c>
      <c r="G1235">
        <v>11.75</v>
      </c>
      <c r="H1235" t="s">
        <v>17</v>
      </c>
      <c r="I1235" t="s">
        <v>28</v>
      </c>
      <c r="J1235" s="8">
        <v>46092</v>
      </c>
      <c r="K1235" t="s">
        <v>21</v>
      </c>
    </row>
    <row r="1236" spans="1:11" x14ac:dyDescent="0.3">
      <c r="A1236" t="s">
        <v>1763</v>
      </c>
      <c r="B1236" t="s">
        <v>13</v>
      </c>
      <c r="C1236" t="s">
        <v>999</v>
      </c>
      <c r="D1236" t="s">
        <v>96</v>
      </c>
      <c r="E1236" t="s">
        <v>37</v>
      </c>
      <c r="F1236">
        <v>1175000</v>
      </c>
      <c r="G1236">
        <v>11.75</v>
      </c>
      <c r="H1236" t="s">
        <v>17</v>
      </c>
      <c r="I1236" t="s">
        <v>28</v>
      </c>
      <c r="J1236" s="8">
        <v>46092</v>
      </c>
      <c r="K1236" t="s">
        <v>54</v>
      </c>
    </row>
    <row r="1237" spans="1:11" x14ac:dyDescent="0.3">
      <c r="A1237" t="s">
        <v>1763</v>
      </c>
      <c r="B1237" t="s">
        <v>13</v>
      </c>
      <c r="C1237" t="s">
        <v>999</v>
      </c>
      <c r="D1237" t="s">
        <v>96</v>
      </c>
      <c r="E1237" t="s">
        <v>37</v>
      </c>
      <c r="F1237">
        <v>1175000</v>
      </c>
      <c r="G1237">
        <v>11.75</v>
      </c>
      <c r="H1237" t="s">
        <v>17</v>
      </c>
      <c r="I1237" t="s">
        <v>28</v>
      </c>
      <c r="J1237" s="8">
        <v>46092</v>
      </c>
      <c r="K1237" t="s">
        <v>46</v>
      </c>
    </row>
    <row r="1238" spans="1:11" x14ac:dyDescent="0.3">
      <c r="A1238" t="s">
        <v>1764</v>
      </c>
      <c r="B1238" t="s">
        <v>24</v>
      </c>
      <c r="C1238" t="s">
        <v>992</v>
      </c>
      <c r="D1238" t="s">
        <v>96</v>
      </c>
      <c r="E1238" t="s">
        <v>16</v>
      </c>
      <c r="F1238">
        <v>740000</v>
      </c>
      <c r="G1238">
        <v>7.4</v>
      </c>
      <c r="H1238" t="s">
        <v>27</v>
      </c>
      <c r="I1238" t="s">
        <v>59</v>
      </c>
      <c r="J1238" s="8">
        <v>46107</v>
      </c>
      <c r="K1238" t="s">
        <v>29</v>
      </c>
    </row>
    <row r="1239" spans="1:11" x14ac:dyDescent="0.3">
      <c r="A1239" t="s">
        <v>1764</v>
      </c>
      <c r="B1239" t="s">
        <v>24</v>
      </c>
      <c r="C1239" t="s">
        <v>992</v>
      </c>
      <c r="D1239" t="s">
        <v>96</v>
      </c>
      <c r="E1239" t="s">
        <v>16</v>
      </c>
      <c r="F1239">
        <v>740000</v>
      </c>
      <c r="G1239">
        <v>7.4</v>
      </c>
      <c r="H1239" t="s">
        <v>27</v>
      </c>
      <c r="I1239" t="s">
        <v>59</v>
      </c>
      <c r="J1239" s="8">
        <v>46107</v>
      </c>
      <c r="K1239" t="s">
        <v>45</v>
      </c>
    </row>
    <row r="1240" spans="1:11" x14ac:dyDescent="0.3">
      <c r="A1240" t="s">
        <v>1764</v>
      </c>
      <c r="B1240" t="s">
        <v>24</v>
      </c>
      <c r="C1240" t="s">
        <v>992</v>
      </c>
      <c r="D1240" t="s">
        <v>96</v>
      </c>
      <c r="E1240" t="s">
        <v>16</v>
      </c>
      <c r="F1240">
        <v>740000</v>
      </c>
      <c r="G1240">
        <v>7.4</v>
      </c>
      <c r="H1240" t="s">
        <v>27</v>
      </c>
      <c r="I1240" t="s">
        <v>59</v>
      </c>
      <c r="J1240" s="8">
        <v>46107</v>
      </c>
      <c r="K1240" t="s">
        <v>31</v>
      </c>
    </row>
    <row r="1241" spans="1:11" x14ac:dyDescent="0.3">
      <c r="A1241" t="s">
        <v>1765</v>
      </c>
      <c r="B1241" t="s">
        <v>49</v>
      </c>
      <c r="C1241" t="s">
        <v>906</v>
      </c>
      <c r="D1241" t="s">
        <v>15</v>
      </c>
      <c r="E1241" t="s">
        <v>16</v>
      </c>
      <c r="F1241">
        <v>695000</v>
      </c>
      <c r="G1241">
        <v>6.95</v>
      </c>
      <c r="H1241" t="s">
        <v>27</v>
      </c>
      <c r="I1241" t="s">
        <v>59</v>
      </c>
      <c r="J1241" s="8">
        <v>46067</v>
      </c>
      <c r="K1241" t="s">
        <v>846</v>
      </c>
    </row>
    <row r="1242" spans="1:11" x14ac:dyDescent="0.3">
      <c r="A1242" t="s">
        <v>1765</v>
      </c>
      <c r="B1242" t="s">
        <v>49</v>
      </c>
      <c r="C1242" t="s">
        <v>906</v>
      </c>
      <c r="D1242" t="s">
        <v>15</v>
      </c>
      <c r="E1242" t="s">
        <v>16</v>
      </c>
      <c r="F1242">
        <v>695000</v>
      </c>
      <c r="G1242">
        <v>6.95</v>
      </c>
      <c r="H1242" t="s">
        <v>27</v>
      </c>
      <c r="I1242" t="s">
        <v>59</v>
      </c>
      <c r="J1242" s="8">
        <v>46067</v>
      </c>
      <c r="K1242" t="s">
        <v>31</v>
      </c>
    </row>
    <row r="1243" spans="1:11" x14ac:dyDescent="0.3">
      <c r="A1243" t="s">
        <v>1765</v>
      </c>
      <c r="B1243" t="s">
        <v>49</v>
      </c>
      <c r="C1243" t="s">
        <v>906</v>
      </c>
      <c r="D1243" t="s">
        <v>15</v>
      </c>
      <c r="E1243" t="s">
        <v>16</v>
      </c>
      <c r="F1243">
        <v>695000</v>
      </c>
      <c r="G1243">
        <v>6.95</v>
      </c>
      <c r="H1243" t="s">
        <v>27</v>
      </c>
      <c r="I1243" t="s">
        <v>59</v>
      </c>
      <c r="J1243" s="8">
        <v>46067</v>
      </c>
      <c r="K1243" t="s">
        <v>45</v>
      </c>
    </row>
    <row r="1244" spans="1:11" x14ac:dyDescent="0.3">
      <c r="A1244" t="s">
        <v>1767</v>
      </c>
      <c r="B1244" t="s">
        <v>852</v>
      </c>
      <c r="C1244" t="s">
        <v>179</v>
      </c>
      <c r="D1244" t="s">
        <v>76</v>
      </c>
      <c r="E1244" t="s">
        <v>37</v>
      </c>
      <c r="F1244">
        <v>2045000</v>
      </c>
      <c r="G1244">
        <v>20.45</v>
      </c>
      <c r="H1244" t="s">
        <v>17</v>
      </c>
      <c r="I1244" t="s">
        <v>28</v>
      </c>
      <c r="J1244" s="8">
        <v>46233</v>
      </c>
      <c r="K1244" t="s">
        <v>20</v>
      </c>
    </row>
    <row r="1245" spans="1:11" x14ac:dyDescent="0.3">
      <c r="A1245" t="s">
        <v>1767</v>
      </c>
      <c r="B1245" t="s">
        <v>852</v>
      </c>
      <c r="C1245" t="s">
        <v>179</v>
      </c>
      <c r="D1245" t="s">
        <v>76</v>
      </c>
      <c r="E1245" t="s">
        <v>37</v>
      </c>
      <c r="F1245">
        <v>2045000</v>
      </c>
      <c r="G1245">
        <v>20.45</v>
      </c>
      <c r="H1245" t="s">
        <v>17</v>
      </c>
      <c r="I1245" t="s">
        <v>28</v>
      </c>
      <c r="J1245" s="8">
        <v>46233</v>
      </c>
      <c r="K1245" t="s">
        <v>29</v>
      </c>
    </row>
    <row r="1246" spans="1:11" x14ac:dyDescent="0.3">
      <c r="A1246" t="s">
        <v>1767</v>
      </c>
      <c r="B1246" t="s">
        <v>852</v>
      </c>
      <c r="C1246" t="s">
        <v>179</v>
      </c>
      <c r="D1246" t="s">
        <v>76</v>
      </c>
      <c r="E1246" t="s">
        <v>37</v>
      </c>
      <c r="F1246">
        <v>2045000</v>
      </c>
      <c r="G1246">
        <v>20.45</v>
      </c>
      <c r="H1246" t="s">
        <v>17</v>
      </c>
      <c r="I1246" t="s">
        <v>28</v>
      </c>
      <c r="J1246" s="8">
        <v>46233</v>
      </c>
      <c r="K1246" t="s">
        <v>54</v>
      </c>
    </row>
    <row r="1247" spans="1:11" x14ac:dyDescent="0.3">
      <c r="A1247" t="s">
        <v>1768</v>
      </c>
      <c r="B1247" t="s">
        <v>62</v>
      </c>
      <c r="C1247" t="s">
        <v>295</v>
      </c>
      <c r="D1247" t="s">
        <v>36</v>
      </c>
      <c r="E1247" t="s">
        <v>77</v>
      </c>
      <c r="F1247">
        <v>1915000</v>
      </c>
      <c r="G1247">
        <v>19.149999999999999</v>
      </c>
      <c r="H1247" t="s">
        <v>27</v>
      </c>
      <c r="I1247" t="s">
        <v>28</v>
      </c>
      <c r="J1247" s="8">
        <v>46101</v>
      </c>
      <c r="K1247" t="s">
        <v>937</v>
      </c>
    </row>
    <row r="1248" spans="1:11" x14ac:dyDescent="0.3">
      <c r="A1248" t="s">
        <v>1768</v>
      </c>
      <c r="B1248" t="s">
        <v>62</v>
      </c>
      <c r="C1248" t="s">
        <v>295</v>
      </c>
      <c r="D1248" t="s">
        <v>36</v>
      </c>
      <c r="E1248" t="s">
        <v>77</v>
      </c>
      <c r="F1248">
        <v>1915000</v>
      </c>
      <c r="G1248">
        <v>19.149999999999999</v>
      </c>
      <c r="H1248" t="s">
        <v>27</v>
      </c>
      <c r="I1248" t="s">
        <v>28</v>
      </c>
      <c r="J1248" s="8">
        <v>46101</v>
      </c>
      <c r="K1248" t="s">
        <v>29</v>
      </c>
    </row>
    <row r="1249" spans="1:11" x14ac:dyDescent="0.3">
      <c r="A1249" t="s">
        <v>1768</v>
      </c>
      <c r="B1249" t="s">
        <v>62</v>
      </c>
      <c r="C1249" t="s">
        <v>295</v>
      </c>
      <c r="D1249" t="s">
        <v>36</v>
      </c>
      <c r="E1249" t="s">
        <v>77</v>
      </c>
      <c r="F1249">
        <v>1915000</v>
      </c>
      <c r="G1249">
        <v>19.149999999999999</v>
      </c>
      <c r="H1249" t="s">
        <v>27</v>
      </c>
      <c r="I1249" t="s">
        <v>28</v>
      </c>
      <c r="J1249" s="8">
        <v>46101</v>
      </c>
      <c r="K1249" t="s">
        <v>20</v>
      </c>
    </row>
    <row r="1250" spans="1:11" x14ac:dyDescent="0.3">
      <c r="A1250" t="s">
        <v>1770</v>
      </c>
      <c r="B1250" t="s">
        <v>960</v>
      </c>
      <c r="C1250" t="s">
        <v>214</v>
      </c>
      <c r="D1250" t="s">
        <v>71</v>
      </c>
      <c r="E1250" t="s">
        <v>52</v>
      </c>
      <c r="F1250">
        <v>430000</v>
      </c>
      <c r="G1250">
        <v>4.3</v>
      </c>
      <c r="H1250" t="s">
        <v>27</v>
      </c>
      <c r="I1250" t="s">
        <v>28</v>
      </c>
      <c r="J1250" s="8">
        <v>46195</v>
      </c>
      <c r="K1250" t="s">
        <v>46</v>
      </c>
    </row>
    <row r="1251" spans="1:11" x14ac:dyDescent="0.3">
      <c r="A1251" t="s">
        <v>1770</v>
      </c>
      <c r="B1251" t="s">
        <v>960</v>
      </c>
      <c r="C1251" t="s">
        <v>214</v>
      </c>
      <c r="D1251" t="s">
        <v>71</v>
      </c>
      <c r="E1251" t="s">
        <v>52</v>
      </c>
      <c r="F1251">
        <v>430000</v>
      </c>
      <c r="G1251">
        <v>4.3</v>
      </c>
      <c r="H1251" t="s">
        <v>27</v>
      </c>
      <c r="I1251" t="s">
        <v>28</v>
      </c>
      <c r="J1251" s="8">
        <v>46195</v>
      </c>
      <c r="K1251" t="s">
        <v>937</v>
      </c>
    </row>
    <row r="1252" spans="1:11" x14ac:dyDescent="0.3">
      <c r="A1252" t="s">
        <v>1770</v>
      </c>
      <c r="B1252" t="s">
        <v>960</v>
      </c>
      <c r="C1252" t="s">
        <v>214</v>
      </c>
      <c r="D1252" t="s">
        <v>71</v>
      </c>
      <c r="E1252" t="s">
        <v>52</v>
      </c>
      <c r="F1252">
        <v>430000</v>
      </c>
      <c r="G1252">
        <v>4.3</v>
      </c>
      <c r="H1252" t="s">
        <v>27</v>
      </c>
      <c r="I1252" t="s">
        <v>28</v>
      </c>
      <c r="J1252" s="8">
        <v>46195</v>
      </c>
      <c r="K1252" t="s">
        <v>846</v>
      </c>
    </row>
    <row r="1253" spans="1:11" x14ac:dyDescent="0.3">
      <c r="A1253" t="s">
        <v>1771</v>
      </c>
      <c r="B1253" t="s">
        <v>864</v>
      </c>
      <c r="C1253" t="s">
        <v>99</v>
      </c>
      <c r="D1253" t="s">
        <v>36</v>
      </c>
      <c r="E1253" t="s">
        <v>77</v>
      </c>
      <c r="F1253">
        <v>3515000</v>
      </c>
      <c r="G1253">
        <v>35.15</v>
      </c>
      <c r="H1253" t="s">
        <v>27</v>
      </c>
      <c r="I1253" t="s">
        <v>28</v>
      </c>
      <c r="J1253" s="8">
        <v>46205</v>
      </c>
      <c r="K1253" t="s">
        <v>846</v>
      </c>
    </row>
    <row r="1254" spans="1:11" x14ac:dyDescent="0.3">
      <c r="A1254" t="s">
        <v>1771</v>
      </c>
      <c r="B1254" t="s">
        <v>864</v>
      </c>
      <c r="C1254" t="s">
        <v>99</v>
      </c>
      <c r="D1254" t="s">
        <v>36</v>
      </c>
      <c r="E1254" t="s">
        <v>77</v>
      </c>
      <c r="F1254">
        <v>3515000</v>
      </c>
      <c r="G1254">
        <v>35.15</v>
      </c>
      <c r="H1254" t="s">
        <v>27</v>
      </c>
      <c r="I1254" t="s">
        <v>28</v>
      </c>
      <c r="J1254" s="8">
        <v>46205</v>
      </c>
      <c r="K1254" t="s">
        <v>54</v>
      </c>
    </row>
    <row r="1255" spans="1:11" x14ac:dyDescent="0.3">
      <c r="A1255" t="s">
        <v>1771</v>
      </c>
      <c r="B1255" t="s">
        <v>864</v>
      </c>
      <c r="C1255" t="s">
        <v>99</v>
      </c>
      <c r="D1255" t="s">
        <v>36</v>
      </c>
      <c r="E1255" t="s">
        <v>77</v>
      </c>
      <c r="F1255">
        <v>3515000</v>
      </c>
      <c r="G1255">
        <v>35.15</v>
      </c>
      <c r="H1255" t="s">
        <v>27</v>
      </c>
      <c r="I1255" t="s">
        <v>28</v>
      </c>
      <c r="J1255" s="8">
        <v>46205</v>
      </c>
      <c r="K1255" t="s">
        <v>21</v>
      </c>
    </row>
    <row r="1256" spans="1:11" x14ac:dyDescent="0.3">
      <c r="A1256" t="s">
        <v>1773</v>
      </c>
      <c r="B1256" t="s">
        <v>864</v>
      </c>
      <c r="C1256" t="s">
        <v>865</v>
      </c>
      <c r="D1256" t="s">
        <v>26</v>
      </c>
      <c r="E1256" t="s">
        <v>16</v>
      </c>
      <c r="F1256">
        <v>705000</v>
      </c>
      <c r="G1256">
        <v>7.05</v>
      </c>
      <c r="H1256" t="s">
        <v>27</v>
      </c>
      <c r="I1256" t="s">
        <v>845</v>
      </c>
      <c r="J1256" s="8">
        <v>46166</v>
      </c>
      <c r="K1256" t="s">
        <v>846</v>
      </c>
    </row>
    <row r="1257" spans="1:11" x14ac:dyDescent="0.3">
      <c r="A1257" t="s">
        <v>1773</v>
      </c>
      <c r="B1257" t="s">
        <v>864</v>
      </c>
      <c r="C1257" t="s">
        <v>865</v>
      </c>
      <c r="D1257" t="s">
        <v>26</v>
      </c>
      <c r="E1257" t="s">
        <v>16</v>
      </c>
      <c r="F1257">
        <v>705000</v>
      </c>
      <c r="G1257">
        <v>7.05</v>
      </c>
      <c r="H1257" t="s">
        <v>27</v>
      </c>
      <c r="I1257" t="s">
        <v>845</v>
      </c>
      <c r="J1257" s="8">
        <v>46166</v>
      </c>
      <c r="K1257" t="s">
        <v>45</v>
      </c>
    </row>
    <row r="1258" spans="1:11" x14ac:dyDescent="0.3">
      <c r="A1258" t="s">
        <v>1773</v>
      </c>
      <c r="B1258" t="s">
        <v>864</v>
      </c>
      <c r="C1258" t="s">
        <v>865</v>
      </c>
      <c r="D1258" t="s">
        <v>26</v>
      </c>
      <c r="E1258" t="s">
        <v>16</v>
      </c>
      <c r="F1258">
        <v>705000</v>
      </c>
      <c r="G1258">
        <v>7.05</v>
      </c>
      <c r="H1258" t="s">
        <v>27</v>
      </c>
      <c r="I1258" t="s">
        <v>845</v>
      </c>
      <c r="J1258" s="8">
        <v>46166</v>
      </c>
      <c r="K1258" t="s">
        <v>31</v>
      </c>
    </row>
    <row r="1259" spans="1:11" x14ac:dyDescent="0.3">
      <c r="A1259" t="s">
        <v>1775</v>
      </c>
      <c r="B1259" t="s">
        <v>960</v>
      </c>
      <c r="C1259" t="s">
        <v>919</v>
      </c>
      <c r="D1259" t="s">
        <v>44</v>
      </c>
      <c r="E1259" t="s">
        <v>52</v>
      </c>
      <c r="F1259">
        <v>585000</v>
      </c>
      <c r="G1259">
        <v>5.85</v>
      </c>
      <c r="H1259" t="s">
        <v>27</v>
      </c>
      <c r="I1259" t="s">
        <v>59</v>
      </c>
      <c r="J1259" s="8">
        <v>46087</v>
      </c>
      <c r="K1259" t="s">
        <v>937</v>
      </c>
    </row>
    <row r="1260" spans="1:11" x14ac:dyDescent="0.3">
      <c r="A1260" t="s">
        <v>1775</v>
      </c>
      <c r="B1260" t="s">
        <v>960</v>
      </c>
      <c r="C1260" t="s">
        <v>919</v>
      </c>
      <c r="D1260" t="s">
        <v>44</v>
      </c>
      <c r="E1260" t="s">
        <v>52</v>
      </c>
      <c r="F1260">
        <v>585000</v>
      </c>
      <c r="G1260">
        <v>5.85</v>
      </c>
      <c r="H1260" t="s">
        <v>27</v>
      </c>
      <c r="I1260" t="s">
        <v>59</v>
      </c>
      <c r="J1260" s="8">
        <v>46087</v>
      </c>
      <c r="K1260" t="s">
        <v>30</v>
      </c>
    </row>
    <row r="1261" spans="1:11" x14ac:dyDescent="0.3">
      <c r="A1261" t="s">
        <v>1775</v>
      </c>
      <c r="B1261" t="s">
        <v>960</v>
      </c>
      <c r="C1261" t="s">
        <v>919</v>
      </c>
      <c r="D1261" t="s">
        <v>44</v>
      </c>
      <c r="E1261" t="s">
        <v>52</v>
      </c>
      <c r="F1261">
        <v>585000</v>
      </c>
      <c r="G1261">
        <v>5.85</v>
      </c>
      <c r="H1261" t="s">
        <v>27</v>
      </c>
      <c r="I1261" t="s">
        <v>59</v>
      </c>
      <c r="J1261" s="8">
        <v>46087</v>
      </c>
      <c r="K1261" t="s">
        <v>878</v>
      </c>
    </row>
    <row r="1262" spans="1:11" x14ac:dyDescent="0.3">
      <c r="A1262" t="s">
        <v>1776</v>
      </c>
      <c r="B1262" t="s">
        <v>24</v>
      </c>
      <c r="C1262" t="s">
        <v>1278</v>
      </c>
      <c r="D1262" t="s">
        <v>26</v>
      </c>
      <c r="E1262" t="s">
        <v>52</v>
      </c>
      <c r="F1262">
        <v>340000</v>
      </c>
      <c r="G1262">
        <v>3.4</v>
      </c>
      <c r="H1262" t="s">
        <v>53</v>
      </c>
      <c r="I1262" t="s">
        <v>28</v>
      </c>
      <c r="J1262" s="8">
        <v>46121</v>
      </c>
      <c r="K1262" t="s">
        <v>46</v>
      </c>
    </row>
    <row r="1263" spans="1:11" x14ac:dyDescent="0.3">
      <c r="A1263" t="s">
        <v>1776</v>
      </c>
      <c r="B1263" t="s">
        <v>24</v>
      </c>
      <c r="C1263" t="s">
        <v>1278</v>
      </c>
      <c r="D1263" t="s">
        <v>26</v>
      </c>
      <c r="E1263" t="s">
        <v>52</v>
      </c>
      <c r="F1263">
        <v>340000</v>
      </c>
      <c r="G1263">
        <v>3.4</v>
      </c>
      <c r="H1263" t="s">
        <v>53</v>
      </c>
      <c r="I1263" t="s">
        <v>28</v>
      </c>
      <c r="J1263" s="8">
        <v>46121</v>
      </c>
      <c r="K1263" t="s">
        <v>908</v>
      </c>
    </row>
    <row r="1264" spans="1:11" x14ac:dyDescent="0.3">
      <c r="A1264" t="s">
        <v>1776</v>
      </c>
      <c r="B1264" t="s">
        <v>24</v>
      </c>
      <c r="C1264" t="s">
        <v>1278</v>
      </c>
      <c r="D1264" t="s">
        <v>26</v>
      </c>
      <c r="E1264" t="s">
        <v>52</v>
      </c>
      <c r="F1264">
        <v>340000</v>
      </c>
      <c r="G1264">
        <v>3.4</v>
      </c>
      <c r="H1264" t="s">
        <v>53</v>
      </c>
      <c r="I1264" t="s">
        <v>28</v>
      </c>
      <c r="J1264" s="8">
        <v>46121</v>
      </c>
      <c r="K1264" t="s">
        <v>846</v>
      </c>
    </row>
    <row r="1265" spans="1:11" x14ac:dyDescent="0.3">
      <c r="A1265" t="s">
        <v>1778</v>
      </c>
      <c r="B1265" t="s">
        <v>42</v>
      </c>
      <c r="C1265" t="s">
        <v>217</v>
      </c>
      <c r="D1265" t="s">
        <v>76</v>
      </c>
      <c r="E1265" t="s">
        <v>116</v>
      </c>
      <c r="F1265">
        <v>1010000</v>
      </c>
      <c r="G1265">
        <v>10.1</v>
      </c>
      <c r="H1265" t="s">
        <v>27</v>
      </c>
      <c r="I1265" t="s">
        <v>28</v>
      </c>
      <c r="J1265" s="8">
        <v>46162</v>
      </c>
      <c r="K1265" t="s">
        <v>908</v>
      </c>
    </row>
    <row r="1266" spans="1:11" x14ac:dyDescent="0.3">
      <c r="A1266" t="s">
        <v>1778</v>
      </c>
      <c r="B1266" t="s">
        <v>42</v>
      </c>
      <c r="C1266" t="s">
        <v>217</v>
      </c>
      <c r="D1266" t="s">
        <v>76</v>
      </c>
      <c r="E1266" t="s">
        <v>116</v>
      </c>
      <c r="F1266">
        <v>1010000</v>
      </c>
      <c r="G1266">
        <v>10.1</v>
      </c>
      <c r="H1266" t="s">
        <v>27</v>
      </c>
      <c r="I1266" t="s">
        <v>28</v>
      </c>
      <c r="J1266" s="8">
        <v>46162</v>
      </c>
      <c r="K1266" t="s">
        <v>30</v>
      </c>
    </row>
    <row r="1267" spans="1:11" x14ac:dyDescent="0.3">
      <c r="A1267" t="s">
        <v>1778</v>
      </c>
      <c r="B1267" t="s">
        <v>42</v>
      </c>
      <c r="C1267" t="s">
        <v>217</v>
      </c>
      <c r="D1267" t="s">
        <v>76</v>
      </c>
      <c r="E1267" t="s">
        <v>116</v>
      </c>
      <c r="F1267">
        <v>1010000</v>
      </c>
      <c r="G1267">
        <v>10.1</v>
      </c>
      <c r="H1267" t="s">
        <v>27</v>
      </c>
      <c r="I1267" t="s">
        <v>28</v>
      </c>
      <c r="J1267" s="8">
        <v>46162</v>
      </c>
      <c r="K1267" t="s">
        <v>29</v>
      </c>
    </row>
    <row r="1268" spans="1:11" x14ac:dyDescent="0.3">
      <c r="A1268" t="s">
        <v>1780</v>
      </c>
      <c r="B1268" t="s">
        <v>42</v>
      </c>
      <c r="C1268" t="s">
        <v>130</v>
      </c>
      <c r="D1268" t="s">
        <v>76</v>
      </c>
      <c r="E1268" t="s">
        <v>116</v>
      </c>
      <c r="F1268">
        <v>1170000</v>
      </c>
      <c r="G1268">
        <v>11.7</v>
      </c>
      <c r="H1268" t="s">
        <v>27</v>
      </c>
      <c r="I1268" t="s">
        <v>28</v>
      </c>
      <c r="J1268" s="8">
        <v>46257</v>
      </c>
      <c r="K1268" t="s">
        <v>29</v>
      </c>
    </row>
    <row r="1269" spans="1:11" x14ac:dyDescent="0.3">
      <c r="A1269" t="s">
        <v>1780</v>
      </c>
      <c r="B1269" t="s">
        <v>42</v>
      </c>
      <c r="C1269" t="s">
        <v>130</v>
      </c>
      <c r="D1269" t="s">
        <v>76</v>
      </c>
      <c r="E1269" t="s">
        <v>116</v>
      </c>
      <c r="F1269">
        <v>1170000</v>
      </c>
      <c r="G1269">
        <v>11.7</v>
      </c>
      <c r="H1269" t="s">
        <v>27</v>
      </c>
      <c r="I1269" t="s">
        <v>28</v>
      </c>
      <c r="J1269" s="8">
        <v>46257</v>
      </c>
      <c r="K1269" t="s">
        <v>854</v>
      </c>
    </row>
    <row r="1270" spans="1:11" x14ac:dyDescent="0.3">
      <c r="A1270" t="s">
        <v>1780</v>
      </c>
      <c r="B1270" t="s">
        <v>42</v>
      </c>
      <c r="C1270" t="s">
        <v>130</v>
      </c>
      <c r="D1270" t="s">
        <v>76</v>
      </c>
      <c r="E1270" t="s">
        <v>116</v>
      </c>
      <c r="F1270">
        <v>1170000</v>
      </c>
      <c r="G1270">
        <v>11.7</v>
      </c>
      <c r="H1270" t="s">
        <v>27</v>
      </c>
      <c r="I1270" t="s">
        <v>28</v>
      </c>
      <c r="J1270" s="8">
        <v>46257</v>
      </c>
      <c r="K1270" t="s">
        <v>20</v>
      </c>
    </row>
    <row r="1271" spans="1:11" x14ac:dyDescent="0.3">
      <c r="A1271" t="s">
        <v>1782</v>
      </c>
      <c r="B1271" t="s">
        <v>852</v>
      </c>
      <c r="C1271" t="s">
        <v>865</v>
      </c>
      <c r="D1271" t="s">
        <v>81</v>
      </c>
      <c r="E1271" t="s">
        <v>16</v>
      </c>
      <c r="F1271">
        <v>665000</v>
      </c>
      <c r="G1271">
        <v>6.65</v>
      </c>
      <c r="H1271" t="s">
        <v>27</v>
      </c>
      <c r="I1271" t="s">
        <v>845</v>
      </c>
      <c r="J1271" s="8">
        <v>46076</v>
      </c>
      <c r="K1271" t="s">
        <v>30</v>
      </c>
    </row>
    <row r="1272" spans="1:11" x14ac:dyDescent="0.3">
      <c r="A1272" t="s">
        <v>1782</v>
      </c>
      <c r="B1272" t="s">
        <v>852</v>
      </c>
      <c r="C1272" t="s">
        <v>865</v>
      </c>
      <c r="D1272" t="s">
        <v>81</v>
      </c>
      <c r="E1272" t="s">
        <v>16</v>
      </c>
      <c r="F1272">
        <v>665000</v>
      </c>
      <c r="G1272">
        <v>6.65</v>
      </c>
      <c r="H1272" t="s">
        <v>27</v>
      </c>
      <c r="I1272" t="s">
        <v>845</v>
      </c>
      <c r="J1272" s="8">
        <v>46076</v>
      </c>
      <c r="K1272" t="s">
        <v>54</v>
      </c>
    </row>
    <row r="1273" spans="1:11" x14ac:dyDescent="0.3">
      <c r="A1273" t="s">
        <v>1782</v>
      </c>
      <c r="B1273" t="s">
        <v>852</v>
      </c>
      <c r="C1273" t="s">
        <v>865</v>
      </c>
      <c r="D1273" t="s">
        <v>81</v>
      </c>
      <c r="E1273" t="s">
        <v>16</v>
      </c>
      <c r="F1273">
        <v>665000</v>
      </c>
      <c r="G1273">
        <v>6.65</v>
      </c>
      <c r="H1273" t="s">
        <v>27</v>
      </c>
      <c r="I1273" t="s">
        <v>845</v>
      </c>
      <c r="J1273" s="8">
        <v>46076</v>
      </c>
      <c r="K1273" t="s">
        <v>45</v>
      </c>
    </row>
    <row r="1274" spans="1:11" x14ac:dyDescent="0.3">
      <c r="A1274" t="s">
        <v>1783</v>
      </c>
      <c r="B1274" t="s">
        <v>62</v>
      </c>
      <c r="C1274" t="s">
        <v>191</v>
      </c>
      <c r="D1274" t="s">
        <v>96</v>
      </c>
      <c r="E1274" t="s">
        <v>52</v>
      </c>
      <c r="F1274">
        <v>540000</v>
      </c>
      <c r="G1274">
        <v>5.4</v>
      </c>
      <c r="H1274" t="s">
        <v>27</v>
      </c>
      <c r="I1274" t="s">
        <v>28</v>
      </c>
      <c r="J1274" s="8">
        <v>46100</v>
      </c>
      <c r="K1274" t="s">
        <v>30</v>
      </c>
    </row>
    <row r="1275" spans="1:11" x14ac:dyDescent="0.3">
      <c r="A1275" t="s">
        <v>1783</v>
      </c>
      <c r="B1275" t="s">
        <v>62</v>
      </c>
      <c r="C1275" t="s">
        <v>191</v>
      </c>
      <c r="D1275" t="s">
        <v>96</v>
      </c>
      <c r="E1275" t="s">
        <v>52</v>
      </c>
      <c r="F1275">
        <v>540000</v>
      </c>
      <c r="G1275">
        <v>5.4</v>
      </c>
      <c r="H1275" t="s">
        <v>27</v>
      </c>
      <c r="I1275" t="s">
        <v>28</v>
      </c>
      <c r="J1275" s="8">
        <v>46100</v>
      </c>
      <c r="K1275" t="s">
        <v>878</v>
      </c>
    </row>
    <row r="1276" spans="1:11" x14ac:dyDescent="0.3">
      <c r="A1276" t="s">
        <v>1783</v>
      </c>
      <c r="B1276" t="s">
        <v>62</v>
      </c>
      <c r="C1276" t="s">
        <v>191</v>
      </c>
      <c r="D1276" t="s">
        <v>96</v>
      </c>
      <c r="E1276" t="s">
        <v>52</v>
      </c>
      <c r="F1276">
        <v>540000</v>
      </c>
      <c r="G1276">
        <v>5.4</v>
      </c>
      <c r="H1276" t="s">
        <v>27</v>
      </c>
      <c r="I1276" t="s">
        <v>28</v>
      </c>
      <c r="J1276" s="8">
        <v>46100</v>
      </c>
      <c r="K1276" t="s">
        <v>46</v>
      </c>
    </row>
    <row r="1277" spans="1:11" x14ac:dyDescent="0.3">
      <c r="A1277" t="s">
        <v>1784</v>
      </c>
      <c r="B1277" t="s">
        <v>49</v>
      </c>
      <c r="C1277" t="s">
        <v>130</v>
      </c>
      <c r="D1277" t="s">
        <v>64</v>
      </c>
      <c r="E1277" t="s">
        <v>37</v>
      </c>
      <c r="F1277">
        <v>1840000</v>
      </c>
      <c r="G1277">
        <v>18.399999999999999</v>
      </c>
      <c r="H1277" t="s">
        <v>27</v>
      </c>
      <c r="I1277" t="s">
        <v>845</v>
      </c>
      <c r="J1277" s="8">
        <v>46168</v>
      </c>
      <c r="K1277" t="s">
        <v>937</v>
      </c>
    </row>
    <row r="1278" spans="1:11" x14ac:dyDescent="0.3">
      <c r="A1278" t="s">
        <v>1784</v>
      </c>
      <c r="B1278" t="s">
        <v>49</v>
      </c>
      <c r="C1278" t="s">
        <v>130</v>
      </c>
      <c r="D1278" t="s">
        <v>64</v>
      </c>
      <c r="E1278" t="s">
        <v>37</v>
      </c>
      <c r="F1278">
        <v>1840000</v>
      </c>
      <c r="G1278">
        <v>18.399999999999999</v>
      </c>
      <c r="H1278" t="s">
        <v>27</v>
      </c>
      <c r="I1278" t="s">
        <v>845</v>
      </c>
      <c r="J1278" s="8">
        <v>46168</v>
      </c>
      <c r="K1278" t="s">
        <v>21</v>
      </c>
    </row>
    <row r="1279" spans="1:11" x14ac:dyDescent="0.3">
      <c r="A1279" t="s">
        <v>1784</v>
      </c>
      <c r="B1279" t="s">
        <v>49</v>
      </c>
      <c r="C1279" t="s">
        <v>130</v>
      </c>
      <c r="D1279" t="s">
        <v>64</v>
      </c>
      <c r="E1279" t="s">
        <v>37</v>
      </c>
      <c r="F1279">
        <v>1840000</v>
      </c>
      <c r="G1279">
        <v>18.399999999999999</v>
      </c>
      <c r="H1279" t="s">
        <v>27</v>
      </c>
      <c r="I1279" t="s">
        <v>845</v>
      </c>
      <c r="J1279" s="8">
        <v>46168</v>
      </c>
      <c r="K1279" t="s">
        <v>31</v>
      </c>
    </row>
    <row r="1280" spans="1:11" x14ac:dyDescent="0.3">
      <c r="A1280" t="s">
        <v>1786</v>
      </c>
      <c r="B1280" t="s">
        <v>49</v>
      </c>
      <c r="C1280" t="s">
        <v>689</v>
      </c>
      <c r="D1280" t="s">
        <v>76</v>
      </c>
      <c r="E1280" t="s">
        <v>16</v>
      </c>
      <c r="F1280">
        <v>985000</v>
      </c>
      <c r="G1280">
        <v>9.85</v>
      </c>
      <c r="H1280" t="s">
        <v>27</v>
      </c>
      <c r="I1280" t="s">
        <v>28</v>
      </c>
      <c r="J1280" s="8">
        <v>46211</v>
      </c>
      <c r="K1280" t="s">
        <v>54</v>
      </c>
    </row>
    <row r="1281" spans="1:11" x14ac:dyDescent="0.3">
      <c r="A1281" t="s">
        <v>1786</v>
      </c>
      <c r="B1281" t="s">
        <v>49</v>
      </c>
      <c r="C1281" t="s">
        <v>689</v>
      </c>
      <c r="D1281" t="s">
        <v>76</v>
      </c>
      <c r="E1281" t="s">
        <v>16</v>
      </c>
      <c r="F1281">
        <v>985000</v>
      </c>
      <c r="G1281">
        <v>9.85</v>
      </c>
      <c r="H1281" t="s">
        <v>27</v>
      </c>
      <c r="I1281" t="s">
        <v>28</v>
      </c>
      <c r="J1281" s="8">
        <v>46211</v>
      </c>
      <c r="K1281" t="s">
        <v>846</v>
      </c>
    </row>
    <row r="1282" spans="1:11" x14ac:dyDescent="0.3">
      <c r="A1282" t="s">
        <v>1786</v>
      </c>
      <c r="B1282" t="s">
        <v>49</v>
      </c>
      <c r="C1282" t="s">
        <v>689</v>
      </c>
      <c r="D1282" t="s">
        <v>76</v>
      </c>
      <c r="E1282" t="s">
        <v>16</v>
      </c>
      <c r="F1282">
        <v>985000</v>
      </c>
      <c r="G1282">
        <v>9.85</v>
      </c>
      <c r="H1282" t="s">
        <v>27</v>
      </c>
      <c r="I1282" t="s">
        <v>28</v>
      </c>
      <c r="J1282" s="8">
        <v>46211</v>
      </c>
      <c r="K1282" t="s">
        <v>21</v>
      </c>
    </row>
    <row r="1283" spans="1:11" x14ac:dyDescent="0.3">
      <c r="A1283" t="s">
        <v>1788</v>
      </c>
      <c r="B1283" t="s">
        <v>852</v>
      </c>
      <c r="C1283" t="s">
        <v>334</v>
      </c>
      <c r="D1283" t="s">
        <v>36</v>
      </c>
      <c r="E1283" t="s">
        <v>37</v>
      </c>
      <c r="F1283">
        <v>1355000</v>
      </c>
      <c r="G1283">
        <v>13.55</v>
      </c>
      <c r="H1283" t="s">
        <v>17</v>
      </c>
      <c r="I1283" t="s">
        <v>28</v>
      </c>
      <c r="J1283" s="8">
        <v>46138</v>
      </c>
      <c r="K1283" t="s">
        <v>20</v>
      </c>
    </row>
    <row r="1284" spans="1:11" x14ac:dyDescent="0.3">
      <c r="A1284" t="s">
        <v>1788</v>
      </c>
      <c r="B1284" t="s">
        <v>852</v>
      </c>
      <c r="C1284" t="s">
        <v>334</v>
      </c>
      <c r="D1284" t="s">
        <v>36</v>
      </c>
      <c r="E1284" t="s">
        <v>37</v>
      </c>
      <c r="F1284">
        <v>1355000</v>
      </c>
      <c r="G1284">
        <v>13.55</v>
      </c>
      <c r="H1284" t="s">
        <v>17</v>
      </c>
      <c r="I1284" t="s">
        <v>28</v>
      </c>
      <c r="J1284" s="8">
        <v>46138</v>
      </c>
      <c r="K1284" t="s">
        <v>874</v>
      </c>
    </row>
    <row r="1285" spans="1:11" x14ac:dyDescent="0.3">
      <c r="A1285" t="s">
        <v>1788</v>
      </c>
      <c r="B1285" t="s">
        <v>852</v>
      </c>
      <c r="C1285" t="s">
        <v>334</v>
      </c>
      <c r="D1285" t="s">
        <v>36</v>
      </c>
      <c r="E1285" t="s">
        <v>37</v>
      </c>
      <c r="F1285">
        <v>1355000</v>
      </c>
      <c r="G1285">
        <v>13.55</v>
      </c>
      <c r="H1285" t="s">
        <v>17</v>
      </c>
      <c r="I1285" t="s">
        <v>28</v>
      </c>
      <c r="J1285" s="8">
        <v>46138</v>
      </c>
      <c r="K1285" t="s">
        <v>39</v>
      </c>
    </row>
    <row r="1286" spans="1:11" x14ac:dyDescent="0.3">
      <c r="A1286" t="s">
        <v>1789</v>
      </c>
      <c r="B1286" t="s">
        <v>996</v>
      </c>
      <c r="C1286" t="s">
        <v>172</v>
      </c>
      <c r="D1286" t="s">
        <v>64</v>
      </c>
      <c r="E1286" t="s">
        <v>52</v>
      </c>
      <c r="F1286">
        <v>405000</v>
      </c>
      <c r="G1286">
        <v>4.05</v>
      </c>
      <c r="H1286" t="s">
        <v>27</v>
      </c>
      <c r="I1286" t="s">
        <v>845</v>
      </c>
      <c r="J1286" s="8">
        <v>46199</v>
      </c>
      <c r="K1286" t="s">
        <v>29</v>
      </c>
    </row>
    <row r="1287" spans="1:11" x14ac:dyDescent="0.3">
      <c r="A1287" t="s">
        <v>1789</v>
      </c>
      <c r="B1287" t="s">
        <v>996</v>
      </c>
      <c r="C1287" t="s">
        <v>172</v>
      </c>
      <c r="D1287" t="s">
        <v>64</v>
      </c>
      <c r="E1287" t="s">
        <v>52</v>
      </c>
      <c r="F1287">
        <v>405000</v>
      </c>
      <c r="G1287">
        <v>4.05</v>
      </c>
      <c r="H1287" t="s">
        <v>27</v>
      </c>
      <c r="I1287" t="s">
        <v>845</v>
      </c>
      <c r="J1287" s="8">
        <v>46199</v>
      </c>
      <c r="K1287" t="s">
        <v>20</v>
      </c>
    </row>
    <row r="1288" spans="1:11" x14ac:dyDescent="0.3">
      <c r="A1288" t="s">
        <v>1789</v>
      </c>
      <c r="B1288" t="s">
        <v>996</v>
      </c>
      <c r="C1288" t="s">
        <v>172</v>
      </c>
      <c r="D1288" t="s">
        <v>64</v>
      </c>
      <c r="E1288" t="s">
        <v>52</v>
      </c>
      <c r="F1288">
        <v>405000</v>
      </c>
      <c r="G1288">
        <v>4.05</v>
      </c>
      <c r="H1288" t="s">
        <v>27</v>
      </c>
      <c r="I1288" t="s">
        <v>845</v>
      </c>
      <c r="J1288" s="8">
        <v>46199</v>
      </c>
      <c r="K1288" t="s">
        <v>46</v>
      </c>
    </row>
    <row r="1289" spans="1:11" x14ac:dyDescent="0.3">
      <c r="A1289" t="s">
        <v>1790</v>
      </c>
      <c r="B1289" t="s">
        <v>996</v>
      </c>
      <c r="C1289" t="s">
        <v>80</v>
      </c>
      <c r="D1289" t="s">
        <v>36</v>
      </c>
      <c r="E1289" t="s">
        <v>77</v>
      </c>
      <c r="F1289">
        <v>3015000</v>
      </c>
      <c r="G1289">
        <v>30.15</v>
      </c>
      <c r="H1289" t="s">
        <v>17</v>
      </c>
      <c r="I1289" t="s">
        <v>28</v>
      </c>
      <c r="J1289" s="8">
        <v>46035</v>
      </c>
      <c r="K1289" t="s">
        <v>937</v>
      </c>
    </row>
    <row r="1290" spans="1:11" x14ac:dyDescent="0.3">
      <c r="A1290" t="s">
        <v>1790</v>
      </c>
      <c r="B1290" t="s">
        <v>996</v>
      </c>
      <c r="C1290" t="s">
        <v>80</v>
      </c>
      <c r="D1290" t="s">
        <v>36</v>
      </c>
      <c r="E1290" t="s">
        <v>77</v>
      </c>
      <c r="F1290">
        <v>3015000</v>
      </c>
      <c r="G1290">
        <v>30.15</v>
      </c>
      <c r="H1290" t="s">
        <v>17</v>
      </c>
      <c r="I1290" t="s">
        <v>28</v>
      </c>
      <c r="J1290" s="8">
        <v>46035</v>
      </c>
      <c r="K1290" t="s">
        <v>21</v>
      </c>
    </row>
    <row r="1291" spans="1:11" x14ac:dyDescent="0.3">
      <c r="A1291" t="s">
        <v>1790</v>
      </c>
      <c r="B1291" t="s">
        <v>996</v>
      </c>
      <c r="C1291" t="s">
        <v>80</v>
      </c>
      <c r="D1291" t="s">
        <v>36</v>
      </c>
      <c r="E1291" t="s">
        <v>77</v>
      </c>
      <c r="F1291">
        <v>3015000</v>
      </c>
      <c r="G1291">
        <v>30.15</v>
      </c>
      <c r="H1291" t="s">
        <v>17</v>
      </c>
      <c r="I1291" t="s">
        <v>28</v>
      </c>
      <c r="J1291" s="8">
        <v>46035</v>
      </c>
      <c r="K1291" t="s">
        <v>39</v>
      </c>
    </row>
    <row r="1292" spans="1:11" x14ac:dyDescent="0.3">
      <c r="A1292" t="s">
        <v>1792</v>
      </c>
      <c r="B1292" t="s">
        <v>960</v>
      </c>
      <c r="C1292" t="s">
        <v>109</v>
      </c>
      <c r="D1292" t="s">
        <v>64</v>
      </c>
      <c r="E1292" t="s">
        <v>37</v>
      </c>
      <c r="F1292">
        <v>1125000</v>
      </c>
      <c r="G1292">
        <v>11.25</v>
      </c>
      <c r="H1292" t="s">
        <v>27</v>
      </c>
      <c r="I1292" t="s">
        <v>28</v>
      </c>
      <c r="J1292" s="8">
        <v>46122</v>
      </c>
      <c r="K1292" t="s">
        <v>46</v>
      </c>
    </row>
    <row r="1293" spans="1:11" x14ac:dyDescent="0.3">
      <c r="A1293" t="s">
        <v>1792</v>
      </c>
      <c r="B1293" t="s">
        <v>960</v>
      </c>
      <c r="C1293" t="s">
        <v>109</v>
      </c>
      <c r="D1293" t="s">
        <v>64</v>
      </c>
      <c r="E1293" t="s">
        <v>37</v>
      </c>
      <c r="F1293">
        <v>1125000</v>
      </c>
      <c r="G1293">
        <v>11.25</v>
      </c>
      <c r="H1293" t="s">
        <v>27</v>
      </c>
      <c r="I1293" t="s">
        <v>28</v>
      </c>
      <c r="J1293" s="8">
        <v>46122</v>
      </c>
      <c r="K1293" t="s">
        <v>937</v>
      </c>
    </row>
    <row r="1294" spans="1:11" x14ac:dyDescent="0.3">
      <c r="A1294" t="s">
        <v>1792</v>
      </c>
      <c r="B1294" t="s">
        <v>960</v>
      </c>
      <c r="C1294" t="s">
        <v>109</v>
      </c>
      <c r="D1294" t="s">
        <v>64</v>
      </c>
      <c r="E1294" t="s">
        <v>37</v>
      </c>
      <c r="F1294">
        <v>1125000</v>
      </c>
      <c r="G1294">
        <v>11.25</v>
      </c>
      <c r="H1294" t="s">
        <v>27</v>
      </c>
      <c r="I1294" t="s">
        <v>28</v>
      </c>
      <c r="J1294" s="8">
        <v>46122</v>
      </c>
      <c r="K1294" t="s">
        <v>846</v>
      </c>
    </row>
    <row r="1295" spans="1:11" x14ac:dyDescent="0.3">
      <c r="A1295" t="s">
        <v>1793</v>
      </c>
      <c r="B1295" t="s">
        <v>864</v>
      </c>
      <c r="C1295" t="s">
        <v>123</v>
      </c>
      <c r="D1295" t="s">
        <v>15</v>
      </c>
      <c r="E1295" t="s">
        <v>116</v>
      </c>
      <c r="F1295">
        <v>965000</v>
      </c>
      <c r="G1295">
        <v>9.65</v>
      </c>
      <c r="H1295" t="s">
        <v>17</v>
      </c>
      <c r="I1295" t="s">
        <v>28</v>
      </c>
      <c r="J1295" s="8">
        <v>46057</v>
      </c>
      <c r="K1295" t="s">
        <v>45</v>
      </c>
    </row>
    <row r="1296" spans="1:11" x14ac:dyDescent="0.3">
      <c r="A1296" t="s">
        <v>1793</v>
      </c>
      <c r="B1296" t="s">
        <v>864</v>
      </c>
      <c r="C1296" t="s">
        <v>123</v>
      </c>
      <c r="D1296" t="s">
        <v>15</v>
      </c>
      <c r="E1296" t="s">
        <v>116</v>
      </c>
      <c r="F1296">
        <v>965000</v>
      </c>
      <c r="G1296">
        <v>9.65</v>
      </c>
      <c r="H1296" t="s">
        <v>17</v>
      </c>
      <c r="I1296" t="s">
        <v>28</v>
      </c>
      <c r="J1296" s="8">
        <v>46057</v>
      </c>
      <c r="K1296" t="s">
        <v>21</v>
      </c>
    </row>
    <row r="1297" spans="1:11" x14ac:dyDescent="0.3">
      <c r="A1297" t="s">
        <v>1793</v>
      </c>
      <c r="B1297" t="s">
        <v>864</v>
      </c>
      <c r="C1297" t="s">
        <v>123</v>
      </c>
      <c r="D1297" t="s">
        <v>15</v>
      </c>
      <c r="E1297" t="s">
        <v>116</v>
      </c>
      <c r="F1297">
        <v>965000</v>
      </c>
      <c r="G1297">
        <v>9.65</v>
      </c>
      <c r="H1297" t="s">
        <v>17</v>
      </c>
      <c r="I1297" t="s">
        <v>28</v>
      </c>
      <c r="J1297" s="8">
        <v>46057</v>
      </c>
      <c r="K1297" t="s">
        <v>908</v>
      </c>
    </row>
    <row r="1298" spans="1:11" x14ac:dyDescent="0.3">
      <c r="A1298" t="s">
        <v>1795</v>
      </c>
      <c r="B1298" t="s">
        <v>24</v>
      </c>
      <c r="C1298" t="s">
        <v>242</v>
      </c>
      <c r="D1298" t="s">
        <v>81</v>
      </c>
      <c r="E1298" t="s">
        <v>52</v>
      </c>
      <c r="F1298">
        <v>555000</v>
      </c>
      <c r="G1298">
        <v>5.55</v>
      </c>
      <c r="H1298" t="s">
        <v>17</v>
      </c>
      <c r="I1298" t="s">
        <v>845</v>
      </c>
      <c r="J1298" s="8">
        <v>46030</v>
      </c>
      <c r="K1298" t="s">
        <v>874</v>
      </c>
    </row>
    <row r="1299" spans="1:11" x14ac:dyDescent="0.3">
      <c r="A1299" t="s">
        <v>1795</v>
      </c>
      <c r="B1299" t="s">
        <v>24</v>
      </c>
      <c r="C1299" t="s">
        <v>242</v>
      </c>
      <c r="D1299" t="s">
        <v>81</v>
      </c>
      <c r="E1299" t="s">
        <v>52</v>
      </c>
      <c r="F1299">
        <v>555000</v>
      </c>
      <c r="G1299">
        <v>5.55</v>
      </c>
      <c r="H1299" t="s">
        <v>17</v>
      </c>
      <c r="I1299" t="s">
        <v>845</v>
      </c>
      <c r="J1299" s="8">
        <v>46030</v>
      </c>
      <c r="K1299" t="s">
        <v>46</v>
      </c>
    </row>
    <row r="1300" spans="1:11" x14ac:dyDescent="0.3">
      <c r="A1300" t="s">
        <v>1795</v>
      </c>
      <c r="B1300" t="s">
        <v>24</v>
      </c>
      <c r="C1300" t="s">
        <v>242</v>
      </c>
      <c r="D1300" t="s">
        <v>81</v>
      </c>
      <c r="E1300" t="s">
        <v>52</v>
      </c>
      <c r="F1300">
        <v>555000</v>
      </c>
      <c r="G1300">
        <v>5.55</v>
      </c>
      <c r="H1300" t="s">
        <v>17</v>
      </c>
      <c r="I1300" t="s">
        <v>845</v>
      </c>
      <c r="J1300" s="8">
        <v>46030</v>
      </c>
      <c r="K1300" t="s">
        <v>45</v>
      </c>
    </row>
    <row r="1301" spans="1:11" x14ac:dyDescent="0.3">
      <c r="A1301" t="s">
        <v>1797</v>
      </c>
      <c r="B1301" t="s">
        <v>996</v>
      </c>
      <c r="C1301" t="s">
        <v>441</v>
      </c>
      <c r="D1301" t="s">
        <v>26</v>
      </c>
      <c r="E1301" t="s">
        <v>77</v>
      </c>
      <c r="F1301">
        <v>4310000</v>
      </c>
      <c r="G1301">
        <v>43.1</v>
      </c>
      <c r="H1301" t="s">
        <v>27</v>
      </c>
      <c r="I1301" t="s">
        <v>59</v>
      </c>
      <c r="J1301" s="8">
        <v>46175</v>
      </c>
      <c r="K1301" t="s">
        <v>937</v>
      </c>
    </row>
    <row r="1302" spans="1:11" x14ac:dyDescent="0.3">
      <c r="A1302" t="s">
        <v>1797</v>
      </c>
      <c r="B1302" t="s">
        <v>996</v>
      </c>
      <c r="C1302" t="s">
        <v>441</v>
      </c>
      <c r="D1302" t="s">
        <v>26</v>
      </c>
      <c r="E1302" t="s">
        <v>77</v>
      </c>
      <c r="F1302">
        <v>4310000</v>
      </c>
      <c r="G1302">
        <v>43.1</v>
      </c>
      <c r="H1302" t="s">
        <v>27</v>
      </c>
      <c r="I1302" t="s">
        <v>59</v>
      </c>
      <c r="J1302" s="8">
        <v>46175</v>
      </c>
      <c r="K1302" t="s">
        <v>46</v>
      </c>
    </row>
    <row r="1303" spans="1:11" x14ac:dyDescent="0.3">
      <c r="A1303" t="s">
        <v>1797</v>
      </c>
      <c r="B1303" t="s">
        <v>996</v>
      </c>
      <c r="C1303" t="s">
        <v>441</v>
      </c>
      <c r="D1303" t="s">
        <v>26</v>
      </c>
      <c r="E1303" t="s">
        <v>77</v>
      </c>
      <c r="F1303">
        <v>4310000</v>
      </c>
      <c r="G1303">
        <v>43.1</v>
      </c>
      <c r="H1303" t="s">
        <v>27</v>
      </c>
      <c r="I1303" t="s">
        <v>59</v>
      </c>
      <c r="J1303" s="8">
        <v>46175</v>
      </c>
      <c r="K1303" t="s">
        <v>908</v>
      </c>
    </row>
    <row r="1304" spans="1:11" x14ac:dyDescent="0.3">
      <c r="A1304" t="s">
        <v>1799</v>
      </c>
      <c r="B1304" t="s">
        <v>852</v>
      </c>
      <c r="C1304" t="s">
        <v>130</v>
      </c>
      <c r="D1304" t="s">
        <v>44</v>
      </c>
      <c r="E1304" t="s">
        <v>52</v>
      </c>
      <c r="F1304">
        <v>665000</v>
      </c>
      <c r="G1304">
        <v>6.65</v>
      </c>
      <c r="H1304" t="s">
        <v>27</v>
      </c>
      <c r="I1304" t="s">
        <v>28</v>
      </c>
      <c r="J1304" s="8">
        <v>46201</v>
      </c>
      <c r="K1304" t="s">
        <v>937</v>
      </c>
    </row>
    <row r="1305" spans="1:11" x14ac:dyDescent="0.3">
      <c r="A1305" t="s">
        <v>1799</v>
      </c>
      <c r="B1305" t="s">
        <v>852</v>
      </c>
      <c r="C1305" t="s">
        <v>130</v>
      </c>
      <c r="D1305" t="s">
        <v>44</v>
      </c>
      <c r="E1305" t="s">
        <v>52</v>
      </c>
      <c r="F1305">
        <v>665000</v>
      </c>
      <c r="G1305">
        <v>6.65</v>
      </c>
      <c r="H1305" t="s">
        <v>27</v>
      </c>
      <c r="I1305" t="s">
        <v>28</v>
      </c>
      <c r="J1305" s="8">
        <v>46201</v>
      </c>
      <c r="K1305" t="s">
        <v>46</v>
      </c>
    </row>
    <row r="1306" spans="1:11" x14ac:dyDescent="0.3">
      <c r="A1306" t="s">
        <v>1799</v>
      </c>
      <c r="B1306" t="s">
        <v>852</v>
      </c>
      <c r="C1306" t="s">
        <v>130</v>
      </c>
      <c r="D1306" t="s">
        <v>44</v>
      </c>
      <c r="E1306" t="s">
        <v>52</v>
      </c>
      <c r="F1306">
        <v>665000</v>
      </c>
      <c r="G1306">
        <v>6.65</v>
      </c>
      <c r="H1306" t="s">
        <v>27</v>
      </c>
      <c r="I1306" t="s">
        <v>28</v>
      </c>
      <c r="J1306" s="8">
        <v>46201</v>
      </c>
      <c r="K1306" t="s">
        <v>878</v>
      </c>
    </row>
    <row r="1307" spans="1:11" x14ac:dyDescent="0.3">
      <c r="A1307" t="s">
        <v>1800</v>
      </c>
      <c r="B1307" t="s">
        <v>24</v>
      </c>
      <c r="C1307" t="s">
        <v>90</v>
      </c>
      <c r="D1307" t="s">
        <v>26</v>
      </c>
      <c r="E1307" t="s">
        <v>16</v>
      </c>
      <c r="F1307">
        <v>895000</v>
      </c>
      <c r="G1307">
        <v>8.9499999999999993</v>
      </c>
      <c r="H1307" t="s">
        <v>27</v>
      </c>
      <c r="I1307" t="s">
        <v>28</v>
      </c>
      <c r="J1307" s="8">
        <v>46080</v>
      </c>
      <c r="K1307" t="s">
        <v>39</v>
      </c>
    </row>
    <row r="1308" spans="1:11" x14ac:dyDescent="0.3">
      <c r="A1308" t="s">
        <v>1800</v>
      </c>
      <c r="B1308" t="s">
        <v>24</v>
      </c>
      <c r="C1308" t="s">
        <v>90</v>
      </c>
      <c r="D1308" t="s">
        <v>26</v>
      </c>
      <c r="E1308" t="s">
        <v>16</v>
      </c>
      <c r="F1308">
        <v>895000</v>
      </c>
      <c r="G1308">
        <v>8.9499999999999993</v>
      </c>
      <c r="H1308" t="s">
        <v>27</v>
      </c>
      <c r="I1308" t="s">
        <v>28</v>
      </c>
      <c r="J1308" s="8">
        <v>46080</v>
      </c>
      <c r="K1308" t="s">
        <v>45</v>
      </c>
    </row>
    <row r="1309" spans="1:11" x14ac:dyDescent="0.3">
      <c r="A1309" t="s">
        <v>1800</v>
      </c>
      <c r="B1309" t="s">
        <v>24</v>
      </c>
      <c r="C1309" t="s">
        <v>90</v>
      </c>
      <c r="D1309" t="s">
        <v>26</v>
      </c>
      <c r="E1309" t="s">
        <v>16</v>
      </c>
      <c r="F1309">
        <v>895000</v>
      </c>
      <c r="G1309">
        <v>8.9499999999999993</v>
      </c>
      <c r="H1309" t="s">
        <v>27</v>
      </c>
      <c r="I1309" t="s">
        <v>28</v>
      </c>
      <c r="J1309" s="8">
        <v>46080</v>
      </c>
      <c r="K1309" t="s">
        <v>908</v>
      </c>
    </row>
    <row r="1310" spans="1:11" x14ac:dyDescent="0.3">
      <c r="A1310" t="s">
        <v>1803</v>
      </c>
      <c r="B1310" t="s">
        <v>852</v>
      </c>
      <c r="C1310" t="s">
        <v>163</v>
      </c>
      <c r="D1310" t="s">
        <v>15</v>
      </c>
      <c r="E1310" t="s">
        <v>37</v>
      </c>
      <c r="F1310">
        <v>1700000</v>
      </c>
      <c r="G1310">
        <v>17</v>
      </c>
      <c r="H1310" t="s">
        <v>27</v>
      </c>
      <c r="I1310" t="s">
        <v>845</v>
      </c>
      <c r="J1310" s="8">
        <v>46188</v>
      </c>
      <c r="K1310" t="s">
        <v>874</v>
      </c>
    </row>
    <row r="1311" spans="1:11" x14ac:dyDescent="0.3">
      <c r="A1311" t="s">
        <v>1803</v>
      </c>
      <c r="B1311" t="s">
        <v>852</v>
      </c>
      <c r="C1311" t="s">
        <v>163</v>
      </c>
      <c r="D1311" t="s">
        <v>15</v>
      </c>
      <c r="E1311" t="s">
        <v>37</v>
      </c>
      <c r="F1311">
        <v>1700000</v>
      </c>
      <c r="G1311">
        <v>17</v>
      </c>
      <c r="H1311" t="s">
        <v>27</v>
      </c>
      <c r="I1311" t="s">
        <v>845</v>
      </c>
      <c r="J1311" s="8">
        <v>46188</v>
      </c>
      <c r="K1311" t="s">
        <v>29</v>
      </c>
    </row>
    <row r="1312" spans="1:11" x14ac:dyDescent="0.3">
      <c r="A1312" t="s">
        <v>1803</v>
      </c>
      <c r="B1312" t="s">
        <v>852</v>
      </c>
      <c r="C1312" t="s">
        <v>163</v>
      </c>
      <c r="D1312" t="s">
        <v>15</v>
      </c>
      <c r="E1312" t="s">
        <v>37</v>
      </c>
      <c r="F1312">
        <v>1700000</v>
      </c>
      <c r="G1312">
        <v>17</v>
      </c>
      <c r="H1312" t="s">
        <v>27</v>
      </c>
      <c r="I1312" t="s">
        <v>845</v>
      </c>
      <c r="J1312" s="8">
        <v>46188</v>
      </c>
      <c r="K1312" t="s">
        <v>937</v>
      </c>
    </row>
    <row r="1313" spans="1:11" x14ac:dyDescent="0.3">
      <c r="A1313" t="s">
        <v>1804</v>
      </c>
      <c r="B1313" t="s">
        <v>852</v>
      </c>
      <c r="C1313" t="s">
        <v>217</v>
      </c>
      <c r="D1313" t="s">
        <v>96</v>
      </c>
      <c r="E1313" t="s">
        <v>77</v>
      </c>
      <c r="F1313">
        <v>4350000</v>
      </c>
      <c r="G1313">
        <v>43.5</v>
      </c>
      <c r="H1313" t="s">
        <v>27</v>
      </c>
      <c r="I1313" t="s">
        <v>28</v>
      </c>
      <c r="J1313" s="8">
        <v>46179</v>
      </c>
      <c r="K1313" t="s">
        <v>846</v>
      </c>
    </row>
    <row r="1314" spans="1:11" x14ac:dyDescent="0.3">
      <c r="A1314" t="s">
        <v>1804</v>
      </c>
      <c r="B1314" t="s">
        <v>852</v>
      </c>
      <c r="C1314" t="s">
        <v>217</v>
      </c>
      <c r="D1314" t="s">
        <v>96</v>
      </c>
      <c r="E1314" t="s">
        <v>77</v>
      </c>
      <c r="F1314">
        <v>4350000</v>
      </c>
      <c r="G1314">
        <v>43.5</v>
      </c>
      <c r="H1314" t="s">
        <v>27</v>
      </c>
      <c r="I1314" t="s">
        <v>28</v>
      </c>
      <c r="J1314" s="8">
        <v>46179</v>
      </c>
      <c r="K1314" t="s">
        <v>908</v>
      </c>
    </row>
    <row r="1315" spans="1:11" x14ac:dyDescent="0.3">
      <c r="A1315" t="s">
        <v>1804</v>
      </c>
      <c r="B1315" t="s">
        <v>852</v>
      </c>
      <c r="C1315" t="s">
        <v>217</v>
      </c>
      <c r="D1315" t="s">
        <v>96</v>
      </c>
      <c r="E1315" t="s">
        <v>77</v>
      </c>
      <c r="F1315">
        <v>4350000</v>
      </c>
      <c r="G1315">
        <v>43.5</v>
      </c>
      <c r="H1315" t="s">
        <v>27</v>
      </c>
      <c r="I1315" t="s">
        <v>28</v>
      </c>
      <c r="J1315" s="8">
        <v>46179</v>
      </c>
      <c r="K1315" t="s">
        <v>39</v>
      </c>
    </row>
    <row r="1316" spans="1:11" x14ac:dyDescent="0.3">
      <c r="A1316" t="s">
        <v>1806</v>
      </c>
      <c r="B1316" t="s">
        <v>996</v>
      </c>
      <c r="C1316" t="s">
        <v>899</v>
      </c>
      <c r="D1316" t="s">
        <v>15</v>
      </c>
      <c r="E1316" t="s">
        <v>52</v>
      </c>
      <c r="F1316">
        <v>625000</v>
      </c>
      <c r="G1316">
        <v>6.25</v>
      </c>
      <c r="H1316" t="s">
        <v>27</v>
      </c>
      <c r="I1316" t="s">
        <v>845</v>
      </c>
      <c r="J1316" s="8">
        <v>46036</v>
      </c>
      <c r="K1316" t="s">
        <v>21</v>
      </c>
    </row>
    <row r="1317" spans="1:11" x14ac:dyDescent="0.3">
      <c r="A1317" t="s">
        <v>1806</v>
      </c>
      <c r="B1317" t="s">
        <v>996</v>
      </c>
      <c r="C1317" t="s">
        <v>899</v>
      </c>
      <c r="D1317" t="s">
        <v>15</v>
      </c>
      <c r="E1317" t="s">
        <v>52</v>
      </c>
      <c r="F1317">
        <v>625000</v>
      </c>
      <c r="G1317">
        <v>6.25</v>
      </c>
      <c r="H1317" t="s">
        <v>27</v>
      </c>
      <c r="I1317" t="s">
        <v>845</v>
      </c>
      <c r="J1317" s="8">
        <v>46036</v>
      </c>
      <c r="K1317" t="s">
        <v>29</v>
      </c>
    </row>
    <row r="1318" spans="1:11" x14ac:dyDescent="0.3">
      <c r="A1318" t="s">
        <v>1806</v>
      </c>
      <c r="B1318" t="s">
        <v>996</v>
      </c>
      <c r="C1318" t="s">
        <v>899</v>
      </c>
      <c r="D1318" t="s">
        <v>15</v>
      </c>
      <c r="E1318" t="s">
        <v>52</v>
      </c>
      <c r="F1318">
        <v>625000</v>
      </c>
      <c r="G1318">
        <v>6.25</v>
      </c>
      <c r="H1318" t="s">
        <v>27</v>
      </c>
      <c r="I1318" t="s">
        <v>845</v>
      </c>
      <c r="J1318" s="8">
        <v>46036</v>
      </c>
      <c r="K1318" t="s">
        <v>937</v>
      </c>
    </row>
    <row r="1319" spans="1:11" x14ac:dyDescent="0.3">
      <c r="A1319" t="s">
        <v>1808</v>
      </c>
      <c r="B1319" t="s">
        <v>24</v>
      </c>
      <c r="C1319" t="s">
        <v>400</v>
      </c>
      <c r="D1319" t="s">
        <v>15</v>
      </c>
      <c r="E1319" t="s">
        <v>16</v>
      </c>
      <c r="F1319">
        <v>640000</v>
      </c>
      <c r="G1319">
        <v>6.4</v>
      </c>
      <c r="H1319" t="s">
        <v>27</v>
      </c>
      <c r="I1319" t="s">
        <v>28</v>
      </c>
      <c r="J1319" s="8">
        <v>46063</v>
      </c>
      <c r="K1319" t="s">
        <v>31</v>
      </c>
    </row>
    <row r="1320" spans="1:11" x14ac:dyDescent="0.3">
      <c r="A1320" t="s">
        <v>1808</v>
      </c>
      <c r="B1320" t="s">
        <v>24</v>
      </c>
      <c r="C1320" t="s">
        <v>400</v>
      </c>
      <c r="D1320" t="s">
        <v>15</v>
      </c>
      <c r="E1320" t="s">
        <v>16</v>
      </c>
      <c r="F1320">
        <v>640000</v>
      </c>
      <c r="G1320">
        <v>6.4</v>
      </c>
      <c r="H1320" t="s">
        <v>27</v>
      </c>
      <c r="I1320" t="s">
        <v>28</v>
      </c>
      <c r="J1320" s="8">
        <v>46063</v>
      </c>
      <c r="K1320" t="s">
        <v>45</v>
      </c>
    </row>
    <row r="1321" spans="1:11" x14ac:dyDescent="0.3">
      <c r="A1321" t="s">
        <v>1808</v>
      </c>
      <c r="B1321" t="s">
        <v>24</v>
      </c>
      <c r="C1321" t="s">
        <v>400</v>
      </c>
      <c r="D1321" t="s">
        <v>15</v>
      </c>
      <c r="E1321" t="s">
        <v>16</v>
      </c>
      <c r="F1321">
        <v>640000</v>
      </c>
      <c r="G1321">
        <v>6.4</v>
      </c>
      <c r="H1321" t="s">
        <v>27</v>
      </c>
      <c r="I1321" t="s">
        <v>28</v>
      </c>
      <c r="J1321" s="8">
        <v>46063</v>
      </c>
      <c r="K1321" t="s">
        <v>20</v>
      </c>
    </row>
    <row r="1322" spans="1:11" x14ac:dyDescent="0.3">
      <c r="A1322" t="s">
        <v>1809</v>
      </c>
      <c r="B1322" t="s">
        <v>996</v>
      </c>
      <c r="C1322" t="s">
        <v>125</v>
      </c>
      <c r="D1322" t="s">
        <v>64</v>
      </c>
      <c r="E1322" t="s">
        <v>116</v>
      </c>
      <c r="F1322">
        <v>1630000</v>
      </c>
      <c r="G1322">
        <v>16.3</v>
      </c>
      <c r="H1322" t="s">
        <v>27</v>
      </c>
      <c r="I1322" t="s">
        <v>845</v>
      </c>
      <c r="J1322" s="8">
        <v>46042</v>
      </c>
      <c r="K1322" t="s">
        <v>39</v>
      </c>
    </row>
    <row r="1323" spans="1:11" x14ac:dyDescent="0.3">
      <c r="A1323" t="s">
        <v>1809</v>
      </c>
      <c r="B1323" t="s">
        <v>996</v>
      </c>
      <c r="C1323" t="s">
        <v>125</v>
      </c>
      <c r="D1323" t="s">
        <v>64</v>
      </c>
      <c r="E1323" t="s">
        <v>116</v>
      </c>
      <c r="F1323">
        <v>1630000</v>
      </c>
      <c r="G1323">
        <v>16.3</v>
      </c>
      <c r="H1323" t="s">
        <v>27</v>
      </c>
      <c r="I1323" t="s">
        <v>845</v>
      </c>
      <c r="J1323" s="8">
        <v>46042</v>
      </c>
      <c r="K1323" t="s">
        <v>937</v>
      </c>
    </row>
    <row r="1324" spans="1:11" x14ac:dyDescent="0.3">
      <c r="A1324" t="s">
        <v>1809</v>
      </c>
      <c r="B1324" t="s">
        <v>996</v>
      </c>
      <c r="C1324" t="s">
        <v>125</v>
      </c>
      <c r="D1324" t="s">
        <v>64</v>
      </c>
      <c r="E1324" t="s">
        <v>116</v>
      </c>
      <c r="F1324">
        <v>1630000</v>
      </c>
      <c r="G1324">
        <v>16.3</v>
      </c>
      <c r="H1324" t="s">
        <v>27</v>
      </c>
      <c r="I1324" t="s">
        <v>845</v>
      </c>
      <c r="J1324" s="8">
        <v>46042</v>
      </c>
      <c r="K1324" t="s">
        <v>20</v>
      </c>
    </row>
    <row r="1325" spans="1:11" x14ac:dyDescent="0.3">
      <c r="A1325" t="s">
        <v>1810</v>
      </c>
      <c r="B1325" t="s">
        <v>852</v>
      </c>
      <c r="C1325" t="s">
        <v>530</v>
      </c>
      <c r="D1325" t="s">
        <v>44</v>
      </c>
      <c r="E1325" t="s">
        <v>77</v>
      </c>
      <c r="F1325">
        <v>2660000</v>
      </c>
      <c r="G1325">
        <v>26.6</v>
      </c>
      <c r="H1325" t="s">
        <v>27</v>
      </c>
      <c r="I1325" t="s">
        <v>28</v>
      </c>
      <c r="J1325" s="8">
        <v>46166</v>
      </c>
      <c r="K1325" t="s">
        <v>30</v>
      </c>
    </row>
    <row r="1326" spans="1:11" x14ac:dyDescent="0.3">
      <c r="A1326" t="s">
        <v>1810</v>
      </c>
      <c r="B1326" t="s">
        <v>852</v>
      </c>
      <c r="C1326" t="s">
        <v>530</v>
      </c>
      <c r="D1326" t="s">
        <v>44</v>
      </c>
      <c r="E1326" t="s">
        <v>77</v>
      </c>
      <c r="F1326">
        <v>2660000</v>
      </c>
      <c r="G1326">
        <v>26.6</v>
      </c>
      <c r="H1326" t="s">
        <v>27</v>
      </c>
      <c r="I1326" t="s">
        <v>28</v>
      </c>
      <c r="J1326" s="8">
        <v>46166</v>
      </c>
      <c r="K1326" t="s">
        <v>29</v>
      </c>
    </row>
    <row r="1327" spans="1:11" x14ac:dyDescent="0.3">
      <c r="A1327" t="s">
        <v>1810</v>
      </c>
      <c r="B1327" t="s">
        <v>852</v>
      </c>
      <c r="C1327" t="s">
        <v>530</v>
      </c>
      <c r="D1327" t="s">
        <v>44</v>
      </c>
      <c r="E1327" t="s">
        <v>77</v>
      </c>
      <c r="F1327">
        <v>2660000</v>
      </c>
      <c r="G1327">
        <v>26.6</v>
      </c>
      <c r="H1327" t="s">
        <v>27</v>
      </c>
      <c r="I1327" t="s">
        <v>28</v>
      </c>
      <c r="J1327" s="8">
        <v>46166</v>
      </c>
      <c r="K1327" t="s">
        <v>854</v>
      </c>
    </row>
    <row r="1328" spans="1:11" x14ac:dyDescent="0.3">
      <c r="A1328" t="s">
        <v>1811</v>
      </c>
      <c r="B1328" t="s">
        <v>996</v>
      </c>
      <c r="C1328" t="s">
        <v>321</v>
      </c>
      <c r="D1328" t="s">
        <v>96</v>
      </c>
      <c r="E1328" t="s">
        <v>52</v>
      </c>
      <c r="F1328">
        <v>630000</v>
      </c>
      <c r="G1328">
        <v>6.3</v>
      </c>
      <c r="H1328" t="s">
        <v>17</v>
      </c>
      <c r="I1328" t="s">
        <v>59</v>
      </c>
      <c r="J1328" s="8">
        <v>46023</v>
      </c>
      <c r="K1328" t="s">
        <v>46</v>
      </c>
    </row>
    <row r="1329" spans="1:11" x14ac:dyDescent="0.3">
      <c r="A1329" t="s">
        <v>1811</v>
      </c>
      <c r="B1329" t="s">
        <v>996</v>
      </c>
      <c r="C1329" t="s">
        <v>321</v>
      </c>
      <c r="D1329" t="s">
        <v>96</v>
      </c>
      <c r="E1329" t="s">
        <v>52</v>
      </c>
      <c r="F1329">
        <v>630000</v>
      </c>
      <c r="G1329">
        <v>6.3</v>
      </c>
      <c r="H1329" t="s">
        <v>17</v>
      </c>
      <c r="I1329" t="s">
        <v>59</v>
      </c>
      <c r="J1329" s="8">
        <v>46023</v>
      </c>
      <c r="K1329" t="s">
        <v>20</v>
      </c>
    </row>
    <row r="1330" spans="1:11" x14ac:dyDescent="0.3">
      <c r="A1330" t="s">
        <v>1811</v>
      </c>
      <c r="B1330" t="s">
        <v>996</v>
      </c>
      <c r="C1330" t="s">
        <v>321</v>
      </c>
      <c r="D1330" t="s">
        <v>96</v>
      </c>
      <c r="E1330" t="s">
        <v>52</v>
      </c>
      <c r="F1330">
        <v>630000</v>
      </c>
      <c r="G1330">
        <v>6.3</v>
      </c>
      <c r="H1330" t="s">
        <v>17</v>
      </c>
      <c r="I1330" t="s">
        <v>59</v>
      </c>
      <c r="J1330" s="8">
        <v>46023</v>
      </c>
      <c r="K1330" t="s">
        <v>874</v>
      </c>
    </row>
    <row r="1331" spans="1:11" x14ac:dyDescent="0.3">
      <c r="A1331" t="s">
        <v>1812</v>
      </c>
      <c r="B1331" t="s">
        <v>24</v>
      </c>
      <c r="C1331" t="s">
        <v>288</v>
      </c>
      <c r="D1331" t="s">
        <v>81</v>
      </c>
      <c r="E1331" t="s">
        <v>52</v>
      </c>
      <c r="F1331">
        <v>475000</v>
      </c>
      <c r="G1331">
        <v>4.75</v>
      </c>
      <c r="H1331" t="s">
        <v>53</v>
      </c>
      <c r="I1331" t="s">
        <v>28</v>
      </c>
      <c r="J1331" s="8">
        <v>46243</v>
      </c>
      <c r="K1331" t="s">
        <v>31</v>
      </c>
    </row>
    <row r="1332" spans="1:11" x14ac:dyDescent="0.3">
      <c r="A1332" t="s">
        <v>1812</v>
      </c>
      <c r="B1332" t="s">
        <v>24</v>
      </c>
      <c r="C1332" t="s">
        <v>288</v>
      </c>
      <c r="D1332" t="s">
        <v>81</v>
      </c>
      <c r="E1332" t="s">
        <v>52</v>
      </c>
      <c r="F1332">
        <v>475000</v>
      </c>
      <c r="G1332">
        <v>4.75</v>
      </c>
      <c r="H1332" t="s">
        <v>53</v>
      </c>
      <c r="I1332" t="s">
        <v>28</v>
      </c>
      <c r="J1332" s="8">
        <v>46243</v>
      </c>
      <c r="K1332" t="s">
        <v>878</v>
      </c>
    </row>
    <row r="1333" spans="1:11" x14ac:dyDescent="0.3">
      <c r="A1333" t="s">
        <v>1812</v>
      </c>
      <c r="B1333" t="s">
        <v>24</v>
      </c>
      <c r="C1333" t="s">
        <v>288</v>
      </c>
      <c r="D1333" t="s">
        <v>81</v>
      </c>
      <c r="E1333" t="s">
        <v>52</v>
      </c>
      <c r="F1333">
        <v>475000</v>
      </c>
      <c r="G1333">
        <v>4.75</v>
      </c>
      <c r="H1333" t="s">
        <v>53</v>
      </c>
      <c r="I1333" t="s">
        <v>28</v>
      </c>
      <c r="J1333" s="8">
        <v>46243</v>
      </c>
      <c r="K1333" t="s">
        <v>46</v>
      </c>
    </row>
    <row r="1334" spans="1:11" x14ac:dyDescent="0.3">
      <c r="A1334" t="s">
        <v>1814</v>
      </c>
      <c r="B1334" t="s">
        <v>42</v>
      </c>
      <c r="C1334" t="s">
        <v>211</v>
      </c>
      <c r="D1334" t="s">
        <v>51</v>
      </c>
      <c r="E1334" t="s">
        <v>77</v>
      </c>
      <c r="F1334">
        <v>4090000</v>
      </c>
      <c r="G1334">
        <v>40.9</v>
      </c>
      <c r="H1334" t="s">
        <v>27</v>
      </c>
      <c r="I1334" t="s">
        <v>59</v>
      </c>
      <c r="J1334" s="8">
        <v>46047</v>
      </c>
      <c r="K1334" t="s">
        <v>54</v>
      </c>
    </row>
    <row r="1335" spans="1:11" x14ac:dyDescent="0.3">
      <c r="A1335" t="s">
        <v>1814</v>
      </c>
      <c r="B1335" t="s">
        <v>42</v>
      </c>
      <c r="C1335" t="s">
        <v>211</v>
      </c>
      <c r="D1335" t="s">
        <v>51</v>
      </c>
      <c r="E1335" t="s">
        <v>77</v>
      </c>
      <c r="F1335">
        <v>4090000</v>
      </c>
      <c r="G1335">
        <v>40.9</v>
      </c>
      <c r="H1335" t="s">
        <v>27</v>
      </c>
      <c r="I1335" t="s">
        <v>59</v>
      </c>
      <c r="J1335" s="8">
        <v>46047</v>
      </c>
      <c r="K1335" t="s">
        <v>878</v>
      </c>
    </row>
    <row r="1336" spans="1:11" x14ac:dyDescent="0.3">
      <c r="A1336" t="s">
        <v>1814</v>
      </c>
      <c r="B1336" t="s">
        <v>42</v>
      </c>
      <c r="C1336" t="s">
        <v>211</v>
      </c>
      <c r="D1336" t="s">
        <v>51</v>
      </c>
      <c r="E1336" t="s">
        <v>77</v>
      </c>
      <c r="F1336">
        <v>4090000</v>
      </c>
      <c r="G1336">
        <v>40.9</v>
      </c>
      <c r="H1336" t="s">
        <v>27</v>
      </c>
      <c r="I1336" t="s">
        <v>59</v>
      </c>
      <c r="J1336" s="8">
        <v>46047</v>
      </c>
      <c r="K1336" t="s">
        <v>854</v>
      </c>
    </row>
    <row r="1337" spans="1:11" x14ac:dyDescent="0.3">
      <c r="A1337" t="s">
        <v>1817</v>
      </c>
      <c r="B1337" t="s">
        <v>960</v>
      </c>
      <c r="C1337" t="s">
        <v>50</v>
      </c>
      <c r="D1337" t="s">
        <v>96</v>
      </c>
      <c r="E1337" t="s">
        <v>116</v>
      </c>
      <c r="F1337">
        <v>1730000</v>
      </c>
      <c r="G1337">
        <v>17.3</v>
      </c>
      <c r="H1337" t="s">
        <v>27</v>
      </c>
      <c r="I1337" t="s">
        <v>28</v>
      </c>
      <c r="J1337" s="8">
        <v>46217</v>
      </c>
      <c r="K1337" t="s">
        <v>45</v>
      </c>
    </row>
    <row r="1338" spans="1:11" x14ac:dyDescent="0.3">
      <c r="A1338" t="s">
        <v>1817</v>
      </c>
      <c r="B1338" t="s">
        <v>960</v>
      </c>
      <c r="C1338" t="s">
        <v>50</v>
      </c>
      <c r="D1338" t="s">
        <v>96</v>
      </c>
      <c r="E1338" t="s">
        <v>116</v>
      </c>
      <c r="F1338">
        <v>1730000</v>
      </c>
      <c r="G1338">
        <v>17.3</v>
      </c>
      <c r="H1338" t="s">
        <v>27</v>
      </c>
      <c r="I1338" t="s">
        <v>28</v>
      </c>
      <c r="J1338" s="8">
        <v>46217</v>
      </c>
      <c r="K1338" t="s">
        <v>46</v>
      </c>
    </row>
    <row r="1339" spans="1:11" x14ac:dyDescent="0.3">
      <c r="A1339" t="s">
        <v>1817</v>
      </c>
      <c r="B1339" t="s">
        <v>960</v>
      </c>
      <c r="C1339" t="s">
        <v>50</v>
      </c>
      <c r="D1339" t="s">
        <v>96</v>
      </c>
      <c r="E1339" t="s">
        <v>116</v>
      </c>
      <c r="F1339">
        <v>1730000</v>
      </c>
      <c r="G1339">
        <v>17.3</v>
      </c>
      <c r="H1339" t="s">
        <v>27</v>
      </c>
      <c r="I1339" t="s">
        <v>28</v>
      </c>
      <c r="J1339" s="8">
        <v>46217</v>
      </c>
      <c r="K1339" t="s">
        <v>21</v>
      </c>
    </row>
    <row r="1340" spans="1:11" x14ac:dyDescent="0.3">
      <c r="A1340" t="s">
        <v>1818</v>
      </c>
      <c r="B1340" t="s">
        <v>24</v>
      </c>
      <c r="C1340" t="s">
        <v>953</v>
      </c>
      <c r="D1340" t="s">
        <v>44</v>
      </c>
      <c r="E1340" t="s">
        <v>52</v>
      </c>
      <c r="F1340">
        <v>485000</v>
      </c>
      <c r="G1340">
        <v>4.8499999999999996</v>
      </c>
      <c r="H1340" t="s">
        <v>27</v>
      </c>
      <c r="I1340" t="s">
        <v>28</v>
      </c>
      <c r="J1340" s="8">
        <v>46210</v>
      </c>
      <c r="K1340" t="s">
        <v>908</v>
      </c>
    </row>
    <row r="1341" spans="1:11" x14ac:dyDescent="0.3">
      <c r="A1341" t="s">
        <v>1818</v>
      </c>
      <c r="B1341" t="s">
        <v>24</v>
      </c>
      <c r="C1341" t="s">
        <v>953</v>
      </c>
      <c r="D1341" t="s">
        <v>44</v>
      </c>
      <c r="E1341" t="s">
        <v>52</v>
      </c>
      <c r="F1341">
        <v>485000</v>
      </c>
      <c r="G1341">
        <v>4.8499999999999996</v>
      </c>
      <c r="H1341" t="s">
        <v>27</v>
      </c>
      <c r="I1341" t="s">
        <v>28</v>
      </c>
      <c r="J1341" s="8">
        <v>46210</v>
      </c>
      <c r="K1341" t="s">
        <v>846</v>
      </c>
    </row>
    <row r="1342" spans="1:11" x14ac:dyDescent="0.3">
      <c r="A1342" t="s">
        <v>1818</v>
      </c>
      <c r="B1342" t="s">
        <v>24</v>
      </c>
      <c r="C1342" t="s">
        <v>953</v>
      </c>
      <c r="D1342" t="s">
        <v>44</v>
      </c>
      <c r="E1342" t="s">
        <v>52</v>
      </c>
      <c r="F1342">
        <v>485000</v>
      </c>
      <c r="G1342">
        <v>4.8499999999999996</v>
      </c>
      <c r="H1342" t="s">
        <v>27</v>
      </c>
      <c r="I1342" t="s">
        <v>28</v>
      </c>
      <c r="J1342" s="8">
        <v>46210</v>
      </c>
      <c r="K1342" t="s">
        <v>45</v>
      </c>
    </row>
    <row r="1343" spans="1:11" x14ac:dyDescent="0.3">
      <c r="A1343" t="s">
        <v>1820</v>
      </c>
      <c r="B1343" t="s">
        <v>75</v>
      </c>
      <c r="C1343" t="s">
        <v>906</v>
      </c>
      <c r="D1343" t="s">
        <v>64</v>
      </c>
      <c r="E1343" t="s">
        <v>116</v>
      </c>
      <c r="F1343">
        <v>1190000</v>
      </c>
      <c r="G1343">
        <v>11.9</v>
      </c>
      <c r="H1343" t="s">
        <v>27</v>
      </c>
      <c r="I1343" t="s">
        <v>59</v>
      </c>
      <c r="J1343" s="8">
        <v>46257</v>
      </c>
      <c r="K1343" t="s">
        <v>31</v>
      </c>
    </row>
    <row r="1344" spans="1:11" x14ac:dyDescent="0.3">
      <c r="A1344" t="s">
        <v>1820</v>
      </c>
      <c r="B1344" t="s">
        <v>75</v>
      </c>
      <c r="C1344" t="s">
        <v>906</v>
      </c>
      <c r="D1344" t="s">
        <v>64</v>
      </c>
      <c r="E1344" t="s">
        <v>116</v>
      </c>
      <c r="F1344">
        <v>1190000</v>
      </c>
      <c r="G1344">
        <v>11.9</v>
      </c>
      <c r="H1344" t="s">
        <v>27</v>
      </c>
      <c r="I1344" t="s">
        <v>59</v>
      </c>
      <c r="J1344" s="8">
        <v>46257</v>
      </c>
      <c r="K1344" t="s">
        <v>45</v>
      </c>
    </row>
    <row r="1345" spans="1:11" x14ac:dyDescent="0.3">
      <c r="A1345" t="s">
        <v>1820</v>
      </c>
      <c r="B1345" t="s">
        <v>75</v>
      </c>
      <c r="C1345" t="s">
        <v>906</v>
      </c>
      <c r="D1345" t="s">
        <v>64</v>
      </c>
      <c r="E1345" t="s">
        <v>116</v>
      </c>
      <c r="F1345">
        <v>1190000</v>
      </c>
      <c r="G1345">
        <v>11.9</v>
      </c>
      <c r="H1345" t="s">
        <v>27</v>
      </c>
      <c r="I1345" t="s">
        <v>59</v>
      </c>
      <c r="J1345" s="8">
        <v>46257</v>
      </c>
      <c r="K1345" t="s">
        <v>54</v>
      </c>
    </row>
    <row r="1346" spans="1:11" x14ac:dyDescent="0.3">
      <c r="A1346" t="s">
        <v>1822</v>
      </c>
      <c r="B1346" t="s">
        <v>996</v>
      </c>
      <c r="C1346" t="s">
        <v>899</v>
      </c>
      <c r="D1346" t="s">
        <v>81</v>
      </c>
      <c r="E1346" t="s">
        <v>16</v>
      </c>
      <c r="F1346">
        <v>800000</v>
      </c>
      <c r="G1346">
        <v>8</v>
      </c>
      <c r="H1346" t="s">
        <v>27</v>
      </c>
      <c r="I1346" t="s">
        <v>28</v>
      </c>
      <c r="J1346" s="8">
        <v>46038</v>
      </c>
      <c r="K1346" t="s">
        <v>30</v>
      </c>
    </row>
    <row r="1347" spans="1:11" x14ac:dyDescent="0.3">
      <c r="A1347" t="s">
        <v>1822</v>
      </c>
      <c r="B1347" t="s">
        <v>996</v>
      </c>
      <c r="C1347" t="s">
        <v>899</v>
      </c>
      <c r="D1347" t="s">
        <v>81</v>
      </c>
      <c r="E1347" t="s">
        <v>16</v>
      </c>
      <c r="F1347">
        <v>800000</v>
      </c>
      <c r="G1347">
        <v>8</v>
      </c>
      <c r="H1347" t="s">
        <v>27</v>
      </c>
      <c r="I1347" t="s">
        <v>28</v>
      </c>
      <c r="J1347" s="8">
        <v>46038</v>
      </c>
      <c r="K1347" t="s">
        <v>39</v>
      </c>
    </row>
    <row r="1348" spans="1:11" x14ac:dyDescent="0.3">
      <c r="A1348" t="s">
        <v>1822</v>
      </c>
      <c r="B1348" t="s">
        <v>996</v>
      </c>
      <c r="C1348" t="s">
        <v>899</v>
      </c>
      <c r="D1348" t="s">
        <v>81</v>
      </c>
      <c r="E1348" t="s">
        <v>16</v>
      </c>
      <c r="F1348">
        <v>800000</v>
      </c>
      <c r="G1348">
        <v>8</v>
      </c>
      <c r="H1348" t="s">
        <v>27</v>
      </c>
      <c r="I1348" t="s">
        <v>28</v>
      </c>
      <c r="J1348" s="8">
        <v>46038</v>
      </c>
      <c r="K1348" t="s">
        <v>21</v>
      </c>
    </row>
    <row r="1349" spans="1:11" x14ac:dyDescent="0.3">
      <c r="A1349" t="s">
        <v>1823</v>
      </c>
      <c r="B1349" t="s">
        <v>42</v>
      </c>
      <c r="C1349" t="s">
        <v>872</v>
      </c>
      <c r="D1349" t="s">
        <v>76</v>
      </c>
      <c r="E1349" t="s">
        <v>52</v>
      </c>
      <c r="F1349">
        <v>420000</v>
      </c>
      <c r="G1349">
        <v>4.2</v>
      </c>
      <c r="H1349" t="s">
        <v>27</v>
      </c>
      <c r="I1349" t="s">
        <v>845</v>
      </c>
      <c r="J1349" s="8">
        <v>46086</v>
      </c>
      <c r="K1349" t="s">
        <v>20</v>
      </c>
    </row>
    <row r="1350" spans="1:11" x14ac:dyDescent="0.3">
      <c r="A1350" t="s">
        <v>1823</v>
      </c>
      <c r="B1350" t="s">
        <v>42</v>
      </c>
      <c r="C1350" t="s">
        <v>872</v>
      </c>
      <c r="D1350" t="s">
        <v>76</v>
      </c>
      <c r="E1350" t="s">
        <v>52</v>
      </c>
      <c r="F1350">
        <v>420000</v>
      </c>
      <c r="G1350">
        <v>4.2</v>
      </c>
      <c r="H1350" t="s">
        <v>27</v>
      </c>
      <c r="I1350" t="s">
        <v>845</v>
      </c>
      <c r="J1350" s="8">
        <v>46086</v>
      </c>
      <c r="K1350" t="s">
        <v>46</v>
      </c>
    </row>
    <row r="1351" spans="1:11" x14ac:dyDescent="0.3">
      <c r="A1351" t="s">
        <v>1823</v>
      </c>
      <c r="B1351" t="s">
        <v>42</v>
      </c>
      <c r="C1351" t="s">
        <v>872</v>
      </c>
      <c r="D1351" t="s">
        <v>76</v>
      </c>
      <c r="E1351" t="s">
        <v>52</v>
      </c>
      <c r="F1351">
        <v>420000</v>
      </c>
      <c r="G1351">
        <v>4.2</v>
      </c>
      <c r="H1351" t="s">
        <v>27</v>
      </c>
      <c r="I1351" t="s">
        <v>845</v>
      </c>
      <c r="J1351" s="8">
        <v>46086</v>
      </c>
      <c r="K1351" t="s">
        <v>854</v>
      </c>
    </row>
    <row r="1352" spans="1:11" x14ac:dyDescent="0.3">
      <c r="A1352" t="s">
        <v>1824</v>
      </c>
      <c r="B1352" t="s">
        <v>24</v>
      </c>
      <c r="C1352" t="s">
        <v>106</v>
      </c>
      <c r="D1352" t="s">
        <v>96</v>
      </c>
      <c r="E1352" t="s">
        <v>16</v>
      </c>
      <c r="F1352">
        <v>895000</v>
      </c>
      <c r="G1352">
        <v>8.9499999999999993</v>
      </c>
      <c r="H1352" t="s">
        <v>17</v>
      </c>
      <c r="I1352" t="s">
        <v>845</v>
      </c>
      <c r="J1352" s="8">
        <v>46226</v>
      </c>
      <c r="K1352" t="s">
        <v>21</v>
      </c>
    </row>
    <row r="1353" spans="1:11" x14ac:dyDescent="0.3">
      <c r="A1353" t="s">
        <v>1824</v>
      </c>
      <c r="B1353" t="s">
        <v>24</v>
      </c>
      <c r="C1353" t="s">
        <v>106</v>
      </c>
      <c r="D1353" t="s">
        <v>96</v>
      </c>
      <c r="E1353" t="s">
        <v>16</v>
      </c>
      <c r="F1353">
        <v>895000</v>
      </c>
      <c r="G1353">
        <v>8.9499999999999993</v>
      </c>
      <c r="H1353" t="s">
        <v>17</v>
      </c>
      <c r="I1353" t="s">
        <v>845</v>
      </c>
      <c r="J1353" s="8">
        <v>46226</v>
      </c>
      <c r="K1353" t="s">
        <v>29</v>
      </c>
    </row>
    <row r="1354" spans="1:11" x14ac:dyDescent="0.3">
      <c r="A1354" t="s">
        <v>1824</v>
      </c>
      <c r="B1354" t="s">
        <v>24</v>
      </c>
      <c r="C1354" t="s">
        <v>106</v>
      </c>
      <c r="D1354" t="s">
        <v>96</v>
      </c>
      <c r="E1354" t="s">
        <v>16</v>
      </c>
      <c r="F1354">
        <v>895000</v>
      </c>
      <c r="G1354">
        <v>8.9499999999999993</v>
      </c>
      <c r="H1354" t="s">
        <v>17</v>
      </c>
      <c r="I1354" t="s">
        <v>845</v>
      </c>
      <c r="J1354" s="8">
        <v>46226</v>
      </c>
      <c r="K1354" t="s">
        <v>908</v>
      </c>
    </row>
    <row r="1355" spans="1:11" x14ac:dyDescent="0.3">
      <c r="A1355" t="s">
        <v>1825</v>
      </c>
      <c r="B1355" t="s">
        <v>13</v>
      </c>
      <c r="C1355" t="s">
        <v>940</v>
      </c>
      <c r="D1355" t="s">
        <v>76</v>
      </c>
      <c r="E1355" t="s">
        <v>116</v>
      </c>
      <c r="F1355">
        <v>1650000</v>
      </c>
      <c r="G1355">
        <v>16.5</v>
      </c>
      <c r="H1355" t="s">
        <v>17</v>
      </c>
      <c r="I1355" t="s">
        <v>28</v>
      </c>
      <c r="J1355" s="8">
        <v>46083</v>
      </c>
      <c r="K1355" t="s">
        <v>846</v>
      </c>
    </row>
    <row r="1356" spans="1:11" x14ac:dyDescent="0.3">
      <c r="A1356" t="s">
        <v>1825</v>
      </c>
      <c r="B1356" t="s">
        <v>13</v>
      </c>
      <c r="C1356" t="s">
        <v>940</v>
      </c>
      <c r="D1356" t="s">
        <v>76</v>
      </c>
      <c r="E1356" t="s">
        <v>116</v>
      </c>
      <c r="F1356">
        <v>1650000</v>
      </c>
      <c r="G1356">
        <v>16.5</v>
      </c>
      <c r="H1356" t="s">
        <v>17</v>
      </c>
      <c r="I1356" t="s">
        <v>28</v>
      </c>
      <c r="J1356" s="8">
        <v>46083</v>
      </c>
      <c r="K1356" t="s">
        <v>45</v>
      </c>
    </row>
    <row r="1357" spans="1:11" x14ac:dyDescent="0.3">
      <c r="A1357" t="s">
        <v>1825</v>
      </c>
      <c r="B1357" t="s">
        <v>13</v>
      </c>
      <c r="C1357" t="s">
        <v>940</v>
      </c>
      <c r="D1357" t="s">
        <v>76</v>
      </c>
      <c r="E1357" t="s">
        <v>116</v>
      </c>
      <c r="F1357">
        <v>1650000</v>
      </c>
      <c r="G1357">
        <v>16.5</v>
      </c>
      <c r="H1357" t="s">
        <v>17</v>
      </c>
      <c r="I1357" t="s">
        <v>28</v>
      </c>
      <c r="J1357" s="8">
        <v>46083</v>
      </c>
      <c r="K1357" t="s">
        <v>20</v>
      </c>
    </row>
    <row r="1358" spans="1:11" x14ac:dyDescent="0.3">
      <c r="A1358" t="s">
        <v>1826</v>
      </c>
      <c r="B1358" t="s">
        <v>75</v>
      </c>
      <c r="C1358" t="s">
        <v>899</v>
      </c>
      <c r="D1358" t="s">
        <v>64</v>
      </c>
      <c r="E1358" t="s">
        <v>52</v>
      </c>
      <c r="F1358">
        <v>675000</v>
      </c>
      <c r="G1358">
        <v>6.75</v>
      </c>
      <c r="H1358" t="s">
        <v>27</v>
      </c>
      <c r="I1358" t="s">
        <v>28</v>
      </c>
      <c r="J1358" s="8">
        <v>46246</v>
      </c>
      <c r="K1358" t="s">
        <v>21</v>
      </c>
    </row>
    <row r="1359" spans="1:11" x14ac:dyDescent="0.3">
      <c r="A1359" t="s">
        <v>1826</v>
      </c>
      <c r="B1359" t="s">
        <v>75</v>
      </c>
      <c r="C1359" t="s">
        <v>899</v>
      </c>
      <c r="D1359" t="s">
        <v>64</v>
      </c>
      <c r="E1359" t="s">
        <v>52</v>
      </c>
      <c r="F1359">
        <v>675000</v>
      </c>
      <c r="G1359">
        <v>6.75</v>
      </c>
      <c r="H1359" t="s">
        <v>27</v>
      </c>
      <c r="I1359" t="s">
        <v>28</v>
      </c>
      <c r="J1359" s="8">
        <v>46246</v>
      </c>
      <c r="K1359" t="s">
        <v>20</v>
      </c>
    </row>
    <row r="1360" spans="1:11" x14ac:dyDescent="0.3">
      <c r="A1360" t="s">
        <v>1826</v>
      </c>
      <c r="B1360" t="s">
        <v>75</v>
      </c>
      <c r="C1360" t="s">
        <v>899</v>
      </c>
      <c r="D1360" t="s">
        <v>64</v>
      </c>
      <c r="E1360" t="s">
        <v>52</v>
      </c>
      <c r="F1360">
        <v>675000</v>
      </c>
      <c r="G1360">
        <v>6.75</v>
      </c>
      <c r="H1360" t="s">
        <v>27</v>
      </c>
      <c r="I1360" t="s">
        <v>28</v>
      </c>
      <c r="J1360" s="8">
        <v>46246</v>
      </c>
      <c r="K1360" t="s">
        <v>846</v>
      </c>
    </row>
    <row r="1361" spans="1:11" x14ac:dyDescent="0.3">
      <c r="A1361" t="s">
        <v>1827</v>
      </c>
      <c r="B1361" t="s">
        <v>49</v>
      </c>
      <c r="C1361" t="s">
        <v>109</v>
      </c>
      <c r="D1361" t="s">
        <v>71</v>
      </c>
      <c r="E1361" t="s">
        <v>52</v>
      </c>
      <c r="F1361">
        <v>740000</v>
      </c>
      <c r="G1361">
        <v>7.4</v>
      </c>
      <c r="H1361" t="s">
        <v>17</v>
      </c>
      <c r="I1361" t="s">
        <v>28</v>
      </c>
      <c r="J1361" s="8">
        <v>46134</v>
      </c>
      <c r="K1361" t="s">
        <v>854</v>
      </c>
    </row>
    <row r="1362" spans="1:11" x14ac:dyDescent="0.3">
      <c r="A1362" t="s">
        <v>1827</v>
      </c>
      <c r="B1362" t="s">
        <v>49</v>
      </c>
      <c r="C1362" t="s">
        <v>109</v>
      </c>
      <c r="D1362" t="s">
        <v>71</v>
      </c>
      <c r="E1362" t="s">
        <v>52</v>
      </c>
      <c r="F1362">
        <v>740000</v>
      </c>
      <c r="G1362">
        <v>7.4</v>
      </c>
      <c r="H1362" t="s">
        <v>17</v>
      </c>
      <c r="I1362" t="s">
        <v>28</v>
      </c>
      <c r="J1362" s="8">
        <v>46134</v>
      </c>
      <c r="K1362" t="s">
        <v>29</v>
      </c>
    </row>
    <row r="1363" spans="1:11" x14ac:dyDescent="0.3">
      <c r="A1363" t="s">
        <v>1827</v>
      </c>
      <c r="B1363" t="s">
        <v>49</v>
      </c>
      <c r="C1363" t="s">
        <v>109</v>
      </c>
      <c r="D1363" t="s">
        <v>71</v>
      </c>
      <c r="E1363" t="s">
        <v>52</v>
      </c>
      <c r="F1363">
        <v>740000</v>
      </c>
      <c r="G1363">
        <v>7.4</v>
      </c>
      <c r="H1363" t="s">
        <v>17</v>
      </c>
      <c r="I1363" t="s">
        <v>28</v>
      </c>
      <c r="J1363" s="8">
        <v>46134</v>
      </c>
      <c r="K1363" t="s">
        <v>54</v>
      </c>
    </row>
    <row r="1364" spans="1:11" x14ac:dyDescent="0.3">
      <c r="A1364" t="s">
        <v>1829</v>
      </c>
      <c r="B1364" t="s">
        <v>852</v>
      </c>
      <c r="C1364" t="s">
        <v>191</v>
      </c>
      <c r="D1364" t="s">
        <v>71</v>
      </c>
      <c r="E1364" t="s">
        <v>52</v>
      </c>
      <c r="F1364">
        <v>505000</v>
      </c>
      <c r="G1364">
        <v>5.05</v>
      </c>
      <c r="H1364" t="s">
        <v>27</v>
      </c>
      <c r="I1364" t="s">
        <v>28</v>
      </c>
      <c r="J1364" s="8">
        <v>46162</v>
      </c>
      <c r="K1364" t="s">
        <v>854</v>
      </c>
    </row>
    <row r="1365" spans="1:11" x14ac:dyDescent="0.3">
      <c r="A1365" t="s">
        <v>1829</v>
      </c>
      <c r="B1365" t="s">
        <v>852</v>
      </c>
      <c r="C1365" t="s">
        <v>191</v>
      </c>
      <c r="D1365" t="s">
        <v>71</v>
      </c>
      <c r="E1365" t="s">
        <v>52</v>
      </c>
      <c r="F1365">
        <v>505000</v>
      </c>
      <c r="G1365">
        <v>5.05</v>
      </c>
      <c r="H1365" t="s">
        <v>27</v>
      </c>
      <c r="I1365" t="s">
        <v>28</v>
      </c>
      <c r="J1365" s="8">
        <v>46162</v>
      </c>
      <c r="K1365" t="s">
        <v>46</v>
      </c>
    </row>
    <row r="1366" spans="1:11" x14ac:dyDescent="0.3">
      <c r="A1366" t="s">
        <v>1829</v>
      </c>
      <c r="B1366" t="s">
        <v>852</v>
      </c>
      <c r="C1366" t="s">
        <v>191</v>
      </c>
      <c r="D1366" t="s">
        <v>71</v>
      </c>
      <c r="E1366" t="s">
        <v>52</v>
      </c>
      <c r="F1366">
        <v>505000</v>
      </c>
      <c r="G1366">
        <v>5.05</v>
      </c>
      <c r="H1366" t="s">
        <v>27</v>
      </c>
      <c r="I1366" t="s">
        <v>28</v>
      </c>
      <c r="J1366" s="8">
        <v>46162</v>
      </c>
      <c r="K1366" t="s">
        <v>30</v>
      </c>
    </row>
    <row r="1367" spans="1:11" x14ac:dyDescent="0.3">
      <c r="A1367" t="s">
        <v>1831</v>
      </c>
      <c r="B1367" t="s">
        <v>960</v>
      </c>
      <c r="C1367" t="s">
        <v>125</v>
      </c>
      <c r="D1367" t="s">
        <v>81</v>
      </c>
      <c r="E1367" t="s">
        <v>16</v>
      </c>
      <c r="F1367">
        <v>545000</v>
      </c>
      <c r="G1367">
        <v>5.45</v>
      </c>
      <c r="H1367" t="s">
        <v>27</v>
      </c>
      <c r="I1367" t="s">
        <v>28</v>
      </c>
      <c r="J1367" s="8">
        <v>46128</v>
      </c>
      <c r="K1367" t="s">
        <v>846</v>
      </c>
    </row>
    <row r="1368" spans="1:11" x14ac:dyDescent="0.3">
      <c r="A1368" t="s">
        <v>1831</v>
      </c>
      <c r="B1368" t="s">
        <v>960</v>
      </c>
      <c r="C1368" t="s">
        <v>125</v>
      </c>
      <c r="D1368" t="s">
        <v>81</v>
      </c>
      <c r="E1368" t="s">
        <v>16</v>
      </c>
      <c r="F1368">
        <v>545000</v>
      </c>
      <c r="G1368">
        <v>5.45</v>
      </c>
      <c r="H1368" t="s">
        <v>27</v>
      </c>
      <c r="I1368" t="s">
        <v>28</v>
      </c>
      <c r="J1368" s="8">
        <v>46128</v>
      </c>
      <c r="K1368" t="s">
        <v>31</v>
      </c>
    </row>
    <row r="1369" spans="1:11" x14ac:dyDescent="0.3">
      <c r="A1369" t="s">
        <v>1831</v>
      </c>
      <c r="B1369" t="s">
        <v>960</v>
      </c>
      <c r="C1369" t="s">
        <v>125</v>
      </c>
      <c r="D1369" t="s">
        <v>81</v>
      </c>
      <c r="E1369" t="s">
        <v>16</v>
      </c>
      <c r="F1369">
        <v>545000</v>
      </c>
      <c r="G1369">
        <v>5.45</v>
      </c>
      <c r="H1369" t="s">
        <v>27</v>
      </c>
      <c r="I1369" t="s">
        <v>28</v>
      </c>
      <c r="J1369" s="8">
        <v>46128</v>
      </c>
      <c r="K1369" t="s">
        <v>39</v>
      </c>
    </row>
    <row r="1370" spans="1:11" x14ac:dyDescent="0.3">
      <c r="A1370" t="s">
        <v>1832</v>
      </c>
      <c r="B1370" t="s">
        <v>49</v>
      </c>
      <c r="C1370" t="s">
        <v>271</v>
      </c>
      <c r="D1370" t="s">
        <v>71</v>
      </c>
      <c r="E1370" t="s">
        <v>116</v>
      </c>
      <c r="F1370">
        <v>1230000</v>
      </c>
      <c r="G1370">
        <v>12.3</v>
      </c>
      <c r="H1370" t="s">
        <v>27</v>
      </c>
      <c r="I1370" t="s">
        <v>28</v>
      </c>
      <c r="J1370" s="8">
        <v>46181</v>
      </c>
      <c r="K1370" t="s">
        <v>846</v>
      </c>
    </row>
    <row r="1371" spans="1:11" x14ac:dyDescent="0.3">
      <c r="A1371" t="s">
        <v>1832</v>
      </c>
      <c r="B1371" t="s">
        <v>49</v>
      </c>
      <c r="C1371" t="s">
        <v>271</v>
      </c>
      <c r="D1371" t="s">
        <v>71</v>
      </c>
      <c r="E1371" t="s">
        <v>116</v>
      </c>
      <c r="F1371">
        <v>1230000</v>
      </c>
      <c r="G1371">
        <v>12.3</v>
      </c>
      <c r="H1371" t="s">
        <v>27</v>
      </c>
      <c r="I1371" t="s">
        <v>28</v>
      </c>
      <c r="J1371" s="8">
        <v>46181</v>
      </c>
      <c r="K1371" t="s">
        <v>31</v>
      </c>
    </row>
    <row r="1372" spans="1:11" x14ac:dyDescent="0.3">
      <c r="A1372" t="s">
        <v>1832</v>
      </c>
      <c r="B1372" t="s">
        <v>49</v>
      </c>
      <c r="C1372" t="s">
        <v>271</v>
      </c>
      <c r="D1372" t="s">
        <v>71</v>
      </c>
      <c r="E1372" t="s">
        <v>116</v>
      </c>
      <c r="F1372">
        <v>1230000</v>
      </c>
      <c r="G1372">
        <v>12.3</v>
      </c>
      <c r="H1372" t="s">
        <v>27</v>
      </c>
      <c r="I1372" t="s">
        <v>28</v>
      </c>
      <c r="J1372" s="8">
        <v>46181</v>
      </c>
      <c r="K1372" t="s">
        <v>54</v>
      </c>
    </row>
    <row r="1373" spans="1:11" x14ac:dyDescent="0.3">
      <c r="A1373" t="s">
        <v>1834</v>
      </c>
      <c r="B1373" t="s">
        <v>75</v>
      </c>
      <c r="C1373" t="s">
        <v>14</v>
      </c>
      <c r="D1373" t="s">
        <v>76</v>
      </c>
      <c r="E1373" t="s">
        <v>52</v>
      </c>
      <c r="F1373">
        <v>310000</v>
      </c>
      <c r="G1373">
        <v>3.1</v>
      </c>
      <c r="H1373" t="s">
        <v>53</v>
      </c>
      <c r="I1373" t="s">
        <v>845</v>
      </c>
      <c r="J1373" s="8">
        <v>46210</v>
      </c>
      <c r="K1373" t="s">
        <v>878</v>
      </c>
    </row>
    <row r="1374" spans="1:11" x14ac:dyDescent="0.3">
      <c r="A1374" t="s">
        <v>1834</v>
      </c>
      <c r="B1374" t="s">
        <v>75</v>
      </c>
      <c r="C1374" t="s">
        <v>14</v>
      </c>
      <c r="D1374" t="s">
        <v>76</v>
      </c>
      <c r="E1374" t="s">
        <v>52</v>
      </c>
      <c r="F1374">
        <v>310000</v>
      </c>
      <c r="G1374">
        <v>3.1</v>
      </c>
      <c r="H1374" t="s">
        <v>53</v>
      </c>
      <c r="I1374" t="s">
        <v>845</v>
      </c>
      <c r="J1374" s="8">
        <v>46210</v>
      </c>
      <c r="K1374" t="s">
        <v>846</v>
      </c>
    </row>
    <row r="1375" spans="1:11" x14ac:dyDescent="0.3">
      <c r="A1375" t="s">
        <v>1834</v>
      </c>
      <c r="B1375" t="s">
        <v>75</v>
      </c>
      <c r="C1375" t="s">
        <v>14</v>
      </c>
      <c r="D1375" t="s">
        <v>76</v>
      </c>
      <c r="E1375" t="s">
        <v>52</v>
      </c>
      <c r="F1375">
        <v>310000</v>
      </c>
      <c r="G1375">
        <v>3.1</v>
      </c>
      <c r="H1375" t="s">
        <v>53</v>
      </c>
      <c r="I1375" t="s">
        <v>845</v>
      </c>
      <c r="J1375" s="8">
        <v>46210</v>
      </c>
      <c r="K1375" t="s">
        <v>54</v>
      </c>
    </row>
    <row r="1376" spans="1:11" x14ac:dyDescent="0.3">
      <c r="A1376" t="s">
        <v>1835</v>
      </c>
      <c r="B1376" t="s">
        <v>864</v>
      </c>
      <c r="C1376" t="s">
        <v>99</v>
      </c>
      <c r="D1376" t="s">
        <v>71</v>
      </c>
      <c r="E1376" t="s">
        <v>77</v>
      </c>
      <c r="F1376">
        <v>2300000</v>
      </c>
      <c r="G1376">
        <v>23</v>
      </c>
      <c r="H1376" t="s">
        <v>27</v>
      </c>
      <c r="I1376" t="s">
        <v>28</v>
      </c>
      <c r="J1376" s="8">
        <v>46023</v>
      </c>
      <c r="K1376" t="s">
        <v>21</v>
      </c>
    </row>
    <row r="1377" spans="1:11" x14ac:dyDescent="0.3">
      <c r="A1377" t="s">
        <v>1835</v>
      </c>
      <c r="B1377" t="s">
        <v>864</v>
      </c>
      <c r="C1377" t="s">
        <v>99</v>
      </c>
      <c r="D1377" t="s">
        <v>71</v>
      </c>
      <c r="E1377" t="s">
        <v>77</v>
      </c>
      <c r="F1377">
        <v>2300000</v>
      </c>
      <c r="G1377">
        <v>23</v>
      </c>
      <c r="H1377" t="s">
        <v>27</v>
      </c>
      <c r="I1377" t="s">
        <v>28</v>
      </c>
      <c r="J1377" s="8">
        <v>46023</v>
      </c>
      <c r="K1377" t="s">
        <v>29</v>
      </c>
    </row>
    <row r="1378" spans="1:11" x14ac:dyDescent="0.3">
      <c r="A1378" t="s">
        <v>1835</v>
      </c>
      <c r="B1378" t="s">
        <v>864</v>
      </c>
      <c r="C1378" t="s">
        <v>99</v>
      </c>
      <c r="D1378" t="s">
        <v>71</v>
      </c>
      <c r="E1378" t="s">
        <v>77</v>
      </c>
      <c r="F1378">
        <v>2300000</v>
      </c>
      <c r="G1378">
        <v>23</v>
      </c>
      <c r="H1378" t="s">
        <v>27</v>
      </c>
      <c r="I1378" t="s">
        <v>28</v>
      </c>
      <c r="J1378" s="8">
        <v>46023</v>
      </c>
      <c r="K1378" t="s">
        <v>45</v>
      </c>
    </row>
    <row r="1379" spans="1:11" x14ac:dyDescent="0.3">
      <c r="A1379" t="s">
        <v>1837</v>
      </c>
      <c r="B1379" t="s">
        <v>13</v>
      </c>
      <c r="C1379" t="s">
        <v>125</v>
      </c>
      <c r="D1379" t="s">
        <v>76</v>
      </c>
      <c r="E1379" t="s">
        <v>37</v>
      </c>
      <c r="F1379">
        <v>1870000</v>
      </c>
      <c r="G1379">
        <v>18.7</v>
      </c>
      <c r="H1379" t="s">
        <v>27</v>
      </c>
      <c r="I1379" t="s">
        <v>845</v>
      </c>
      <c r="J1379" s="8">
        <v>46180</v>
      </c>
      <c r="K1379" t="s">
        <v>45</v>
      </c>
    </row>
    <row r="1380" spans="1:11" x14ac:dyDescent="0.3">
      <c r="A1380" t="s">
        <v>1837</v>
      </c>
      <c r="B1380" t="s">
        <v>13</v>
      </c>
      <c r="C1380" t="s">
        <v>125</v>
      </c>
      <c r="D1380" t="s">
        <v>76</v>
      </c>
      <c r="E1380" t="s">
        <v>37</v>
      </c>
      <c r="F1380">
        <v>1870000</v>
      </c>
      <c r="G1380">
        <v>18.7</v>
      </c>
      <c r="H1380" t="s">
        <v>27</v>
      </c>
      <c r="I1380" t="s">
        <v>845</v>
      </c>
      <c r="J1380" s="8">
        <v>46180</v>
      </c>
      <c r="K1380" t="s">
        <v>54</v>
      </c>
    </row>
    <row r="1381" spans="1:11" x14ac:dyDescent="0.3">
      <c r="A1381" t="s">
        <v>1837</v>
      </c>
      <c r="B1381" t="s">
        <v>13</v>
      </c>
      <c r="C1381" t="s">
        <v>125</v>
      </c>
      <c r="D1381" t="s">
        <v>76</v>
      </c>
      <c r="E1381" t="s">
        <v>37</v>
      </c>
      <c r="F1381">
        <v>1870000</v>
      </c>
      <c r="G1381">
        <v>18.7</v>
      </c>
      <c r="H1381" t="s">
        <v>27</v>
      </c>
      <c r="I1381" t="s">
        <v>845</v>
      </c>
      <c r="J1381" s="8">
        <v>46180</v>
      </c>
      <c r="K1381" t="s">
        <v>21</v>
      </c>
    </row>
    <row r="1382" spans="1:11" x14ac:dyDescent="0.3">
      <c r="A1382" t="s">
        <v>1839</v>
      </c>
      <c r="B1382" t="s">
        <v>864</v>
      </c>
      <c r="C1382" t="s">
        <v>283</v>
      </c>
      <c r="D1382" t="s">
        <v>71</v>
      </c>
      <c r="E1382" t="s">
        <v>16</v>
      </c>
      <c r="F1382">
        <v>690000</v>
      </c>
      <c r="G1382">
        <v>6.9</v>
      </c>
      <c r="H1382" t="s">
        <v>27</v>
      </c>
      <c r="I1382" t="s">
        <v>59</v>
      </c>
      <c r="J1382" s="8">
        <v>46034</v>
      </c>
      <c r="K1382" t="s">
        <v>908</v>
      </c>
    </row>
    <row r="1383" spans="1:11" x14ac:dyDescent="0.3">
      <c r="A1383" t="s">
        <v>1839</v>
      </c>
      <c r="B1383" t="s">
        <v>864</v>
      </c>
      <c r="C1383" t="s">
        <v>283</v>
      </c>
      <c r="D1383" t="s">
        <v>71</v>
      </c>
      <c r="E1383" t="s">
        <v>16</v>
      </c>
      <c r="F1383">
        <v>690000</v>
      </c>
      <c r="G1383">
        <v>6.9</v>
      </c>
      <c r="H1383" t="s">
        <v>27</v>
      </c>
      <c r="I1383" t="s">
        <v>59</v>
      </c>
      <c r="J1383" s="8">
        <v>46034</v>
      </c>
      <c r="K1383" t="s">
        <v>846</v>
      </c>
    </row>
    <row r="1384" spans="1:11" x14ac:dyDescent="0.3">
      <c r="A1384" t="s">
        <v>1839</v>
      </c>
      <c r="B1384" t="s">
        <v>864</v>
      </c>
      <c r="C1384" t="s">
        <v>283</v>
      </c>
      <c r="D1384" t="s">
        <v>71</v>
      </c>
      <c r="E1384" t="s">
        <v>16</v>
      </c>
      <c r="F1384">
        <v>690000</v>
      </c>
      <c r="G1384">
        <v>6.9</v>
      </c>
      <c r="H1384" t="s">
        <v>27</v>
      </c>
      <c r="I1384" t="s">
        <v>59</v>
      </c>
      <c r="J1384" s="8">
        <v>46034</v>
      </c>
      <c r="K1384" t="s">
        <v>21</v>
      </c>
    </row>
    <row r="1385" spans="1:11" x14ac:dyDescent="0.3">
      <c r="A1385" t="s">
        <v>1840</v>
      </c>
      <c r="B1385" t="s">
        <v>852</v>
      </c>
      <c r="C1385" t="s">
        <v>906</v>
      </c>
      <c r="D1385" t="s">
        <v>36</v>
      </c>
      <c r="E1385" t="s">
        <v>16</v>
      </c>
      <c r="F1385">
        <v>750000</v>
      </c>
      <c r="G1385">
        <v>7.5</v>
      </c>
      <c r="H1385" t="s">
        <v>27</v>
      </c>
      <c r="I1385" t="s">
        <v>845</v>
      </c>
      <c r="J1385" s="8">
        <v>46182</v>
      </c>
      <c r="K1385" t="s">
        <v>20</v>
      </c>
    </row>
    <row r="1386" spans="1:11" x14ac:dyDescent="0.3">
      <c r="A1386" t="s">
        <v>1840</v>
      </c>
      <c r="B1386" t="s">
        <v>852</v>
      </c>
      <c r="C1386" t="s">
        <v>906</v>
      </c>
      <c r="D1386" t="s">
        <v>36</v>
      </c>
      <c r="E1386" t="s">
        <v>16</v>
      </c>
      <c r="F1386">
        <v>750000</v>
      </c>
      <c r="G1386">
        <v>7.5</v>
      </c>
      <c r="H1386" t="s">
        <v>27</v>
      </c>
      <c r="I1386" t="s">
        <v>845</v>
      </c>
      <c r="J1386" s="8">
        <v>46182</v>
      </c>
      <c r="K1386" t="s">
        <v>29</v>
      </c>
    </row>
    <row r="1387" spans="1:11" x14ac:dyDescent="0.3">
      <c r="A1387" t="s">
        <v>1840</v>
      </c>
      <c r="B1387" t="s">
        <v>852</v>
      </c>
      <c r="C1387" t="s">
        <v>906</v>
      </c>
      <c r="D1387" t="s">
        <v>36</v>
      </c>
      <c r="E1387" t="s">
        <v>16</v>
      </c>
      <c r="F1387">
        <v>750000</v>
      </c>
      <c r="G1387">
        <v>7.5</v>
      </c>
      <c r="H1387" t="s">
        <v>27</v>
      </c>
      <c r="I1387" t="s">
        <v>845</v>
      </c>
      <c r="J1387" s="8">
        <v>46182</v>
      </c>
      <c r="K1387" t="s">
        <v>45</v>
      </c>
    </row>
    <row r="1388" spans="1:11" x14ac:dyDescent="0.3">
      <c r="A1388" t="s">
        <v>1841</v>
      </c>
      <c r="B1388" t="s">
        <v>864</v>
      </c>
      <c r="C1388" t="s">
        <v>295</v>
      </c>
      <c r="D1388" t="s">
        <v>36</v>
      </c>
      <c r="E1388" t="s">
        <v>52</v>
      </c>
      <c r="F1388">
        <v>280000</v>
      </c>
      <c r="G1388">
        <v>2.8</v>
      </c>
      <c r="H1388" t="s">
        <v>53</v>
      </c>
      <c r="I1388" t="s">
        <v>28</v>
      </c>
      <c r="J1388" s="8">
        <v>46183</v>
      </c>
      <c r="K1388" t="s">
        <v>846</v>
      </c>
    </row>
    <row r="1389" spans="1:11" x14ac:dyDescent="0.3">
      <c r="A1389" t="s">
        <v>1841</v>
      </c>
      <c r="B1389" t="s">
        <v>864</v>
      </c>
      <c r="C1389" t="s">
        <v>295</v>
      </c>
      <c r="D1389" t="s">
        <v>36</v>
      </c>
      <c r="E1389" t="s">
        <v>52</v>
      </c>
      <c r="F1389">
        <v>280000</v>
      </c>
      <c r="G1389">
        <v>2.8</v>
      </c>
      <c r="H1389" t="s">
        <v>53</v>
      </c>
      <c r="I1389" t="s">
        <v>28</v>
      </c>
      <c r="J1389" s="8">
        <v>46183</v>
      </c>
      <c r="K1389" t="s">
        <v>878</v>
      </c>
    </row>
    <row r="1390" spans="1:11" x14ac:dyDescent="0.3">
      <c r="A1390" t="s">
        <v>1841</v>
      </c>
      <c r="B1390" t="s">
        <v>864</v>
      </c>
      <c r="C1390" t="s">
        <v>295</v>
      </c>
      <c r="D1390" t="s">
        <v>36</v>
      </c>
      <c r="E1390" t="s">
        <v>52</v>
      </c>
      <c r="F1390">
        <v>280000</v>
      </c>
      <c r="G1390">
        <v>2.8</v>
      </c>
      <c r="H1390" t="s">
        <v>53</v>
      </c>
      <c r="I1390" t="s">
        <v>28</v>
      </c>
      <c r="J1390" s="8">
        <v>46183</v>
      </c>
      <c r="K1390" t="s">
        <v>21</v>
      </c>
    </row>
    <row r="1391" spans="1:11" x14ac:dyDescent="0.3">
      <c r="A1391" t="s">
        <v>1842</v>
      </c>
      <c r="B1391" t="s">
        <v>852</v>
      </c>
      <c r="C1391" t="s">
        <v>227</v>
      </c>
      <c r="D1391" t="s">
        <v>71</v>
      </c>
      <c r="E1391" t="s">
        <v>16</v>
      </c>
      <c r="F1391">
        <v>615000</v>
      </c>
      <c r="G1391">
        <v>6.15</v>
      </c>
      <c r="H1391" t="s">
        <v>27</v>
      </c>
      <c r="I1391" t="s">
        <v>28</v>
      </c>
      <c r="J1391" s="8">
        <v>46026</v>
      </c>
      <c r="K1391" t="s">
        <v>854</v>
      </c>
    </row>
    <row r="1392" spans="1:11" x14ac:dyDescent="0.3">
      <c r="A1392" t="s">
        <v>1842</v>
      </c>
      <c r="B1392" t="s">
        <v>852</v>
      </c>
      <c r="C1392" t="s">
        <v>227</v>
      </c>
      <c r="D1392" t="s">
        <v>71</v>
      </c>
      <c r="E1392" t="s">
        <v>16</v>
      </c>
      <c r="F1392">
        <v>615000</v>
      </c>
      <c r="G1392">
        <v>6.15</v>
      </c>
      <c r="H1392" t="s">
        <v>27</v>
      </c>
      <c r="I1392" t="s">
        <v>28</v>
      </c>
      <c r="J1392" s="8">
        <v>46026</v>
      </c>
      <c r="K1392" t="s">
        <v>54</v>
      </c>
    </row>
    <row r="1393" spans="1:11" x14ac:dyDescent="0.3">
      <c r="A1393" t="s">
        <v>1842</v>
      </c>
      <c r="B1393" t="s">
        <v>852</v>
      </c>
      <c r="C1393" t="s">
        <v>227</v>
      </c>
      <c r="D1393" t="s">
        <v>71</v>
      </c>
      <c r="E1393" t="s">
        <v>16</v>
      </c>
      <c r="F1393">
        <v>615000</v>
      </c>
      <c r="G1393">
        <v>6.15</v>
      </c>
      <c r="H1393" t="s">
        <v>27</v>
      </c>
      <c r="I1393" t="s">
        <v>28</v>
      </c>
      <c r="J1393" s="8">
        <v>46026</v>
      </c>
      <c r="K1393" t="s">
        <v>46</v>
      </c>
    </row>
    <row r="1394" spans="1:11" x14ac:dyDescent="0.3">
      <c r="A1394" t="s">
        <v>1844</v>
      </c>
      <c r="B1394" t="s">
        <v>864</v>
      </c>
      <c r="C1394" t="s">
        <v>35</v>
      </c>
      <c r="D1394" t="s">
        <v>76</v>
      </c>
      <c r="E1394" t="s">
        <v>16</v>
      </c>
      <c r="F1394">
        <v>985000</v>
      </c>
      <c r="G1394">
        <v>9.85</v>
      </c>
      <c r="H1394" t="s">
        <v>27</v>
      </c>
      <c r="I1394" t="s">
        <v>28</v>
      </c>
      <c r="J1394" s="8">
        <v>46262</v>
      </c>
      <c r="K1394" t="s">
        <v>31</v>
      </c>
    </row>
    <row r="1395" spans="1:11" x14ac:dyDescent="0.3">
      <c r="A1395" t="s">
        <v>1844</v>
      </c>
      <c r="B1395" t="s">
        <v>864</v>
      </c>
      <c r="C1395" t="s">
        <v>35</v>
      </c>
      <c r="D1395" t="s">
        <v>76</v>
      </c>
      <c r="E1395" t="s">
        <v>16</v>
      </c>
      <c r="F1395">
        <v>985000</v>
      </c>
      <c r="G1395">
        <v>9.85</v>
      </c>
      <c r="H1395" t="s">
        <v>27</v>
      </c>
      <c r="I1395" t="s">
        <v>28</v>
      </c>
      <c r="J1395" s="8">
        <v>46262</v>
      </c>
      <c r="K1395" t="s">
        <v>878</v>
      </c>
    </row>
    <row r="1396" spans="1:11" x14ac:dyDescent="0.3">
      <c r="A1396" t="s">
        <v>1844</v>
      </c>
      <c r="B1396" t="s">
        <v>864</v>
      </c>
      <c r="C1396" t="s">
        <v>35</v>
      </c>
      <c r="D1396" t="s">
        <v>76</v>
      </c>
      <c r="E1396" t="s">
        <v>16</v>
      </c>
      <c r="F1396">
        <v>985000</v>
      </c>
      <c r="G1396">
        <v>9.85</v>
      </c>
      <c r="H1396" t="s">
        <v>27</v>
      </c>
      <c r="I1396" t="s">
        <v>28</v>
      </c>
      <c r="J1396" s="8">
        <v>46262</v>
      </c>
      <c r="K1396" t="s">
        <v>54</v>
      </c>
    </row>
    <row r="1397" spans="1:11" x14ac:dyDescent="0.3">
      <c r="A1397" t="s">
        <v>1845</v>
      </c>
      <c r="B1397" t="s">
        <v>13</v>
      </c>
      <c r="C1397" t="s">
        <v>1032</v>
      </c>
      <c r="D1397" t="s">
        <v>76</v>
      </c>
      <c r="E1397" t="s">
        <v>37</v>
      </c>
      <c r="F1397">
        <v>1165000</v>
      </c>
      <c r="G1397">
        <v>11.65</v>
      </c>
      <c r="H1397" t="s">
        <v>27</v>
      </c>
      <c r="I1397" t="s">
        <v>59</v>
      </c>
      <c r="J1397" s="8">
        <v>46094</v>
      </c>
      <c r="K1397" t="s">
        <v>54</v>
      </c>
    </row>
    <row r="1398" spans="1:11" x14ac:dyDescent="0.3">
      <c r="A1398" t="s">
        <v>1845</v>
      </c>
      <c r="B1398" t="s">
        <v>13</v>
      </c>
      <c r="C1398" t="s">
        <v>1032</v>
      </c>
      <c r="D1398" t="s">
        <v>76</v>
      </c>
      <c r="E1398" t="s">
        <v>37</v>
      </c>
      <c r="F1398">
        <v>1165000</v>
      </c>
      <c r="G1398">
        <v>11.65</v>
      </c>
      <c r="H1398" t="s">
        <v>27</v>
      </c>
      <c r="I1398" t="s">
        <v>59</v>
      </c>
      <c r="J1398" s="8">
        <v>46094</v>
      </c>
      <c r="K1398" t="s">
        <v>20</v>
      </c>
    </row>
    <row r="1399" spans="1:11" x14ac:dyDescent="0.3">
      <c r="A1399" t="s">
        <v>1845</v>
      </c>
      <c r="B1399" t="s">
        <v>13</v>
      </c>
      <c r="C1399" t="s">
        <v>1032</v>
      </c>
      <c r="D1399" t="s">
        <v>76</v>
      </c>
      <c r="E1399" t="s">
        <v>37</v>
      </c>
      <c r="F1399">
        <v>1165000</v>
      </c>
      <c r="G1399">
        <v>11.65</v>
      </c>
      <c r="H1399" t="s">
        <v>27</v>
      </c>
      <c r="I1399" t="s">
        <v>59</v>
      </c>
      <c r="J1399" s="8">
        <v>46094</v>
      </c>
      <c r="K1399" t="s">
        <v>878</v>
      </c>
    </row>
    <row r="1400" spans="1:11" x14ac:dyDescent="0.3">
      <c r="A1400" t="s">
        <v>1847</v>
      </c>
      <c r="B1400" t="s">
        <v>996</v>
      </c>
      <c r="C1400" t="s">
        <v>655</v>
      </c>
      <c r="D1400" t="s">
        <v>36</v>
      </c>
      <c r="E1400" t="s">
        <v>52</v>
      </c>
      <c r="F1400">
        <v>475000</v>
      </c>
      <c r="G1400">
        <v>4.75</v>
      </c>
      <c r="H1400" t="s">
        <v>27</v>
      </c>
      <c r="I1400" t="s">
        <v>28</v>
      </c>
      <c r="J1400" s="8">
        <v>46068</v>
      </c>
      <c r="K1400" t="s">
        <v>54</v>
      </c>
    </row>
    <row r="1401" spans="1:11" x14ac:dyDescent="0.3">
      <c r="A1401" t="s">
        <v>1847</v>
      </c>
      <c r="B1401" t="s">
        <v>996</v>
      </c>
      <c r="C1401" t="s">
        <v>655</v>
      </c>
      <c r="D1401" t="s">
        <v>36</v>
      </c>
      <c r="E1401" t="s">
        <v>52</v>
      </c>
      <c r="F1401">
        <v>475000</v>
      </c>
      <c r="G1401">
        <v>4.75</v>
      </c>
      <c r="H1401" t="s">
        <v>27</v>
      </c>
      <c r="I1401" t="s">
        <v>28</v>
      </c>
      <c r="J1401" s="8">
        <v>46068</v>
      </c>
      <c r="K1401" t="s">
        <v>874</v>
      </c>
    </row>
    <row r="1402" spans="1:11" x14ac:dyDescent="0.3">
      <c r="A1402" t="s">
        <v>1847</v>
      </c>
      <c r="B1402" t="s">
        <v>996</v>
      </c>
      <c r="C1402" t="s">
        <v>655</v>
      </c>
      <c r="D1402" t="s">
        <v>36</v>
      </c>
      <c r="E1402" t="s">
        <v>52</v>
      </c>
      <c r="F1402">
        <v>475000</v>
      </c>
      <c r="G1402">
        <v>4.75</v>
      </c>
      <c r="H1402" t="s">
        <v>27</v>
      </c>
      <c r="I1402" t="s">
        <v>28</v>
      </c>
      <c r="J1402" s="8">
        <v>46068</v>
      </c>
      <c r="K1402" t="s">
        <v>31</v>
      </c>
    </row>
    <row r="1403" spans="1:11" x14ac:dyDescent="0.3">
      <c r="A1403" t="s">
        <v>1848</v>
      </c>
      <c r="B1403" t="s">
        <v>42</v>
      </c>
      <c r="C1403" t="s">
        <v>530</v>
      </c>
      <c r="D1403" t="s">
        <v>96</v>
      </c>
      <c r="E1403" t="s">
        <v>77</v>
      </c>
      <c r="F1403">
        <v>3270000</v>
      </c>
      <c r="G1403">
        <v>32.700000000000003</v>
      </c>
      <c r="H1403" t="s">
        <v>27</v>
      </c>
      <c r="I1403" t="s">
        <v>28</v>
      </c>
      <c r="J1403" s="8">
        <v>46194</v>
      </c>
      <c r="K1403" t="s">
        <v>878</v>
      </c>
    </row>
    <row r="1404" spans="1:11" x14ac:dyDescent="0.3">
      <c r="A1404" t="s">
        <v>1848</v>
      </c>
      <c r="B1404" t="s">
        <v>42</v>
      </c>
      <c r="C1404" t="s">
        <v>530</v>
      </c>
      <c r="D1404" t="s">
        <v>96</v>
      </c>
      <c r="E1404" t="s">
        <v>77</v>
      </c>
      <c r="F1404">
        <v>3270000</v>
      </c>
      <c r="G1404">
        <v>32.700000000000003</v>
      </c>
      <c r="H1404" t="s">
        <v>27</v>
      </c>
      <c r="I1404" t="s">
        <v>28</v>
      </c>
      <c r="J1404" s="8">
        <v>46194</v>
      </c>
      <c r="K1404" t="s">
        <v>29</v>
      </c>
    </row>
    <row r="1405" spans="1:11" x14ac:dyDescent="0.3">
      <c r="A1405" t="s">
        <v>1848</v>
      </c>
      <c r="B1405" t="s">
        <v>42</v>
      </c>
      <c r="C1405" t="s">
        <v>530</v>
      </c>
      <c r="D1405" t="s">
        <v>96</v>
      </c>
      <c r="E1405" t="s">
        <v>77</v>
      </c>
      <c r="F1405">
        <v>3270000</v>
      </c>
      <c r="G1405">
        <v>32.700000000000003</v>
      </c>
      <c r="H1405" t="s">
        <v>27</v>
      </c>
      <c r="I1405" t="s">
        <v>28</v>
      </c>
      <c r="J1405" s="8">
        <v>46194</v>
      </c>
      <c r="K1405" t="s">
        <v>854</v>
      </c>
    </row>
    <row r="1406" spans="1:11" x14ac:dyDescent="0.3">
      <c r="A1406" t="s">
        <v>1850</v>
      </c>
      <c r="B1406" t="s">
        <v>864</v>
      </c>
      <c r="C1406" t="s">
        <v>899</v>
      </c>
      <c r="D1406" t="s">
        <v>51</v>
      </c>
      <c r="E1406" t="s">
        <v>77</v>
      </c>
      <c r="F1406">
        <v>2995000</v>
      </c>
      <c r="G1406">
        <v>29.95</v>
      </c>
      <c r="H1406" t="s">
        <v>27</v>
      </c>
      <c r="I1406" t="s">
        <v>28</v>
      </c>
      <c r="J1406" s="8">
        <v>46148</v>
      </c>
      <c r="K1406" t="s">
        <v>846</v>
      </c>
    </row>
    <row r="1407" spans="1:11" x14ac:dyDescent="0.3">
      <c r="A1407" t="s">
        <v>1850</v>
      </c>
      <c r="B1407" t="s">
        <v>864</v>
      </c>
      <c r="C1407" t="s">
        <v>899</v>
      </c>
      <c r="D1407" t="s">
        <v>51</v>
      </c>
      <c r="E1407" t="s">
        <v>77</v>
      </c>
      <c r="F1407">
        <v>2995000</v>
      </c>
      <c r="G1407">
        <v>29.95</v>
      </c>
      <c r="H1407" t="s">
        <v>27</v>
      </c>
      <c r="I1407" t="s">
        <v>28</v>
      </c>
      <c r="J1407" s="8">
        <v>46148</v>
      </c>
      <c r="K1407" t="s">
        <v>21</v>
      </c>
    </row>
    <row r="1408" spans="1:11" x14ac:dyDescent="0.3">
      <c r="A1408" t="s">
        <v>1850</v>
      </c>
      <c r="B1408" t="s">
        <v>864</v>
      </c>
      <c r="C1408" t="s">
        <v>899</v>
      </c>
      <c r="D1408" t="s">
        <v>51</v>
      </c>
      <c r="E1408" t="s">
        <v>77</v>
      </c>
      <c r="F1408">
        <v>2995000</v>
      </c>
      <c r="G1408">
        <v>29.95</v>
      </c>
      <c r="H1408" t="s">
        <v>27</v>
      </c>
      <c r="I1408" t="s">
        <v>28</v>
      </c>
      <c r="J1408" s="8">
        <v>46148</v>
      </c>
      <c r="K1408" t="s">
        <v>45</v>
      </c>
    </row>
    <row r="1409" spans="1:11" x14ac:dyDescent="0.3">
      <c r="A1409" t="s">
        <v>1851</v>
      </c>
      <c r="B1409" t="s">
        <v>42</v>
      </c>
      <c r="C1409" t="s">
        <v>123</v>
      </c>
      <c r="D1409" t="s">
        <v>81</v>
      </c>
      <c r="E1409" t="s">
        <v>77</v>
      </c>
      <c r="F1409">
        <v>1725000</v>
      </c>
      <c r="G1409">
        <v>17.25</v>
      </c>
      <c r="H1409" t="s">
        <v>17</v>
      </c>
      <c r="I1409" t="s">
        <v>845</v>
      </c>
      <c r="J1409" s="8">
        <v>46132</v>
      </c>
      <c r="K1409" t="s">
        <v>46</v>
      </c>
    </row>
    <row r="1410" spans="1:11" x14ac:dyDescent="0.3">
      <c r="A1410" t="s">
        <v>1851</v>
      </c>
      <c r="B1410" t="s">
        <v>42</v>
      </c>
      <c r="C1410" t="s">
        <v>123</v>
      </c>
      <c r="D1410" t="s">
        <v>81</v>
      </c>
      <c r="E1410" t="s">
        <v>77</v>
      </c>
      <c r="F1410">
        <v>1725000</v>
      </c>
      <c r="G1410">
        <v>17.25</v>
      </c>
      <c r="H1410" t="s">
        <v>17</v>
      </c>
      <c r="I1410" t="s">
        <v>845</v>
      </c>
      <c r="J1410" s="8">
        <v>46132</v>
      </c>
      <c r="K1410" t="s">
        <v>45</v>
      </c>
    </row>
    <row r="1411" spans="1:11" x14ac:dyDescent="0.3">
      <c r="A1411" t="s">
        <v>1851</v>
      </c>
      <c r="B1411" t="s">
        <v>42</v>
      </c>
      <c r="C1411" t="s">
        <v>123</v>
      </c>
      <c r="D1411" t="s">
        <v>81</v>
      </c>
      <c r="E1411" t="s">
        <v>77</v>
      </c>
      <c r="F1411">
        <v>1725000</v>
      </c>
      <c r="G1411">
        <v>17.25</v>
      </c>
      <c r="H1411" t="s">
        <v>17</v>
      </c>
      <c r="I1411" t="s">
        <v>845</v>
      </c>
      <c r="J1411" s="8">
        <v>46132</v>
      </c>
      <c r="K1411" t="s">
        <v>39</v>
      </c>
    </row>
    <row r="1412" spans="1:11" x14ac:dyDescent="0.3">
      <c r="A1412" t="s">
        <v>1853</v>
      </c>
      <c r="B1412" t="s">
        <v>13</v>
      </c>
      <c r="C1412" t="s">
        <v>530</v>
      </c>
      <c r="D1412" t="s">
        <v>36</v>
      </c>
      <c r="E1412" t="s">
        <v>116</v>
      </c>
      <c r="F1412">
        <v>1155000</v>
      </c>
      <c r="G1412">
        <v>11.55</v>
      </c>
      <c r="H1412" t="s">
        <v>27</v>
      </c>
      <c r="I1412" t="s">
        <v>28</v>
      </c>
      <c r="J1412" s="8">
        <v>46060</v>
      </c>
      <c r="K1412" t="s">
        <v>45</v>
      </c>
    </row>
    <row r="1413" spans="1:11" x14ac:dyDescent="0.3">
      <c r="A1413" t="s">
        <v>1853</v>
      </c>
      <c r="B1413" t="s">
        <v>13</v>
      </c>
      <c r="C1413" t="s">
        <v>530</v>
      </c>
      <c r="D1413" t="s">
        <v>36</v>
      </c>
      <c r="E1413" t="s">
        <v>116</v>
      </c>
      <c r="F1413">
        <v>1155000</v>
      </c>
      <c r="G1413">
        <v>11.55</v>
      </c>
      <c r="H1413" t="s">
        <v>27</v>
      </c>
      <c r="I1413" t="s">
        <v>28</v>
      </c>
      <c r="J1413" s="8">
        <v>46060</v>
      </c>
      <c r="K1413" t="s">
        <v>878</v>
      </c>
    </row>
    <row r="1414" spans="1:11" x14ac:dyDescent="0.3">
      <c r="A1414" t="s">
        <v>1853</v>
      </c>
      <c r="B1414" t="s">
        <v>13</v>
      </c>
      <c r="C1414" t="s">
        <v>530</v>
      </c>
      <c r="D1414" t="s">
        <v>36</v>
      </c>
      <c r="E1414" t="s">
        <v>116</v>
      </c>
      <c r="F1414">
        <v>1155000</v>
      </c>
      <c r="G1414">
        <v>11.55</v>
      </c>
      <c r="H1414" t="s">
        <v>27</v>
      </c>
      <c r="I1414" t="s">
        <v>28</v>
      </c>
      <c r="J1414" s="8">
        <v>46060</v>
      </c>
      <c r="K1414" t="s">
        <v>54</v>
      </c>
    </row>
    <row r="1415" spans="1:11" x14ac:dyDescent="0.3">
      <c r="A1415" t="s">
        <v>1854</v>
      </c>
      <c r="B1415" t="s">
        <v>996</v>
      </c>
      <c r="C1415" t="s">
        <v>940</v>
      </c>
      <c r="D1415" t="s">
        <v>64</v>
      </c>
      <c r="E1415" t="s">
        <v>52</v>
      </c>
      <c r="F1415">
        <v>655000</v>
      </c>
      <c r="G1415">
        <v>6.55</v>
      </c>
      <c r="H1415" t="s">
        <v>27</v>
      </c>
      <c r="I1415" t="s">
        <v>845</v>
      </c>
      <c r="J1415" s="8">
        <v>46047</v>
      </c>
      <c r="K1415" t="s">
        <v>874</v>
      </c>
    </row>
    <row r="1416" spans="1:11" x14ac:dyDescent="0.3">
      <c r="A1416" t="s">
        <v>1854</v>
      </c>
      <c r="B1416" t="s">
        <v>996</v>
      </c>
      <c r="C1416" t="s">
        <v>940</v>
      </c>
      <c r="D1416" t="s">
        <v>64</v>
      </c>
      <c r="E1416" t="s">
        <v>52</v>
      </c>
      <c r="F1416">
        <v>655000</v>
      </c>
      <c r="G1416">
        <v>6.55</v>
      </c>
      <c r="H1416" t="s">
        <v>27</v>
      </c>
      <c r="I1416" t="s">
        <v>845</v>
      </c>
      <c r="J1416" s="8">
        <v>46047</v>
      </c>
      <c r="K1416" t="s">
        <v>39</v>
      </c>
    </row>
    <row r="1417" spans="1:11" x14ac:dyDescent="0.3">
      <c r="A1417" t="s">
        <v>1854</v>
      </c>
      <c r="B1417" t="s">
        <v>996</v>
      </c>
      <c r="C1417" t="s">
        <v>940</v>
      </c>
      <c r="D1417" t="s">
        <v>64</v>
      </c>
      <c r="E1417" t="s">
        <v>52</v>
      </c>
      <c r="F1417">
        <v>655000</v>
      </c>
      <c r="G1417">
        <v>6.55</v>
      </c>
      <c r="H1417" t="s">
        <v>27</v>
      </c>
      <c r="I1417" t="s">
        <v>845</v>
      </c>
      <c r="J1417" s="8">
        <v>46047</v>
      </c>
      <c r="K1417" t="s">
        <v>937</v>
      </c>
    </row>
    <row r="1418" spans="1:11" x14ac:dyDescent="0.3">
      <c r="A1418" t="s">
        <v>1855</v>
      </c>
      <c r="B1418" t="s">
        <v>42</v>
      </c>
      <c r="C1418" t="s">
        <v>441</v>
      </c>
      <c r="D1418" t="s">
        <v>96</v>
      </c>
      <c r="E1418" t="s">
        <v>16</v>
      </c>
      <c r="F1418">
        <v>665000</v>
      </c>
      <c r="G1418">
        <v>6.65</v>
      </c>
      <c r="H1418" t="s">
        <v>27</v>
      </c>
      <c r="I1418" t="s">
        <v>28</v>
      </c>
      <c r="J1418" s="8">
        <v>46213</v>
      </c>
      <c r="K1418" t="s">
        <v>854</v>
      </c>
    </row>
    <row r="1419" spans="1:11" x14ac:dyDescent="0.3">
      <c r="A1419" t="s">
        <v>1855</v>
      </c>
      <c r="B1419" t="s">
        <v>42</v>
      </c>
      <c r="C1419" t="s">
        <v>441</v>
      </c>
      <c r="D1419" t="s">
        <v>96</v>
      </c>
      <c r="E1419" t="s">
        <v>16</v>
      </c>
      <c r="F1419">
        <v>665000</v>
      </c>
      <c r="G1419">
        <v>6.65</v>
      </c>
      <c r="H1419" t="s">
        <v>27</v>
      </c>
      <c r="I1419" t="s">
        <v>28</v>
      </c>
      <c r="J1419" s="8">
        <v>46213</v>
      </c>
      <c r="K1419" t="s">
        <v>29</v>
      </c>
    </row>
    <row r="1420" spans="1:11" x14ac:dyDescent="0.3">
      <c r="A1420" t="s">
        <v>1855</v>
      </c>
      <c r="B1420" t="s">
        <v>42</v>
      </c>
      <c r="C1420" t="s">
        <v>441</v>
      </c>
      <c r="D1420" t="s">
        <v>96</v>
      </c>
      <c r="E1420" t="s">
        <v>16</v>
      </c>
      <c r="F1420">
        <v>665000</v>
      </c>
      <c r="G1420">
        <v>6.65</v>
      </c>
      <c r="H1420" t="s">
        <v>27</v>
      </c>
      <c r="I1420" t="s">
        <v>28</v>
      </c>
      <c r="J1420" s="8">
        <v>46213</v>
      </c>
      <c r="K1420" t="s">
        <v>46</v>
      </c>
    </row>
    <row r="1421" spans="1:11" x14ac:dyDescent="0.3">
      <c r="A1421" t="s">
        <v>1856</v>
      </c>
      <c r="B1421" t="s">
        <v>75</v>
      </c>
      <c r="C1421" t="s">
        <v>953</v>
      </c>
      <c r="D1421" t="s">
        <v>36</v>
      </c>
      <c r="E1421" t="s">
        <v>37</v>
      </c>
      <c r="F1421">
        <v>2145000</v>
      </c>
      <c r="G1421">
        <v>21.45</v>
      </c>
      <c r="H1421" t="s">
        <v>27</v>
      </c>
      <c r="I1421" t="s">
        <v>845</v>
      </c>
      <c r="J1421" s="8">
        <v>46220</v>
      </c>
      <c r="K1421" t="s">
        <v>31</v>
      </c>
    </row>
    <row r="1422" spans="1:11" x14ac:dyDescent="0.3">
      <c r="A1422" t="s">
        <v>1856</v>
      </c>
      <c r="B1422" t="s">
        <v>75</v>
      </c>
      <c r="C1422" t="s">
        <v>953</v>
      </c>
      <c r="D1422" t="s">
        <v>36</v>
      </c>
      <c r="E1422" t="s">
        <v>37</v>
      </c>
      <c r="F1422">
        <v>2145000</v>
      </c>
      <c r="G1422">
        <v>21.45</v>
      </c>
      <c r="H1422" t="s">
        <v>27</v>
      </c>
      <c r="I1422" t="s">
        <v>845</v>
      </c>
      <c r="J1422" s="8">
        <v>46220</v>
      </c>
      <c r="K1422" t="s">
        <v>54</v>
      </c>
    </row>
    <row r="1423" spans="1:11" x14ac:dyDescent="0.3">
      <c r="A1423" t="s">
        <v>1856</v>
      </c>
      <c r="B1423" t="s">
        <v>75</v>
      </c>
      <c r="C1423" t="s">
        <v>953</v>
      </c>
      <c r="D1423" t="s">
        <v>36</v>
      </c>
      <c r="E1423" t="s">
        <v>37</v>
      </c>
      <c r="F1423">
        <v>2145000</v>
      </c>
      <c r="G1423">
        <v>21.45</v>
      </c>
      <c r="H1423" t="s">
        <v>27</v>
      </c>
      <c r="I1423" t="s">
        <v>845</v>
      </c>
      <c r="J1423" s="8">
        <v>46220</v>
      </c>
      <c r="K1423" t="s">
        <v>21</v>
      </c>
    </row>
    <row r="1424" spans="1:11" x14ac:dyDescent="0.3">
      <c r="A1424" t="s">
        <v>1857</v>
      </c>
      <c r="B1424" t="s">
        <v>24</v>
      </c>
      <c r="C1424" t="s">
        <v>288</v>
      </c>
      <c r="D1424" t="s">
        <v>44</v>
      </c>
      <c r="E1424" t="s">
        <v>52</v>
      </c>
      <c r="F1424">
        <v>500000</v>
      </c>
      <c r="G1424">
        <v>5</v>
      </c>
      <c r="H1424" t="s">
        <v>27</v>
      </c>
      <c r="I1424" t="s">
        <v>28</v>
      </c>
      <c r="J1424" s="8">
        <v>46101</v>
      </c>
      <c r="K1424" t="s">
        <v>31</v>
      </c>
    </row>
    <row r="1425" spans="1:11" x14ac:dyDescent="0.3">
      <c r="A1425" t="s">
        <v>1857</v>
      </c>
      <c r="B1425" t="s">
        <v>24</v>
      </c>
      <c r="C1425" t="s">
        <v>288</v>
      </c>
      <c r="D1425" t="s">
        <v>44</v>
      </c>
      <c r="E1425" t="s">
        <v>52</v>
      </c>
      <c r="F1425">
        <v>500000</v>
      </c>
      <c r="G1425">
        <v>5</v>
      </c>
      <c r="H1425" t="s">
        <v>27</v>
      </c>
      <c r="I1425" t="s">
        <v>28</v>
      </c>
      <c r="J1425" s="8">
        <v>46101</v>
      </c>
      <c r="K1425" t="s">
        <v>878</v>
      </c>
    </row>
    <row r="1426" spans="1:11" x14ac:dyDescent="0.3">
      <c r="A1426" t="s">
        <v>1857</v>
      </c>
      <c r="B1426" t="s">
        <v>24</v>
      </c>
      <c r="C1426" t="s">
        <v>288</v>
      </c>
      <c r="D1426" t="s">
        <v>44</v>
      </c>
      <c r="E1426" t="s">
        <v>52</v>
      </c>
      <c r="F1426">
        <v>500000</v>
      </c>
      <c r="G1426">
        <v>5</v>
      </c>
      <c r="H1426" t="s">
        <v>27</v>
      </c>
      <c r="I1426" t="s">
        <v>28</v>
      </c>
      <c r="J1426" s="8">
        <v>46101</v>
      </c>
      <c r="K1426" t="s">
        <v>846</v>
      </c>
    </row>
    <row r="1427" spans="1:11" x14ac:dyDescent="0.3">
      <c r="A1427" t="s">
        <v>1858</v>
      </c>
      <c r="B1427" t="s">
        <v>960</v>
      </c>
      <c r="C1427" t="s">
        <v>999</v>
      </c>
      <c r="D1427" t="s">
        <v>36</v>
      </c>
      <c r="E1427" t="s">
        <v>52</v>
      </c>
      <c r="F1427">
        <v>375000</v>
      </c>
      <c r="G1427">
        <v>3.75</v>
      </c>
      <c r="H1427" t="s">
        <v>53</v>
      </c>
      <c r="I1427" t="s">
        <v>28</v>
      </c>
      <c r="J1427" s="8">
        <v>46153</v>
      </c>
      <c r="K1427" t="s">
        <v>31</v>
      </c>
    </row>
    <row r="1428" spans="1:11" x14ac:dyDescent="0.3">
      <c r="A1428" t="s">
        <v>1858</v>
      </c>
      <c r="B1428" t="s">
        <v>960</v>
      </c>
      <c r="C1428" t="s">
        <v>999</v>
      </c>
      <c r="D1428" t="s">
        <v>36</v>
      </c>
      <c r="E1428" t="s">
        <v>52</v>
      </c>
      <c r="F1428">
        <v>375000</v>
      </c>
      <c r="G1428">
        <v>3.75</v>
      </c>
      <c r="H1428" t="s">
        <v>53</v>
      </c>
      <c r="I1428" t="s">
        <v>28</v>
      </c>
      <c r="J1428" s="8">
        <v>46153</v>
      </c>
      <c r="K1428" t="s">
        <v>937</v>
      </c>
    </row>
    <row r="1429" spans="1:11" x14ac:dyDescent="0.3">
      <c r="A1429" t="s">
        <v>1858</v>
      </c>
      <c r="B1429" t="s">
        <v>960</v>
      </c>
      <c r="C1429" t="s">
        <v>999</v>
      </c>
      <c r="D1429" t="s">
        <v>36</v>
      </c>
      <c r="E1429" t="s">
        <v>52</v>
      </c>
      <c r="F1429">
        <v>375000</v>
      </c>
      <c r="G1429">
        <v>3.75</v>
      </c>
      <c r="H1429" t="s">
        <v>53</v>
      </c>
      <c r="I1429" t="s">
        <v>28</v>
      </c>
      <c r="J1429" s="8">
        <v>46153</v>
      </c>
      <c r="K1429" t="s">
        <v>46</v>
      </c>
    </row>
    <row r="1430" spans="1:11" x14ac:dyDescent="0.3">
      <c r="A1430" t="s">
        <v>1860</v>
      </c>
      <c r="B1430" t="s">
        <v>13</v>
      </c>
      <c r="C1430" t="s">
        <v>530</v>
      </c>
      <c r="D1430" t="s">
        <v>76</v>
      </c>
      <c r="E1430" t="s">
        <v>52</v>
      </c>
      <c r="F1430">
        <v>370000</v>
      </c>
      <c r="G1430">
        <v>3.7</v>
      </c>
      <c r="H1430" t="s">
        <v>53</v>
      </c>
      <c r="I1430" t="s">
        <v>845</v>
      </c>
      <c r="J1430" s="8">
        <v>46213</v>
      </c>
      <c r="K1430" t="s">
        <v>54</v>
      </c>
    </row>
    <row r="1431" spans="1:11" x14ac:dyDescent="0.3">
      <c r="A1431" t="s">
        <v>1860</v>
      </c>
      <c r="B1431" t="s">
        <v>13</v>
      </c>
      <c r="C1431" t="s">
        <v>530</v>
      </c>
      <c r="D1431" t="s">
        <v>76</v>
      </c>
      <c r="E1431" t="s">
        <v>52</v>
      </c>
      <c r="F1431">
        <v>370000</v>
      </c>
      <c r="G1431">
        <v>3.7</v>
      </c>
      <c r="H1431" t="s">
        <v>53</v>
      </c>
      <c r="I1431" t="s">
        <v>845</v>
      </c>
      <c r="J1431" s="8">
        <v>46213</v>
      </c>
      <c r="K1431" t="s">
        <v>878</v>
      </c>
    </row>
    <row r="1432" spans="1:11" x14ac:dyDescent="0.3">
      <c r="A1432" t="s">
        <v>1860</v>
      </c>
      <c r="B1432" t="s">
        <v>13</v>
      </c>
      <c r="C1432" t="s">
        <v>530</v>
      </c>
      <c r="D1432" t="s">
        <v>76</v>
      </c>
      <c r="E1432" t="s">
        <v>52</v>
      </c>
      <c r="F1432">
        <v>370000</v>
      </c>
      <c r="G1432">
        <v>3.7</v>
      </c>
      <c r="H1432" t="s">
        <v>53</v>
      </c>
      <c r="I1432" t="s">
        <v>845</v>
      </c>
      <c r="J1432" s="8">
        <v>46213</v>
      </c>
      <c r="K1432" t="s">
        <v>31</v>
      </c>
    </row>
    <row r="1433" spans="1:11" x14ac:dyDescent="0.3">
      <c r="A1433" t="s">
        <v>1862</v>
      </c>
      <c r="B1433" t="s">
        <v>864</v>
      </c>
      <c r="C1433" t="s">
        <v>277</v>
      </c>
      <c r="D1433" t="s">
        <v>51</v>
      </c>
      <c r="E1433" t="s">
        <v>52</v>
      </c>
      <c r="F1433">
        <v>605000</v>
      </c>
      <c r="G1433">
        <v>6.05</v>
      </c>
      <c r="H1433" t="s">
        <v>27</v>
      </c>
      <c r="I1433" t="s">
        <v>28</v>
      </c>
      <c r="J1433" s="8">
        <v>46247</v>
      </c>
      <c r="K1433" t="s">
        <v>878</v>
      </c>
    </row>
    <row r="1434" spans="1:11" x14ac:dyDescent="0.3">
      <c r="A1434" t="s">
        <v>1862</v>
      </c>
      <c r="B1434" t="s">
        <v>864</v>
      </c>
      <c r="C1434" t="s">
        <v>277</v>
      </c>
      <c r="D1434" t="s">
        <v>51</v>
      </c>
      <c r="E1434" t="s">
        <v>52</v>
      </c>
      <c r="F1434">
        <v>605000</v>
      </c>
      <c r="G1434">
        <v>6.05</v>
      </c>
      <c r="H1434" t="s">
        <v>27</v>
      </c>
      <c r="I1434" t="s">
        <v>28</v>
      </c>
      <c r="J1434" s="8">
        <v>46247</v>
      </c>
      <c r="K1434" t="s">
        <v>21</v>
      </c>
    </row>
    <row r="1435" spans="1:11" x14ac:dyDescent="0.3">
      <c r="A1435" t="s">
        <v>1862</v>
      </c>
      <c r="B1435" t="s">
        <v>864</v>
      </c>
      <c r="C1435" t="s">
        <v>277</v>
      </c>
      <c r="D1435" t="s">
        <v>51</v>
      </c>
      <c r="E1435" t="s">
        <v>52</v>
      </c>
      <c r="F1435">
        <v>605000</v>
      </c>
      <c r="G1435">
        <v>6.05</v>
      </c>
      <c r="H1435" t="s">
        <v>27</v>
      </c>
      <c r="I1435" t="s">
        <v>28</v>
      </c>
      <c r="J1435" s="8">
        <v>46247</v>
      </c>
      <c r="K1435" t="s">
        <v>937</v>
      </c>
    </row>
    <row r="1436" spans="1:11" x14ac:dyDescent="0.3">
      <c r="A1436" t="s">
        <v>1863</v>
      </c>
      <c r="B1436" t="s">
        <v>75</v>
      </c>
      <c r="C1436" t="s">
        <v>281</v>
      </c>
      <c r="D1436" t="s">
        <v>44</v>
      </c>
      <c r="E1436" t="s">
        <v>37</v>
      </c>
      <c r="F1436">
        <v>1035000</v>
      </c>
      <c r="G1436">
        <v>10.35</v>
      </c>
      <c r="H1436" t="s">
        <v>27</v>
      </c>
      <c r="I1436" t="s">
        <v>59</v>
      </c>
      <c r="J1436" s="8">
        <v>46215</v>
      </c>
      <c r="K1436" t="s">
        <v>846</v>
      </c>
    </row>
    <row r="1437" spans="1:11" x14ac:dyDescent="0.3">
      <c r="A1437" t="s">
        <v>1863</v>
      </c>
      <c r="B1437" t="s">
        <v>75</v>
      </c>
      <c r="C1437" t="s">
        <v>281</v>
      </c>
      <c r="D1437" t="s">
        <v>44</v>
      </c>
      <c r="E1437" t="s">
        <v>37</v>
      </c>
      <c r="F1437">
        <v>1035000</v>
      </c>
      <c r="G1437">
        <v>10.35</v>
      </c>
      <c r="H1437" t="s">
        <v>27</v>
      </c>
      <c r="I1437" t="s">
        <v>59</v>
      </c>
      <c r="J1437" s="8">
        <v>46215</v>
      </c>
      <c r="K1437" t="s">
        <v>854</v>
      </c>
    </row>
    <row r="1438" spans="1:11" x14ac:dyDescent="0.3">
      <c r="A1438" t="s">
        <v>1863</v>
      </c>
      <c r="B1438" t="s">
        <v>75</v>
      </c>
      <c r="C1438" t="s">
        <v>281</v>
      </c>
      <c r="D1438" t="s">
        <v>44</v>
      </c>
      <c r="E1438" t="s">
        <v>37</v>
      </c>
      <c r="F1438">
        <v>1035000</v>
      </c>
      <c r="G1438">
        <v>10.35</v>
      </c>
      <c r="H1438" t="s">
        <v>27</v>
      </c>
      <c r="I1438" t="s">
        <v>59</v>
      </c>
      <c r="J1438" s="8">
        <v>46215</v>
      </c>
      <c r="K1438" t="s">
        <v>878</v>
      </c>
    </row>
    <row r="1439" spans="1:11" x14ac:dyDescent="0.3">
      <c r="A1439" t="s">
        <v>1865</v>
      </c>
      <c r="B1439" t="s">
        <v>49</v>
      </c>
      <c r="C1439" t="s">
        <v>530</v>
      </c>
      <c r="D1439" t="s">
        <v>64</v>
      </c>
      <c r="E1439" t="s">
        <v>37</v>
      </c>
      <c r="F1439">
        <v>1015000</v>
      </c>
      <c r="G1439">
        <v>10.15</v>
      </c>
      <c r="H1439" t="s">
        <v>27</v>
      </c>
      <c r="I1439" t="s">
        <v>28</v>
      </c>
      <c r="J1439" s="8">
        <v>46195</v>
      </c>
      <c r="K1439" t="s">
        <v>21</v>
      </c>
    </row>
    <row r="1440" spans="1:11" x14ac:dyDescent="0.3">
      <c r="A1440" t="s">
        <v>1865</v>
      </c>
      <c r="B1440" t="s">
        <v>49</v>
      </c>
      <c r="C1440" t="s">
        <v>530</v>
      </c>
      <c r="D1440" t="s">
        <v>64</v>
      </c>
      <c r="E1440" t="s">
        <v>37</v>
      </c>
      <c r="F1440">
        <v>1015000</v>
      </c>
      <c r="G1440">
        <v>10.15</v>
      </c>
      <c r="H1440" t="s">
        <v>27</v>
      </c>
      <c r="I1440" t="s">
        <v>28</v>
      </c>
      <c r="J1440" s="8">
        <v>46195</v>
      </c>
      <c r="K1440" t="s">
        <v>937</v>
      </c>
    </row>
    <row r="1441" spans="1:11" x14ac:dyDescent="0.3">
      <c r="A1441" t="s">
        <v>1865</v>
      </c>
      <c r="B1441" t="s">
        <v>49</v>
      </c>
      <c r="C1441" t="s">
        <v>530</v>
      </c>
      <c r="D1441" t="s">
        <v>64</v>
      </c>
      <c r="E1441" t="s">
        <v>37</v>
      </c>
      <c r="F1441">
        <v>1015000</v>
      </c>
      <c r="G1441">
        <v>10.15</v>
      </c>
      <c r="H1441" t="s">
        <v>27</v>
      </c>
      <c r="I1441" t="s">
        <v>28</v>
      </c>
      <c r="J1441" s="8">
        <v>46195</v>
      </c>
      <c r="K1441" t="s">
        <v>45</v>
      </c>
    </row>
    <row r="1442" spans="1:11" x14ac:dyDescent="0.3">
      <c r="A1442" t="s">
        <v>1866</v>
      </c>
      <c r="B1442" t="s">
        <v>42</v>
      </c>
      <c r="C1442" t="s">
        <v>14</v>
      </c>
      <c r="D1442" t="s">
        <v>51</v>
      </c>
      <c r="E1442" t="s">
        <v>16</v>
      </c>
      <c r="F1442">
        <v>650000</v>
      </c>
      <c r="G1442">
        <v>6.5</v>
      </c>
      <c r="H1442" t="s">
        <v>27</v>
      </c>
      <c r="I1442" t="s">
        <v>28</v>
      </c>
      <c r="J1442" s="8">
        <v>46153</v>
      </c>
      <c r="K1442" t="s">
        <v>854</v>
      </c>
    </row>
    <row r="1443" spans="1:11" x14ac:dyDescent="0.3">
      <c r="A1443" t="s">
        <v>1866</v>
      </c>
      <c r="B1443" t="s">
        <v>42</v>
      </c>
      <c r="C1443" t="s">
        <v>14</v>
      </c>
      <c r="D1443" t="s">
        <v>51</v>
      </c>
      <c r="E1443" t="s">
        <v>16</v>
      </c>
      <c r="F1443">
        <v>650000</v>
      </c>
      <c r="G1443">
        <v>6.5</v>
      </c>
      <c r="H1443" t="s">
        <v>27</v>
      </c>
      <c r="I1443" t="s">
        <v>28</v>
      </c>
      <c r="J1443" s="8">
        <v>46153</v>
      </c>
      <c r="K1443" t="s">
        <v>29</v>
      </c>
    </row>
    <row r="1444" spans="1:11" x14ac:dyDescent="0.3">
      <c r="A1444" t="s">
        <v>1866</v>
      </c>
      <c r="B1444" t="s">
        <v>42</v>
      </c>
      <c r="C1444" t="s">
        <v>14</v>
      </c>
      <c r="D1444" t="s">
        <v>51</v>
      </c>
      <c r="E1444" t="s">
        <v>16</v>
      </c>
      <c r="F1444">
        <v>650000</v>
      </c>
      <c r="G1444">
        <v>6.5</v>
      </c>
      <c r="H1444" t="s">
        <v>27</v>
      </c>
      <c r="I1444" t="s">
        <v>28</v>
      </c>
      <c r="J1444" s="8">
        <v>46153</v>
      </c>
      <c r="K1444" t="s">
        <v>31</v>
      </c>
    </row>
    <row r="1445" spans="1:11" x14ac:dyDescent="0.3">
      <c r="A1445" t="s">
        <v>1867</v>
      </c>
      <c r="B1445" t="s">
        <v>62</v>
      </c>
      <c r="C1445" t="s">
        <v>1127</v>
      </c>
      <c r="D1445" t="s">
        <v>15</v>
      </c>
      <c r="E1445" t="s">
        <v>16</v>
      </c>
      <c r="F1445">
        <v>985000</v>
      </c>
      <c r="G1445">
        <v>9.85</v>
      </c>
      <c r="H1445" t="s">
        <v>17</v>
      </c>
      <c r="I1445" t="s">
        <v>845</v>
      </c>
      <c r="J1445" s="8">
        <v>46165</v>
      </c>
      <c r="K1445" t="s">
        <v>908</v>
      </c>
    </row>
    <row r="1446" spans="1:11" x14ac:dyDescent="0.3">
      <c r="A1446" t="s">
        <v>1867</v>
      </c>
      <c r="B1446" t="s">
        <v>62</v>
      </c>
      <c r="C1446" t="s">
        <v>1127</v>
      </c>
      <c r="D1446" t="s">
        <v>15</v>
      </c>
      <c r="E1446" t="s">
        <v>16</v>
      </c>
      <c r="F1446">
        <v>985000</v>
      </c>
      <c r="G1446">
        <v>9.85</v>
      </c>
      <c r="H1446" t="s">
        <v>17</v>
      </c>
      <c r="I1446" t="s">
        <v>845</v>
      </c>
      <c r="J1446" s="8">
        <v>46165</v>
      </c>
      <c r="K1446" t="s">
        <v>39</v>
      </c>
    </row>
    <row r="1447" spans="1:11" x14ac:dyDescent="0.3">
      <c r="A1447" t="s">
        <v>1867</v>
      </c>
      <c r="B1447" t="s">
        <v>62</v>
      </c>
      <c r="C1447" t="s">
        <v>1127</v>
      </c>
      <c r="D1447" t="s">
        <v>15</v>
      </c>
      <c r="E1447" t="s">
        <v>16</v>
      </c>
      <c r="F1447">
        <v>985000</v>
      </c>
      <c r="G1447">
        <v>9.85</v>
      </c>
      <c r="H1447" t="s">
        <v>17</v>
      </c>
      <c r="I1447" t="s">
        <v>845</v>
      </c>
      <c r="J1447" s="8">
        <v>46165</v>
      </c>
      <c r="K1447" t="s">
        <v>874</v>
      </c>
    </row>
    <row r="1448" spans="1:11" x14ac:dyDescent="0.3">
      <c r="A1448" t="s">
        <v>1868</v>
      </c>
      <c r="B1448" t="s">
        <v>864</v>
      </c>
      <c r="C1448" t="s">
        <v>283</v>
      </c>
      <c r="D1448" t="s">
        <v>64</v>
      </c>
      <c r="E1448" t="s">
        <v>16</v>
      </c>
      <c r="F1448">
        <v>1070000</v>
      </c>
      <c r="G1448">
        <v>10.7</v>
      </c>
      <c r="H1448" t="s">
        <v>27</v>
      </c>
      <c r="I1448" t="s">
        <v>28</v>
      </c>
      <c r="J1448" s="8">
        <v>46115</v>
      </c>
      <c r="K1448" t="s">
        <v>54</v>
      </c>
    </row>
    <row r="1449" spans="1:11" x14ac:dyDescent="0.3">
      <c r="A1449" t="s">
        <v>1868</v>
      </c>
      <c r="B1449" t="s">
        <v>864</v>
      </c>
      <c r="C1449" t="s">
        <v>283</v>
      </c>
      <c r="D1449" t="s">
        <v>64</v>
      </c>
      <c r="E1449" t="s">
        <v>16</v>
      </c>
      <c r="F1449">
        <v>1070000</v>
      </c>
      <c r="G1449">
        <v>10.7</v>
      </c>
      <c r="H1449" t="s">
        <v>27</v>
      </c>
      <c r="I1449" t="s">
        <v>28</v>
      </c>
      <c r="J1449" s="8">
        <v>46115</v>
      </c>
      <c r="K1449" t="s">
        <v>45</v>
      </c>
    </row>
    <row r="1450" spans="1:11" x14ac:dyDescent="0.3">
      <c r="A1450" t="s">
        <v>1868</v>
      </c>
      <c r="B1450" t="s">
        <v>864</v>
      </c>
      <c r="C1450" t="s">
        <v>283</v>
      </c>
      <c r="D1450" t="s">
        <v>64</v>
      </c>
      <c r="E1450" t="s">
        <v>16</v>
      </c>
      <c r="F1450">
        <v>1070000</v>
      </c>
      <c r="G1450">
        <v>10.7</v>
      </c>
      <c r="H1450" t="s">
        <v>27</v>
      </c>
      <c r="I1450" t="s">
        <v>28</v>
      </c>
      <c r="J1450" s="8">
        <v>46115</v>
      </c>
      <c r="K1450" t="s">
        <v>846</v>
      </c>
    </row>
    <row r="1451" spans="1:11" x14ac:dyDescent="0.3">
      <c r="A1451" t="s">
        <v>1870</v>
      </c>
      <c r="B1451" t="s">
        <v>852</v>
      </c>
      <c r="C1451" t="s">
        <v>899</v>
      </c>
      <c r="D1451" t="s">
        <v>64</v>
      </c>
      <c r="E1451" t="s">
        <v>37</v>
      </c>
      <c r="F1451">
        <v>1220000</v>
      </c>
      <c r="G1451">
        <v>12.2</v>
      </c>
      <c r="H1451" t="s">
        <v>17</v>
      </c>
      <c r="I1451" t="s">
        <v>28</v>
      </c>
      <c r="J1451" s="8">
        <v>46167</v>
      </c>
      <c r="K1451" t="s">
        <v>908</v>
      </c>
    </row>
    <row r="1452" spans="1:11" x14ac:dyDescent="0.3">
      <c r="A1452" t="s">
        <v>1870</v>
      </c>
      <c r="B1452" t="s">
        <v>852</v>
      </c>
      <c r="C1452" t="s">
        <v>899</v>
      </c>
      <c r="D1452" t="s">
        <v>64</v>
      </c>
      <c r="E1452" t="s">
        <v>37</v>
      </c>
      <c r="F1452">
        <v>1220000</v>
      </c>
      <c r="G1452">
        <v>12.2</v>
      </c>
      <c r="H1452" t="s">
        <v>17</v>
      </c>
      <c r="I1452" t="s">
        <v>28</v>
      </c>
      <c r="J1452" s="8">
        <v>46167</v>
      </c>
      <c r="K1452" t="s">
        <v>29</v>
      </c>
    </row>
    <row r="1453" spans="1:11" x14ac:dyDescent="0.3">
      <c r="A1453" t="s">
        <v>1870</v>
      </c>
      <c r="B1453" t="s">
        <v>852</v>
      </c>
      <c r="C1453" t="s">
        <v>899</v>
      </c>
      <c r="D1453" t="s">
        <v>64</v>
      </c>
      <c r="E1453" t="s">
        <v>37</v>
      </c>
      <c r="F1453">
        <v>1220000</v>
      </c>
      <c r="G1453">
        <v>12.2</v>
      </c>
      <c r="H1453" t="s">
        <v>17</v>
      </c>
      <c r="I1453" t="s">
        <v>28</v>
      </c>
      <c r="J1453" s="8">
        <v>46167</v>
      </c>
      <c r="K1453" t="s">
        <v>854</v>
      </c>
    </row>
    <row r="1454" spans="1:11" x14ac:dyDescent="0.3">
      <c r="A1454" t="s">
        <v>1872</v>
      </c>
      <c r="B1454" t="s">
        <v>13</v>
      </c>
      <c r="C1454" t="s">
        <v>400</v>
      </c>
      <c r="D1454" t="s">
        <v>64</v>
      </c>
      <c r="E1454" t="s">
        <v>37</v>
      </c>
      <c r="F1454">
        <v>1590000</v>
      </c>
      <c r="G1454">
        <v>15.9</v>
      </c>
      <c r="H1454" t="s">
        <v>27</v>
      </c>
      <c r="I1454" t="s">
        <v>28</v>
      </c>
      <c r="J1454" s="8">
        <v>46211</v>
      </c>
      <c r="K1454" t="s">
        <v>846</v>
      </c>
    </row>
    <row r="1455" spans="1:11" x14ac:dyDescent="0.3">
      <c r="A1455" t="s">
        <v>1872</v>
      </c>
      <c r="B1455" t="s">
        <v>13</v>
      </c>
      <c r="C1455" t="s">
        <v>400</v>
      </c>
      <c r="D1455" t="s">
        <v>64</v>
      </c>
      <c r="E1455" t="s">
        <v>37</v>
      </c>
      <c r="F1455">
        <v>1590000</v>
      </c>
      <c r="G1455">
        <v>15.9</v>
      </c>
      <c r="H1455" t="s">
        <v>27</v>
      </c>
      <c r="I1455" t="s">
        <v>28</v>
      </c>
      <c r="J1455" s="8">
        <v>46211</v>
      </c>
      <c r="K1455" t="s">
        <v>878</v>
      </c>
    </row>
    <row r="1456" spans="1:11" x14ac:dyDescent="0.3">
      <c r="A1456" t="s">
        <v>1872</v>
      </c>
      <c r="B1456" t="s">
        <v>13</v>
      </c>
      <c r="C1456" t="s">
        <v>400</v>
      </c>
      <c r="D1456" t="s">
        <v>64</v>
      </c>
      <c r="E1456" t="s">
        <v>37</v>
      </c>
      <c r="F1456">
        <v>1590000</v>
      </c>
      <c r="G1456">
        <v>15.9</v>
      </c>
      <c r="H1456" t="s">
        <v>27</v>
      </c>
      <c r="I1456" t="s">
        <v>28</v>
      </c>
      <c r="J1456" s="8">
        <v>46211</v>
      </c>
      <c r="K1456" t="s">
        <v>54</v>
      </c>
    </row>
    <row r="1457" spans="1:11" x14ac:dyDescent="0.3">
      <c r="A1457" t="s">
        <v>1874</v>
      </c>
      <c r="B1457" t="s">
        <v>996</v>
      </c>
      <c r="C1457" t="s">
        <v>999</v>
      </c>
      <c r="D1457" t="s">
        <v>96</v>
      </c>
      <c r="E1457" t="s">
        <v>52</v>
      </c>
      <c r="F1457">
        <v>770000</v>
      </c>
      <c r="G1457">
        <v>7.7</v>
      </c>
      <c r="H1457" t="s">
        <v>17</v>
      </c>
      <c r="I1457" t="s">
        <v>845</v>
      </c>
      <c r="J1457" s="8">
        <v>46147</v>
      </c>
      <c r="K1457" t="s">
        <v>937</v>
      </c>
    </row>
    <row r="1458" spans="1:11" x14ac:dyDescent="0.3">
      <c r="A1458" t="s">
        <v>1874</v>
      </c>
      <c r="B1458" t="s">
        <v>996</v>
      </c>
      <c r="C1458" t="s">
        <v>999</v>
      </c>
      <c r="D1458" t="s">
        <v>96</v>
      </c>
      <c r="E1458" t="s">
        <v>52</v>
      </c>
      <c r="F1458">
        <v>770000</v>
      </c>
      <c r="G1458">
        <v>7.7</v>
      </c>
      <c r="H1458" t="s">
        <v>17</v>
      </c>
      <c r="I1458" t="s">
        <v>845</v>
      </c>
      <c r="J1458" s="8">
        <v>46147</v>
      </c>
      <c r="K1458" t="s">
        <v>908</v>
      </c>
    </row>
    <row r="1459" spans="1:11" x14ac:dyDescent="0.3">
      <c r="A1459" t="s">
        <v>1874</v>
      </c>
      <c r="B1459" t="s">
        <v>996</v>
      </c>
      <c r="C1459" t="s">
        <v>999</v>
      </c>
      <c r="D1459" t="s">
        <v>96</v>
      </c>
      <c r="E1459" t="s">
        <v>52</v>
      </c>
      <c r="F1459">
        <v>770000</v>
      </c>
      <c r="G1459">
        <v>7.7</v>
      </c>
      <c r="H1459" t="s">
        <v>17</v>
      </c>
      <c r="I1459" t="s">
        <v>845</v>
      </c>
      <c r="J1459" s="8">
        <v>46147</v>
      </c>
      <c r="K1459" t="s">
        <v>39</v>
      </c>
    </row>
    <row r="1460" spans="1:11" x14ac:dyDescent="0.3">
      <c r="A1460" t="s">
        <v>1875</v>
      </c>
      <c r="B1460" t="s">
        <v>75</v>
      </c>
      <c r="C1460" t="s">
        <v>1032</v>
      </c>
      <c r="D1460" t="s">
        <v>71</v>
      </c>
      <c r="E1460" t="s">
        <v>37</v>
      </c>
      <c r="F1460">
        <v>2155000</v>
      </c>
      <c r="G1460">
        <v>21.55</v>
      </c>
      <c r="H1460" t="s">
        <v>27</v>
      </c>
      <c r="I1460" t="s">
        <v>845</v>
      </c>
      <c r="J1460" s="8">
        <v>46061</v>
      </c>
      <c r="K1460" t="s">
        <v>39</v>
      </c>
    </row>
    <row r="1461" spans="1:11" x14ac:dyDescent="0.3">
      <c r="A1461" t="s">
        <v>1875</v>
      </c>
      <c r="B1461" t="s">
        <v>75</v>
      </c>
      <c r="C1461" t="s">
        <v>1032</v>
      </c>
      <c r="D1461" t="s">
        <v>71</v>
      </c>
      <c r="E1461" t="s">
        <v>37</v>
      </c>
      <c r="F1461">
        <v>2155000</v>
      </c>
      <c r="G1461">
        <v>21.55</v>
      </c>
      <c r="H1461" t="s">
        <v>27</v>
      </c>
      <c r="I1461" t="s">
        <v>845</v>
      </c>
      <c r="J1461" s="8">
        <v>46061</v>
      </c>
      <c r="K1461" t="s">
        <v>45</v>
      </c>
    </row>
    <row r="1462" spans="1:11" x14ac:dyDescent="0.3">
      <c r="A1462" t="s">
        <v>1875</v>
      </c>
      <c r="B1462" t="s">
        <v>75</v>
      </c>
      <c r="C1462" t="s">
        <v>1032</v>
      </c>
      <c r="D1462" t="s">
        <v>71</v>
      </c>
      <c r="E1462" t="s">
        <v>37</v>
      </c>
      <c r="F1462">
        <v>2155000</v>
      </c>
      <c r="G1462">
        <v>21.55</v>
      </c>
      <c r="H1462" t="s">
        <v>27</v>
      </c>
      <c r="I1462" t="s">
        <v>845</v>
      </c>
      <c r="J1462" s="8">
        <v>46061</v>
      </c>
      <c r="K1462" t="s">
        <v>54</v>
      </c>
    </row>
    <row r="1463" spans="1:11" x14ac:dyDescent="0.3">
      <c r="A1463" t="s">
        <v>1877</v>
      </c>
      <c r="B1463" t="s">
        <v>864</v>
      </c>
      <c r="C1463" t="s">
        <v>321</v>
      </c>
      <c r="D1463" t="s">
        <v>36</v>
      </c>
      <c r="E1463" t="s">
        <v>16</v>
      </c>
      <c r="F1463">
        <v>1095000</v>
      </c>
      <c r="G1463">
        <v>10.95</v>
      </c>
      <c r="H1463" t="s">
        <v>27</v>
      </c>
      <c r="I1463" t="s">
        <v>845</v>
      </c>
      <c r="J1463" s="8">
        <v>46243</v>
      </c>
      <c r="K1463" t="s">
        <v>20</v>
      </c>
    </row>
    <row r="1464" spans="1:11" x14ac:dyDescent="0.3">
      <c r="A1464" t="s">
        <v>1877</v>
      </c>
      <c r="B1464" t="s">
        <v>864</v>
      </c>
      <c r="C1464" t="s">
        <v>321</v>
      </c>
      <c r="D1464" t="s">
        <v>36</v>
      </c>
      <c r="E1464" t="s">
        <v>16</v>
      </c>
      <c r="F1464">
        <v>1095000</v>
      </c>
      <c r="G1464">
        <v>10.95</v>
      </c>
      <c r="H1464" t="s">
        <v>27</v>
      </c>
      <c r="I1464" t="s">
        <v>845</v>
      </c>
      <c r="J1464" s="8">
        <v>46243</v>
      </c>
      <c r="K1464" t="s">
        <v>46</v>
      </c>
    </row>
    <row r="1465" spans="1:11" x14ac:dyDescent="0.3">
      <c r="A1465" t="s">
        <v>1877</v>
      </c>
      <c r="B1465" t="s">
        <v>864</v>
      </c>
      <c r="C1465" t="s">
        <v>321</v>
      </c>
      <c r="D1465" t="s">
        <v>36</v>
      </c>
      <c r="E1465" t="s">
        <v>16</v>
      </c>
      <c r="F1465">
        <v>1095000</v>
      </c>
      <c r="G1465">
        <v>10.95</v>
      </c>
      <c r="H1465" t="s">
        <v>27</v>
      </c>
      <c r="I1465" t="s">
        <v>845</v>
      </c>
      <c r="J1465" s="8">
        <v>46243</v>
      </c>
      <c r="K1465" t="s">
        <v>29</v>
      </c>
    </row>
    <row r="1466" spans="1:11" x14ac:dyDescent="0.3">
      <c r="A1466" t="s">
        <v>1878</v>
      </c>
      <c r="B1466" t="s">
        <v>42</v>
      </c>
      <c r="C1466" t="s">
        <v>334</v>
      </c>
      <c r="D1466" t="s">
        <v>26</v>
      </c>
      <c r="E1466" t="s">
        <v>116</v>
      </c>
      <c r="F1466">
        <v>1575000</v>
      </c>
      <c r="G1466">
        <v>15.75</v>
      </c>
      <c r="H1466" t="s">
        <v>27</v>
      </c>
      <c r="I1466" t="s">
        <v>59</v>
      </c>
      <c r="J1466" s="8">
        <v>46090</v>
      </c>
      <c r="K1466" t="s">
        <v>20</v>
      </c>
    </row>
    <row r="1467" spans="1:11" x14ac:dyDescent="0.3">
      <c r="A1467" t="s">
        <v>1878</v>
      </c>
      <c r="B1467" t="s">
        <v>42</v>
      </c>
      <c r="C1467" t="s">
        <v>334</v>
      </c>
      <c r="D1467" t="s">
        <v>26</v>
      </c>
      <c r="E1467" t="s">
        <v>116</v>
      </c>
      <c r="F1467">
        <v>1575000</v>
      </c>
      <c r="G1467">
        <v>15.75</v>
      </c>
      <c r="H1467" t="s">
        <v>27</v>
      </c>
      <c r="I1467" t="s">
        <v>59</v>
      </c>
      <c r="J1467" s="8">
        <v>46090</v>
      </c>
      <c r="K1467" t="s">
        <v>874</v>
      </c>
    </row>
    <row r="1468" spans="1:11" x14ac:dyDescent="0.3">
      <c r="A1468" t="s">
        <v>1878</v>
      </c>
      <c r="B1468" t="s">
        <v>42</v>
      </c>
      <c r="C1468" t="s">
        <v>334</v>
      </c>
      <c r="D1468" t="s">
        <v>26</v>
      </c>
      <c r="E1468" t="s">
        <v>116</v>
      </c>
      <c r="F1468">
        <v>1575000</v>
      </c>
      <c r="G1468">
        <v>15.75</v>
      </c>
      <c r="H1468" t="s">
        <v>27</v>
      </c>
      <c r="I1468" t="s">
        <v>59</v>
      </c>
      <c r="J1468" s="8">
        <v>46090</v>
      </c>
      <c r="K1468" t="s">
        <v>29</v>
      </c>
    </row>
    <row r="1469" spans="1:11" x14ac:dyDescent="0.3">
      <c r="A1469" t="s">
        <v>1881</v>
      </c>
      <c r="B1469" t="s">
        <v>42</v>
      </c>
      <c r="C1469" t="s">
        <v>277</v>
      </c>
      <c r="D1469" t="s">
        <v>26</v>
      </c>
      <c r="E1469" t="s">
        <v>52</v>
      </c>
      <c r="F1469">
        <v>415000</v>
      </c>
      <c r="G1469">
        <v>4.1500000000000004</v>
      </c>
      <c r="H1469" t="s">
        <v>53</v>
      </c>
      <c r="I1469" t="s">
        <v>28</v>
      </c>
      <c r="J1469" s="8">
        <v>46097</v>
      </c>
      <c r="K1469" t="s">
        <v>937</v>
      </c>
    </row>
    <row r="1470" spans="1:11" x14ac:dyDescent="0.3">
      <c r="A1470" t="s">
        <v>1881</v>
      </c>
      <c r="B1470" t="s">
        <v>42</v>
      </c>
      <c r="C1470" t="s">
        <v>277</v>
      </c>
      <c r="D1470" t="s">
        <v>26</v>
      </c>
      <c r="E1470" t="s">
        <v>52</v>
      </c>
      <c r="F1470">
        <v>415000</v>
      </c>
      <c r="G1470">
        <v>4.1500000000000004</v>
      </c>
      <c r="H1470" t="s">
        <v>53</v>
      </c>
      <c r="I1470" t="s">
        <v>28</v>
      </c>
      <c r="J1470" s="8">
        <v>46097</v>
      </c>
      <c r="K1470" t="s">
        <v>20</v>
      </c>
    </row>
    <row r="1471" spans="1:11" x14ac:dyDescent="0.3">
      <c r="A1471" t="s">
        <v>1881</v>
      </c>
      <c r="B1471" t="s">
        <v>42</v>
      </c>
      <c r="C1471" t="s">
        <v>277</v>
      </c>
      <c r="D1471" t="s">
        <v>26</v>
      </c>
      <c r="E1471" t="s">
        <v>52</v>
      </c>
      <c r="F1471">
        <v>415000</v>
      </c>
      <c r="G1471">
        <v>4.1500000000000004</v>
      </c>
      <c r="H1471" t="s">
        <v>53</v>
      </c>
      <c r="I1471" t="s">
        <v>28</v>
      </c>
      <c r="J1471" s="8">
        <v>46097</v>
      </c>
      <c r="K1471" t="s">
        <v>29</v>
      </c>
    </row>
    <row r="1472" spans="1:11" x14ac:dyDescent="0.3">
      <c r="A1472" t="s">
        <v>1882</v>
      </c>
      <c r="B1472" t="s">
        <v>852</v>
      </c>
      <c r="C1472" t="s">
        <v>123</v>
      </c>
      <c r="D1472" t="s">
        <v>64</v>
      </c>
      <c r="E1472" t="s">
        <v>116</v>
      </c>
      <c r="F1472">
        <v>1565000</v>
      </c>
      <c r="G1472">
        <v>15.65</v>
      </c>
      <c r="H1472" t="s">
        <v>27</v>
      </c>
      <c r="I1472" t="s">
        <v>28</v>
      </c>
      <c r="J1472" s="8">
        <v>46236</v>
      </c>
      <c r="K1472" t="s">
        <v>854</v>
      </c>
    </row>
    <row r="1473" spans="1:11" x14ac:dyDescent="0.3">
      <c r="A1473" t="s">
        <v>1882</v>
      </c>
      <c r="B1473" t="s">
        <v>852</v>
      </c>
      <c r="C1473" t="s">
        <v>123</v>
      </c>
      <c r="D1473" t="s">
        <v>64</v>
      </c>
      <c r="E1473" t="s">
        <v>116</v>
      </c>
      <c r="F1473">
        <v>1565000</v>
      </c>
      <c r="G1473">
        <v>15.65</v>
      </c>
      <c r="H1473" t="s">
        <v>27</v>
      </c>
      <c r="I1473" t="s">
        <v>28</v>
      </c>
      <c r="J1473" s="8">
        <v>46236</v>
      </c>
      <c r="K1473" t="s">
        <v>29</v>
      </c>
    </row>
    <row r="1474" spans="1:11" x14ac:dyDescent="0.3">
      <c r="A1474" t="s">
        <v>1882</v>
      </c>
      <c r="B1474" t="s">
        <v>852</v>
      </c>
      <c r="C1474" t="s">
        <v>123</v>
      </c>
      <c r="D1474" t="s">
        <v>64</v>
      </c>
      <c r="E1474" t="s">
        <v>116</v>
      </c>
      <c r="F1474">
        <v>1565000</v>
      </c>
      <c r="G1474">
        <v>15.65</v>
      </c>
      <c r="H1474" t="s">
        <v>27</v>
      </c>
      <c r="I1474" t="s">
        <v>28</v>
      </c>
      <c r="J1474" s="8">
        <v>46236</v>
      </c>
      <c r="K1474" t="s">
        <v>21</v>
      </c>
    </row>
    <row r="1475" spans="1:11" x14ac:dyDescent="0.3">
      <c r="A1475" t="s">
        <v>1884</v>
      </c>
      <c r="B1475" t="s">
        <v>864</v>
      </c>
      <c r="C1475" t="s">
        <v>389</v>
      </c>
      <c r="D1475" t="s">
        <v>76</v>
      </c>
      <c r="E1475" t="s">
        <v>52</v>
      </c>
      <c r="F1475">
        <v>645000</v>
      </c>
      <c r="G1475">
        <v>6.45</v>
      </c>
      <c r="H1475" t="s">
        <v>27</v>
      </c>
      <c r="I1475" t="s">
        <v>28</v>
      </c>
      <c r="J1475" s="8">
        <v>46188</v>
      </c>
      <c r="K1475" t="s">
        <v>21</v>
      </c>
    </row>
    <row r="1476" spans="1:11" x14ac:dyDescent="0.3">
      <c r="A1476" t="s">
        <v>1884</v>
      </c>
      <c r="B1476" t="s">
        <v>864</v>
      </c>
      <c r="C1476" t="s">
        <v>389</v>
      </c>
      <c r="D1476" t="s">
        <v>76</v>
      </c>
      <c r="E1476" t="s">
        <v>52</v>
      </c>
      <c r="F1476">
        <v>645000</v>
      </c>
      <c r="G1476">
        <v>6.45</v>
      </c>
      <c r="H1476" t="s">
        <v>27</v>
      </c>
      <c r="I1476" t="s">
        <v>28</v>
      </c>
      <c r="J1476" s="8">
        <v>46188</v>
      </c>
      <c r="K1476" t="s">
        <v>39</v>
      </c>
    </row>
    <row r="1477" spans="1:11" x14ac:dyDescent="0.3">
      <c r="A1477" t="s">
        <v>1884</v>
      </c>
      <c r="B1477" t="s">
        <v>864</v>
      </c>
      <c r="C1477" t="s">
        <v>389</v>
      </c>
      <c r="D1477" t="s">
        <v>76</v>
      </c>
      <c r="E1477" t="s">
        <v>52</v>
      </c>
      <c r="F1477">
        <v>645000</v>
      </c>
      <c r="G1477">
        <v>6.45</v>
      </c>
      <c r="H1477" t="s">
        <v>27</v>
      </c>
      <c r="I1477" t="s">
        <v>28</v>
      </c>
      <c r="J1477" s="8">
        <v>46188</v>
      </c>
      <c r="K1477" t="s">
        <v>874</v>
      </c>
    </row>
    <row r="1478" spans="1:11" x14ac:dyDescent="0.3">
      <c r="A1478" t="s">
        <v>1885</v>
      </c>
      <c r="B1478" t="s">
        <v>49</v>
      </c>
      <c r="C1478" t="s">
        <v>277</v>
      </c>
      <c r="D1478" t="s">
        <v>51</v>
      </c>
      <c r="E1478" t="s">
        <v>77</v>
      </c>
      <c r="F1478">
        <v>2755000</v>
      </c>
      <c r="G1478">
        <v>27.55</v>
      </c>
      <c r="H1478" t="s">
        <v>17</v>
      </c>
      <c r="I1478" t="s">
        <v>28</v>
      </c>
      <c r="J1478" s="8">
        <v>46092</v>
      </c>
      <c r="K1478" t="s">
        <v>878</v>
      </c>
    </row>
    <row r="1479" spans="1:11" x14ac:dyDescent="0.3">
      <c r="A1479" t="s">
        <v>1885</v>
      </c>
      <c r="B1479" t="s">
        <v>49</v>
      </c>
      <c r="C1479" t="s">
        <v>277</v>
      </c>
      <c r="D1479" t="s">
        <v>51</v>
      </c>
      <c r="E1479" t="s">
        <v>77</v>
      </c>
      <c r="F1479">
        <v>2755000</v>
      </c>
      <c r="G1479">
        <v>27.55</v>
      </c>
      <c r="H1479" t="s">
        <v>17</v>
      </c>
      <c r="I1479" t="s">
        <v>28</v>
      </c>
      <c r="J1479" s="8">
        <v>46092</v>
      </c>
      <c r="K1479" t="s">
        <v>21</v>
      </c>
    </row>
    <row r="1480" spans="1:11" x14ac:dyDescent="0.3">
      <c r="A1480" t="s">
        <v>1885</v>
      </c>
      <c r="B1480" t="s">
        <v>49</v>
      </c>
      <c r="C1480" t="s">
        <v>277</v>
      </c>
      <c r="D1480" t="s">
        <v>51</v>
      </c>
      <c r="E1480" t="s">
        <v>77</v>
      </c>
      <c r="F1480">
        <v>2755000</v>
      </c>
      <c r="G1480">
        <v>27.55</v>
      </c>
      <c r="H1480" t="s">
        <v>17</v>
      </c>
      <c r="I1480" t="s">
        <v>28</v>
      </c>
      <c r="J1480" s="8">
        <v>46092</v>
      </c>
      <c r="K1480" t="s">
        <v>39</v>
      </c>
    </row>
    <row r="1481" spans="1:11" x14ac:dyDescent="0.3">
      <c r="A1481" t="s">
        <v>1887</v>
      </c>
      <c r="B1481" t="s">
        <v>24</v>
      </c>
      <c r="C1481" t="s">
        <v>1367</v>
      </c>
      <c r="D1481" t="s">
        <v>26</v>
      </c>
      <c r="E1481" t="s">
        <v>37</v>
      </c>
      <c r="F1481">
        <v>1960000</v>
      </c>
      <c r="G1481">
        <v>19.600000000000001</v>
      </c>
      <c r="H1481" t="s">
        <v>27</v>
      </c>
      <c r="I1481" t="s">
        <v>845</v>
      </c>
      <c r="J1481" s="8">
        <v>46126</v>
      </c>
      <c r="K1481" t="s">
        <v>45</v>
      </c>
    </row>
    <row r="1482" spans="1:11" x14ac:dyDescent="0.3">
      <c r="A1482" t="s">
        <v>1887</v>
      </c>
      <c r="B1482" t="s">
        <v>24</v>
      </c>
      <c r="C1482" t="s">
        <v>1367</v>
      </c>
      <c r="D1482" t="s">
        <v>26</v>
      </c>
      <c r="E1482" t="s">
        <v>37</v>
      </c>
      <c r="F1482">
        <v>1960000</v>
      </c>
      <c r="G1482">
        <v>19.600000000000001</v>
      </c>
      <c r="H1482" t="s">
        <v>27</v>
      </c>
      <c r="I1482" t="s">
        <v>845</v>
      </c>
      <c r="J1482" s="8">
        <v>46126</v>
      </c>
      <c r="K1482" t="s">
        <v>846</v>
      </c>
    </row>
    <row r="1483" spans="1:11" x14ac:dyDescent="0.3">
      <c r="A1483" t="s">
        <v>1887</v>
      </c>
      <c r="B1483" t="s">
        <v>24</v>
      </c>
      <c r="C1483" t="s">
        <v>1367</v>
      </c>
      <c r="D1483" t="s">
        <v>26</v>
      </c>
      <c r="E1483" t="s">
        <v>37</v>
      </c>
      <c r="F1483">
        <v>1960000</v>
      </c>
      <c r="G1483">
        <v>19.600000000000001</v>
      </c>
      <c r="H1483" t="s">
        <v>27</v>
      </c>
      <c r="I1483" t="s">
        <v>845</v>
      </c>
      <c r="J1483" s="8">
        <v>46126</v>
      </c>
      <c r="K1483" t="s">
        <v>20</v>
      </c>
    </row>
    <row r="1484" spans="1:11" x14ac:dyDescent="0.3">
      <c r="A1484" t="s">
        <v>1889</v>
      </c>
      <c r="B1484" t="s">
        <v>49</v>
      </c>
      <c r="C1484" t="s">
        <v>260</v>
      </c>
      <c r="D1484" t="s">
        <v>96</v>
      </c>
      <c r="E1484" t="s">
        <v>16</v>
      </c>
      <c r="F1484">
        <v>665000</v>
      </c>
      <c r="G1484">
        <v>6.65</v>
      </c>
      <c r="H1484" t="s">
        <v>27</v>
      </c>
      <c r="I1484" t="s">
        <v>845</v>
      </c>
      <c r="J1484" s="8">
        <v>46212</v>
      </c>
      <c r="K1484" t="s">
        <v>46</v>
      </c>
    </row>
    <row r="1485" spans="1:11" x14ac:dyDescent="0.3">
      <c r="A1485" t="s">
        <v>1889</v>
      </c>
      <c r="B1485" t="s">
        <v>49</v>
      </c>
      <c r="C1485" t="s">
        <v>260</v>
      </c>
      <c r="D1485" t="s">
        <v>96</v>
      </c>
      <c r="E1485" t="s">
        <v>16</v>
      </c>
      <c r="F1485">
        <v>665000</v>
      </c>
      <c r="G1485">
        <v>6.65</v>
      </c>
      <c r="H1485" t="s">
        <v>27</v>
      </c>
      <c r="I1485" t="s">
        <v>845</v>
      </c>
      <c r="J1485" s="8">
        <v>46212</v>
      </c>
      <c r="K1485" t="s">
        <v>21</v>
      </c>
    </row>
    <row r="1486" spans="1:11" x14ac:dyDescent="0.3">
      <c r="A1486" t="s">
        <v>1889</v>
      </c>
      <c r="B1486" t="s">
        <v>49</v>
      </c>
      <c r="C1486" t="s">
        <v>260</v>
      </c>
      <c r="D1486" t="s">
        <v>96</v>
      </c>
      <c r="E1486" t="s">
        <v>16</v>
      </c>
      <c r="F1486">
        <v>665000</v>
      </c>
      <c r="G1486">
        <v>6.65</v>
      </c>
      <c r="H1486" t="s">
        <v>27</v>
      </c>
      <c r="I1486" t="s">
        <v>845</v>
      </c>
      <c r="J1486" s="8">
        <v>46212</v>
      </c>
      <c r="K1486" t="s">
        <v>846</v>
      </c>
    </row>
    <row r="1487" spans="1:11" x14ac:dyDescent="0.3">
      <c r="A1487" t="s">
        <v>1890</v>
      </c>
      <c r="B1487" t="s">
        <v>996</v>
      </c>
      <c r="C1487" t="s">
        <v>50</v>
      </c>
      <c r="D1487" t="s">
        <v>26</v>
      </c>
      <c r="E1487" t="s">
        <v>37</v>
      </c>
      <c r="F1487">
        <v>1575000</v>
      </c>
      <c r="G1487">
        <v>15.75</v>
      </c>
      <c r="H1487" t="s">
        <v>27</v>
      </c>
      <c r="I1487" t="s">
        <v>28</v>
      </c>
      <c r="J1487" s="8">
        <v>46154</v>
      </c>
      <c r="K1487" t="s">
        <v>854</v>
      </c>
    </row>
    <row r="1488" spans="1:11" x14ac:dyDescent="0.3">
      <c r="A1488" t="s">
        <v>1890</v>
      </c>
      <c r="B1488" t="s">
        <v>996</v>
      </c>
      <c r="C1488" t="s">
        <v>50</v>
      </c>
      <c r="D1488" t="s">
        <v>26</v>
      </c>
      <c r="E1488" t="s">
        <v>37</v>
      </c>
      <c r="F1488">
        <v>1575000</v>
      </c>
      <c r="G1488">
        <v>15.75</v>
      </c>
      <c r="H1488" t="s">
        <v>27</v>
      </c>
      <c r="I1488" t="s">
        <v>28</v>
      </c>
      <c r="J1488" s="8">
        <v>46154</v>
      </c>
      <c r="K1488" t="s">
        <v>937</v>
      </c>
    </row>
    <row r="1489" spans="1:11" x14ac:dyDescent="0.3">
      <c r="A1489" t="s">
        <v>1890</v>
      </c>
      <c r="B1489" t="s">
        <v>996</v>
      </c>
      <c r="C1489" t="s">
        <v>50</v>
      </c>
      <c r="D1489" t="s">
        <v>26</v>
      </c>
      <c r="E1489" t="s">
        <v>37</v>
      </c>
      <c r="F1489">
        <v>1575000</v>
      </c>
      <c r="G1489">
        <v>15.75</v>
      </c>
      <c r="H1489" t="s">
        <v>27</v>
      </c>
      <c r="I1489" t="s">
        <v>28</v>
      </c>
      <c r="J1489" s="8">
        <v>46154</v>
      </c>
      <c r="K1489" t="s">
        <v>39</v>
      </c>
    </row>
    <row r="1490" spans="1:11" x14ac:dyDescent="0.3">
      <c r="A1490" t="s">
        <v>1892</v>
      </c>
      <c r="B1490" t="s">
        <v>864</v>
      </c>
      <c r="C1490" t="s">
        <v>160</v>
      </c>
      <c r="D1490" t="s">
        <v>96</v>
      </c>
      <c r="E1490" t="s">
        <v>16</v>
      </c>
      <c r="F1490">
        <v>975000</v>
      </c>
      <c r="G1490">
        <v>9.75</v>
      </c>
      <c r="H1490" t="s">
        <v>27</v>
      </c>
      <c r="I1490" t="s">
        <v>28</v>
      </c>
      <c r="J1490" s="8">
        <v>46062</v>
      </c>
      <c r="K1490" t="s">
        <v>30</v>
      </c>
    </row>
    <row r="1491" spans="1:11" x14ac:dyDescent="0.3">
      <c r="A1491" t="s">
        <v>1892</v>
      </c>
      <c r="B1491" t="s">
        <v>864</v>
      </c>
      <c r="C1491" t="s">
        <v>160</v>
      </c>
      <c r="D1491" t="s">
        <v>96</v>
      </c>
      <c r="E1491" t="s">
        <v>16</v>
      </c>
      <c r="F1491">
        <v>975000</v>
      </c>
      <c r="G1491">
        <v>9.75</v>
      </c>
      <c r="H1491" t="s">
        <v>27</v>
      </c>
      <c r="I1491" t="s">
        <v>28</v>
      </c>
      <c r="J1491" s="8">
        <v>46062</v>
      </c>
      <c r="K1491" t="s">
        <v>45</v>
      </c>
    </row>
    <row r="1492" spans="1:11" x14ac:dyDescent="0.3">
      <c r="A1492" t="s">
        <v>1892</v>
      </c>
      <c r="B1492" t="s">
        <v>864</v>
      </c>
      <c r="C1492" t="s">
        <v>160</v>
      </c>
      <c r="D1492" t="s">
        <v>96</v>
      </c>
      <c r="E1492" t="s">
        <v>16</v>
      </c>
      <c r="F1492">
        <v>975000</v>
      </c>
      <c r="G1492">
        <v>9.75</v>
      </c>
      <c r="H1492" t="s">
        <v>27</v>
      </c>
      <c r="I1492" t="s">
        <v>28</v>
      </c>
      <c r="J1492" s="8">
        <v>46062</v>
      </c>
      <c r="K1492" t="s">
        <v>31</v>
      </c>
    </row>
    <row r="1493" spans="1:11" x14ac:dyDescent="0.3">
      <c r="A1493" t="s">
        <v>1893</v>
      </c>
      <c r="B1493" t="s">
        <v>49</v>
      </c>
      <c r="C1493" t="s">
        <v>857</v>
      </c>
      <c r="D1493" t="s">
        <v>36</v>
      </c>
      <c r="E1493" t="s">
        <v>77</v>
      </c>
      <c r="F1493">
        <v>2805000</v>
      </c>
      <c r="G1493">
        <v>28.05</v>
      </c>
      <c r="H1493" t="s">
        <v>27</v>
      </c>
      <c r="I1493" t="s">
        <v>28</v>
      </c>
      <c r="J1493" s="8">
        <v>46213</v>
      </c>
      <c r="K1493" t="s">
        <v>54</v>
      </c>
    </row>
    <row r="1494" spans="1:11" x14ac:dyDescent="0.3">
      <c r="A1494" t="s">
        <v>1893</v>
      </c>
      <c r="B1494" t="s">
        <v>49</v>
      </c>
      <c r="C1494" t="s">
        <v>857</v>
      </c>
      <c r="D1494" t="s">
        <v>36</v>
      </c>
      <c r="E1494" t="s">
        <v>77</v>
      </c>
      <c r="F1494">
        <v>2805000</v>
      </c>
      <c r="G1494">
        <v>28.05</v>
      </c>
      <c r="H1494" t="s">
        <v>27</v>
      </c>
      <c r="I1494" t="s">
        <v>28</v>
      </c>
      <c r="J1494" s="8">
        <v>46213</v>
      </c>
      <c r="K1494" t="s">
        <v>878</v>
      </c>
    </row>
    <row r="1495" spans="1:11" x14ac:dyDescent="0.3">
      <c r="A1495" t="s">
        <v>1893</v>
      </c>
      <c r="B1495" t="s">
        <v>49</v>
      </c>
      <c r="C1495" t="s">
        <v>857</v>
      </c>
      <c r="D1495" t="s">
        <v>36</v>
      </c>
      <c r="E1495" t="s">
        <v>77</v>
      </c>
      <c r="F1495">
        <v>2805000</v>
      </c>
      <c r="G1495">
        <v>28.05</v>
      </c>
      <c r="H1495" t="s">
        <v>27</v>
      </c>
      <c r="I1495" t="s">
        <v>28</v>
      </c>
      <c r="J1495" s="8">
        <v>46213</v>
      </c>
      <c r="K1495" t="s">
        <v>21</v>
      </c>
    </row>
    <row r="1496" spans="1:11" x14ac:dyDescent="0.3">
      <c r="A1496" t="s">
        <v>1895</v>
      </c>
      <c r="B1496" t="s">
        <v>42</v>
      </c>
      <c r="C1496" t="s">
        <v>211</v>
      </c>
      <c r="D1496" t="s">
        <v>26</v>
      </c>
      <c r="E1496" t="s">
        <v>52</v>
      </c>
      <c r="F1496">
        <v>515000</v>
      </c>
      <c r="G1496">
        <v>5.15</v>
      </c>
      <c r="H1496" t="s">
        <v>27</v>
      </c>
      <c r="I1496" t="s">
        <v>845</v>
      </c>
      <c r="J1496" s="8">
        <v>46144</v>
      </c>
      <c r="K1496" t="s">
        <v>854</v>
      </c>
    </row>
    <row r="1497" spans="1:11" x14ac:dyDescent="0.3">
      <c r="A1497" t="s">
        <v>1895</v>
      </c>
      <c r="B1497" t="s">
        <v>42</v>
      </c>
      <c r="C1497" t="s">
        <v>211</v>
      </c>
      <c r="D1497" t="s">
        <v>26</v>
      </c>
      <c r="E1497" t="s">
        <v>52</v>
      </c>
      <c r="F1497">
        <v>515000</v>
      </c>
      <c r="G1497">
        <v>5.15</v>
      </c>
      <c r="H1497" t="s">
        <v>27</v>
      </c>
      <c r="I1497" t="s">
        <v>845</v>
      </c>
      <c r="J1497" s="8">
        <v>46144</v>
      </c>
      <c r="K1497" t="s">
        <v>46</v>
      </c>
    </row>
    <row r="1498" spans="1:11" x14ac:dyDescent="0.3">
      <c r="A1498" t="s">
        <v>1895</v>
      </c>
      <c r="B1498" t="s">
        <v>42</v>
      </c>
      <c r="C1498" t="s">
        <v>211</v>
      </c>
      <c r="D1498" t="s">
        <v>26</v>
      </c>
      <c r="E1498" t="s">
        <v>52</v>
      </c>
      <c r="F1498">
        <v>515000</v>
      </c>
      <c r="G1498">
        <v>5.15</v>
      </c>
      <c r="H1498" t="s">
        <v>27</v>
      </c>
      <c r="I1498" t="s">
        <v>845</v>
      </c>
      <c r="J1498" s="8">
        <v>46144</v>
      </c>
      <c r="K1498" t="s">
        <v>874</v>
      </c>
    </row>
    <row r="1499" spans="1:11" x14ac:dyDescent="0.3">
      <c r="A1499" t="s">
        <v>1896</v>
      </c>
      <c r="B1499" t="s">
        <v>960</v>
      </c>
      <c r="C1499" t="s">
        <v>268</v>
      </c>
      <c r="D1499" t="s">
        <v>36</v>
      </c>
      <c r="E1499" t="s">
        <v>37</v>
      </c>
      <c r="F1499">
        <v>1165000</v>
      </c>
      <c r="G1499">
        <v>11.65</v>
      </c>
      <c r="H1499" t="s">
        <v>27</v>
      </c>
      <c r="I1499" t="s">
        <v>845</v>
      </c>
      <c r="J1499" s="8">
        <v>46041</v>
      </c>
      <c r="K1499" t="s">
        <v>937</v>
      </c>
    </row>
    <row r="1500" spans="1:11" x14ac:dyDescent="0.3">
      <c r="A1500" t="s">
        <v>1896</v>
      </c>
      <c r="B1500" t="s">
        <v>960</v>
      </c>
      <c r="C1500" t="s">
        <v>268</v>
      </c>
      <c r="D1500" t="s">
        <v>36</v>
      </c>
      <c r="E1500" t="s">
        <v>37</v>
      </c>
      <c r="F1500">
        <v>1165000</v>
      </c>
      <c r="G1500">
        <v>11.65</v>
      </c>
      <c r="H1500" t="s">
        <v>27</v>
      </c>
      <c r="I1500" t="s">
        <v>845</v>
      </c>
      <c r="J1500" s="8">
        <v>46041</v>
      </c>
      <c r="K1500" t="s">
        <v>29</v>
      </c>
    </row>
    <row r="1501" spans="1:11" x14ac:dyDescent="0.3">
      <c r="A1501" t="s">
        <v>1896</v>
      </c>
      <c r="B1501" t="s">
        <v>960</v>
      </c>
      <c r="C1501" t="s">
        <v>268</v>
      </c>
      <c r="D1501" t="s">
        <v>36</v>
      </c>
      <c r="E1501" t="s">
        <v>37</v>
      </c>
      <c r="F1501">
        <v>1165000</v>
      </c>
      <c r="G1501">
        <v>11.65</v>
      </c>
      <c r="H1501" t="s">
        <v>27</v>
      </c>
      <c r="I1501" t="s">
        <v>845</v>
      </c>
      <c r="J1501" s="8">
        <v>46041</v>
      </c>
      <c r="K1501" t="s">
        <v>46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4F6F-660B-4F19-BA56-E8E38A592A32}">
  <sheetPr codeName="Sheet2"/>
  <dimension ref="A1:M501"/>
  <sheetViews>
    <sheetView topLeftCell="A2" workbookViewId="0">
      <selection activeCell="B2" sqref="B1:B1048576"/>
    </sheetView>
  </sheetViews>
  <sheetFormatPr defaultRowHeight="14.4" x14ac:dyDescent="0.3"/>
  <cols>
    <col min="2" max="2" width="22.88671875" bestFit="1" customWidth="1"/>
    <col min="3" max="3" width="24.21875" bestFit="1" customWidth="1"/>
    <col min="4" max="4" width="10.6640625" bestFit="1" customWidth="1"/>
    <col min="5" max="6" width="12.33203125" bestFit="1" customWidth="1"/>
    <col min="7" max="7" width="12.33203125" customWidth="1"/>
    <col min="8" max="8" width="11.21875" bestFit="1" customWidth="1"/>
    <col min="9" max="9" width="13.77734375" bestFit="1" customWidth="1"/>
    <col min="10" max="12" width="15.44140625" bestFit="1" customWidth="1"/>
    <col min="13" max="13" width="13.88671875" bestFit="1" customWidth="1"/>
  </cols>
  <sheetData>
    <row r="1" spans="1:13" x14ac:dyDescent="0.3">
      <c r="A1" t="s">
        <v>0</v>
      </c>
      <c r="B1" t="s">
        <v>1</v>
      </c>
      <c r="C1" t="s">
        <v>2</v>
      </c>
      <c r="D1" t="s">
        <v>3</v>
      </c>
      <c r="E1" t="s">
        <v>4</v>
      </c>
      <c r="F1" s="4" t="s">
        <v>5</v>
      </c>
      <c r="G1" t="s">
        <v>1897</v>
      </c>
      <c r="H1" t="s">
        <v>6</v>
      </c>
      <c r="I1" t="s">
        <v>7</v>
      </c>
      <c r="J1" t="s">
        <v>8</v>
      </c>
      <c r="K1" t="s">
        <v>9</v>
      </c>
      <c r="L1" t="s">
        <v>10</v>
      </c>
      <c r="M1" t="s">
        <v>11</v>
      </c>
    </row>
    <row r="2" spans="1:13" x14ac:dyDescent="0.3">
      <c r="A2" t="s">
        <v>843</v>
      </c>
      <c r="B2" t="s">
        <v>13</v>
      </c>
      <c r="C2" t="s">
        <v>14</v>
      </c>
      <c r="D2" t="s">
        <v>15</v>
      </c>
      <c r="E2" t="s">
        <v>16</v>
      </c>
      <c r="F2" s="4">
        <v>1000000</v>
      </c>
      <c r="G2" s="5">
        <f t="shared" ref="G2:G65" si="0">F2/100000</f>
        <v>10</v>
      </c>
      <c r="H2" t="s">
        <v>17</v>
      </c>
      <c r="I2" t="s">
        <v>845</v>
      </c>
      <c r="J2" t="s">
        <v>846</v>
      </c>
      <c r="K2" t="s">
        <v>20</v>
      </c>
      <c r="L2" t="s">
        <v>21</v>
      </c>
      <c r="M2" t="s">
        <v>847</v>
      </c>
    </row>
    <row r="3" spans="1:13" x14ac:dyDescent="0.3">
      <c r="A3" t="s">
        <v>848</v>
      </c>
      <c r="B3" t="s">
        <v>24</v>
      </c>
      <c r="C3" t="s">
        <v>25</v>
      </c>
      <c r="D3" t="s">
        <v>26</v>
      </c>
      <c r="E3" t="s">
        <v>16</v>
      </c>
      <c r="F3" s="4" t="s">
        <v>849</v>
      </c>
      <c r="G3" s="5">
        <f t="shared" si="0"/>
        <v>9.15</v>
      </c>
      <c r="H3" t="s">
        <v>27</v>
      </c>
      <c r="I3" t="s">
        <v>28</v>
      </c>
      <c r="J3" t="s">
        <v>29</v>
      </c>
      <c r="K3" t="s">
        <v>30</v>
      </c>
      <c r="L3" t="s">
        <v>31</v>
      </c>
      <c r="M3" t="s">
        <v>850</v>
      </c>
    </row>
    <row r="4" spans="1:13" x14ac:dyDescent="0.3">
      <c r="A4" t="s">
        <v>851</v>
      </c>
      <c r="B4" t="s">
        <v>852</v>
      </c>
      <c r="C4" t="s">
        <v>35</v>
      </c>
      <c r="D4" t="s">
        <v>36</v>
      </c>
      <c r="E4" t="s">
        <v>37</v>
      </c>
      <c r="F4" s="4" t="s">
        <v>853</v>
      </c>
      <c r="G4" s="5">
        <f t="shared" si="0"/>
        <v>16.25</v>
      </c>
      <c r="H4" t="s">
        <v>27</v>
      </c>
      <c r="I4" t="s">
        <v>28</v>
      </c>
      <c r="J4" t="s">
        <v>854</v>
      </c>
      <c r="K4" t="s">
        <v>39</v>
      </c>
      <c r="L4" t="s">
        <v>20</v>
      </c>
      <c r="M4" t="s">
        <v>855</v>
      </c>
    </row>
    <row r="5" spans="1:13" x14ac:dyDescent="0.3">
      <c r="A5" t="s">
        <v>856</v>
      </c>
      <c r="B5" t="s">
        <v>42</v>
      </c>
      <c r="C5" t="s">
        <v>857</v>
      </c>
      <c r="D5" t="s">
        <v>44</v>
      </c>
      <c r="E5" t="s">
        <v>37</v>
      </c>
      <c r="F5" s="4" t="s">
        <v>858</v>
      </c>
      <c r="G5" s="5">
        <f t="shared" si="0"/>
        <v>10.95</v>
      </c>
      <c r="H5" t="s">
        <v>27</v>
      </c>
      <c r="I5" t="s">
        <v>28</v>
      </c>
      <c r="J5" t="s">
        <v>45</v>
      </c>
      <c r="K5" t="s">
        <v>46</v>
      </c>
      <c r="L5" t="s">
        <v>29</v>
      </c>
      <c r="M5" t="s">
        <v>859</v>
      </c>
    </row>
    <row r="6" spans="1:13" x14ac:dyDescent="0.3">
      <c r="A6" t="s">
        <v>860</v>
      </c>
      <c r="B6" t="s">
        <v>49</v>
      </c>
      <c r="C6" t="s">
        <v>50</v>
      </c>
      <c r="D6" t="s">
        <v>51</v>
      </c>
      <c r="E6" t="s">
        <v>52</v>
      </c>
      <c r="F6" s="4" t="s">
        <v>861</v>
      </c>
      <c r="G6" s="5">
        <f t="shared" si="0"/>
        <v>2.1</v>
      </c>
      <c r="H6" t="s">
        <v>53</v>
      </c>
      <c r="I6" t="s">
        <v>28</v>
      </c>
      <c r="J6" t="s">
        <v>854</v>
      </c>
      <c r="K6" t="s">
        <v>846</v>
      </c>
      <c r="L6" t="s">
        <v>54</v>
      </c>
      <c r="M6" t="s">
        <v>862</v>
      </c>
    </row>
    <row r="7" spans="1:13" x14ac:dyDescent="0.3">
      <c r="A7" t="s">
        <v>863</v>
      </c>
      <c r="B7" t="s">
        <v>864</v>
      </c>
      <c r="C7" t="s">
        <v>865</v>
      </c>
      <c r="D7" t="s">
        <v>44</v>
      </c>
      <c r="E7" t="s">
        <v>16</v>
      </c>
      <c r="F7" s="4" t="s">
        <v>866</v>
      </c>
      <c r="G7" s="5">
        <f t="shared" si="0"/>
        <v>5.7</v>
      </c>
      <c r="H7" t="s">
        <v>27</v>
      </c>
      <c r="I7" t="s">
        <v>59</v>
      </c>
      <c r="J7" t="s">
        <v>46</v>
      </c>
      <c r="K7" t="s">
        <v>846</v>
      </c>
      <c r="L7" t="s">
        <v>854</v>
      </c>
      <c r="M7" t="s">
        <v>867</v>
      </c>
    </row>
    <row r="8" spans="1:13" x14ac:dyDescent="0.3">
      <c r="A8" t="s">
        <v>868</v>
      </c>
      <c r="B8" t="s">
        <v>62</v>
      </c>
      <c r="C8" t="s">
        <v>63</v>
      </c>
      <c r="D8" t="s">
        <v>64</v>
      </c>
      <c r="E8" t="s">
        <v>16</v>
      </c>
      <c r="F8" s="4" t="s">
        <v>869</v>
      </c>
      <c r="G8" s="5">
        <f t="shared" si="0"/>
        <v>7.2</v>
      </c>
      <c r="H8" t="s">
        <v>27</v>
      </c>
      <c r="I8" t="s">
        <v>59</v>
      </c>
      <c r="J8" t="s">
        <v>30</v>
      </c>
      <c r="K8" t="s">
        <v>846</v>
      </c>
      <c r="L8" t="s">
        <v>20</v>
      </c>
      <c r="M8" t="s">
        <v>870</v>
      </c>
    </row>
    <row r="9" spans="1:13" x14ac:dyDescent="0.3">
      <c r="A9" t="s">
        <v>871</v>
      </c>
      <c r="B9" t="s">
        <v>24</v>
      </c>
      <c r="C9" t="s">
        <v>872</v>
      </c>
      <c r="D9" t="s">
        <v>15</v>
      </c>
      <c r="E9" t="s">
        <v>16</v>
      </c>
      <c r="F9" s="4" t="s">
        <v>873</v>
      </c>
      <c r="G9" s="5">
        <f t="shared" si="0"/>
        <v>7.55</v>
      </c>
      <c r="H9" t="s">
        <v>27</v>
      </c>
      <c r="I9" t="s">
        <v>28</v>
      </c>
      <c r="J9" t="s">
        <v>874</v>
      </c>
      <c r="K9" t="s">
        <v>46</v>
      </c>
      <c r="L9" t="s">
        <v>846</v>
      </c>
      <c r="M9" t="s">
        <v>875</v>
      </c>
    </row>
    <row r="10" spans="1:13" x14ac:dyDescent="0.3">
      <c r="A10" t="s">
        <v>876</v>
      </c>
      <c r="B10" t="s">
        <v>864</v>
      </c>
      <c r="C10" t="s">
        <v>35</v>
      </c>
      <c r="D10" t="s">
        <v>71</v>
      </c>
      <c r="E10" t="s">
        <v>37</v>
      </c>
      <c r="F10" s="4" t="s">
        <v>877</v>
      </c>
      <c r="G10" s="5">
        <f t="shared" si="0"/>
        <v>18.45</v>
      </c>
      <c r="H10" t="s">
        <v>17</v>
      </c>
      <c r="I10" t="s">
        <v>28</v>
      </c>
      <c r="J10" t="s">
        <v>39</v>
      </c>
      <c r="K10" t="s">
        <v>878</v>
      </c>
      <c r="L10" t="s">
        <v>54</v>
      </c>
      <c r="M10" t="s">
        <v>879</v>
      </c>
    </row>
    <row r="11" spans="1:13" x14ac:dyDescent="0.3">
      <c r="A11" t="s">
        <v>880</v>
      </c>
      <c r="B11" t="s">
        <v>75</v>
      </c>
      <c r="C11" t="s">
        <v>857</v>
      </c>
      <c r="D11" t="s">
        <v>76</v>
      </c>
      <c r="E11" t="s">
        <v>77</v>
      </c>
      <c r="F11" s="4" t="s">
        <v>881</v>
      </c>
      <c r="G11" s="5">
        <f t="shared" si="0"/>
        <v>29.35</v>
      </c>
      <c r="H11" t="s">
        <v>27</v>
      </c>
      <c r="I11" t="s">
        <v>59</v>
      </c>
      <c r="J11" t="s">
        <v>54</v>
      </c>
      <c r="K11" t="s">
        <v>31</v>
      </c>
      <c r="L11" t="s">
        <v>878</v>
      </c>
      <c r="M11" t="s">
        <v>882</v>
      </c>
    </row>
    <row r="12" spans="1:13" x14ac:dyDescent="0.3">
      <c r="A12" t="s">
        <v>883</v>
      </c>
      <c r="B12" t="s">
        <v>62</v>
      </c>
      <c r="C12" t="s">
        <v>80</v>
      </c>
      <c r="D12" t="s">
        <v>81</v>
      </c>
      <c r="E12" t="s">
        <v>77</v>
      </c>
      <c r="F12" s="4" t="s">
        <v>884</v>
      </c>
      <c r="G12" s="5">
        <f t="shared" si="0"/>
        <v>21.05</v>
      </c>
      <c r="H12" t="s">
        <v>27</v>
      </c>
      <c r="I12" t="s">
        <v>28</v>
      </c>
      <c r="J12" t="s">
        <v>878</v>
      </c>
      <c r="K12" t="s">
        <v>30</v>
      </c>
      <c r="L12" t="s">
        <v>854</v>
      </c>
      <c r="M12" t="s">
        <v>885</v>
      </c>
    </row>
    <row r="13" spans="1:13" x14ac:dyDescent="0.3">
      <c r="A13" t="s">
        <v>886</v>
      </c>
      <c r="B13" t="s">
        <v>13</v>
      </c>
      <c r="C13" t="s">
        <v>887</v>
      </c>
      <c r="D13" t="s">
        <v>76</v>
      </c>
      <c r="E13" t="s">
        <v>37</v>
      </c>
      <c r="F13" s="4" t="s">
        <v>888</v>
      </c>
      <c r="G13" s="5">
        <f t="shared" si="0"/>
        <v>11.2</v>
      </c>
      <c r="H13" t="s">
        <v>17</v>
      </c>
      <c r="I13" t="s">
        <v>59</v>
      </c>
      <c r="J13" t="s">
        <v>21</v>
      </c>
      <c r="K13" t="s">
        <v>878</v>
      </c>
      <c r="L13" t="s">
        <v>46</v>
      </c>
      <c r="M13" t="s">
        <v>889</v>
      </c>
    </row>
    <row r="14" spans="1:13" x14ac:dyDescent="0.3">
      <c r="A14" t="s">
        <v>890</v>
      </c>
      <c r="B14" t="s">
        <v>864</v>
      </c>
      <c r="C14" t="s">
        <v>87</v>
      </c>
      <c r="D14" t="s">
        <v>36</v>
      </c>
      <c r="E14" t="s">
        <v>52</v>
      </c>
      <c r="F14" s="4" t="s">
        <v>891</v>
      </c>
      <c r="G14" s="5">
        <f t="shared" si="0"/>
        <v>7.5</v>
      </c>
      <c r="H14" t="s">
        <v>17</v>
      </c>
      <c r="I14" t="s">
        <v>845</v>
      </c>
      <c r="J14" t="s">
        <v>30</v>
      </c>
      <c r="K14" t="s">
        <v>878</v>
      </c>
      <c r="L14" t="s">
        <v>31</v>
      </c>
      <c r="M14" t="s">
        <v>892</v>
      </c>
    </row>
    <row r="15" spans="1:13" x14ac:dyDescent="0.3">
      <c r="A15" t="s">
        <v>893</v>
      </c>
      <c r="B15" t="s">
        <v>864</v>
      </c>
      <c r="C15" t="s">
        <v>90</v>
      </c>
      <c r="D15" t="s">
        <v>71</v>
      </c>
      <c r="E15" t="s">
        <v>52</v>
      </c>
      <c r="F15" s="4" t="s">
        <v>894</v>
      </c>
      <c r="G15" s="5">
        <f t="shared" si="0"/>
        <v>5.15</v>
      </c>
      <c r="H15" t="s">
        <v>27</v>
      </c>
      <c r="I15" t="s">
        <v>28</v>
      </c>
      <c r="J15" t="s">
        <v>20</v>
      </c>
      <c r="K15" t="s">
        <v>878</v>
      </c>
      <c r="L15" t="s">
        <v>874</v>
      </c>
      <c r="M15" t="s">
        <v>895</v>
      </c>
    </row>
    <row r="16" spans="1:13" x14ac:dyDescent="0.3">
      <c r="A16" t="s">
        <v>896</v>
      </c>
      <c r="B16" t="s">
        <v>13</v>
      </c>
      <c r="C16" t="s">
        <v>93</v>
      </c>
      <c r="D16" t="s">
        <v>71</v>
      </c>
      <c r="E16" t="s">
        <v>37</v>
      </c>
      <c r="F16" s="4" t="s">
        <v>897</v>
      </c>
      <c r="G16" s="5">
        <f t="shared" si="0"/>
        <v>14</v>
      </c>
      <c r="H16" t="s">
        <v>17</v>
      </c>
      <c r="I16" t="s">
        <v>845</v>
      </c>
      <c r="J16" t="s">
        <v>46</v>
      </c>
      <c r="K16" t="s">
        <v>54</v>
      </c>
      <c r="L16" t="s">
        <v>29</v>
      </c>
      <c r="M16" t="s">
        <v>847</v>
      </c>
    </row>
    <row r="17" spans="1:13" x14ac:dyDescent="0.3">
      <c r="A17" t="s">
        <v>898</v>
      </c>
      <c r="B17" t="s">
        <v>49</v>
      </c>
      <c r="C17" t="s">
        <v>899</v>
      </c>
      <c r="D17" t="s">
        <v>96</v>
      </c>
      <c r="E17" t="s">
        <v>77</v>
      </c>
      <c r="F17" s="4" t="s">
        <v>900</v>
      </c>
      <c r="G17" s="5">
        <f t="shared" si="0"/>
        <v>35.049999999999997</v>
      </c>
      <c r="H17" t="s">
        <v>17</v>
      </c>
      <c r="I17" t="s">
        <v>845</v>
      </c>
      <c r="J17" t="s">
        <v>874</v>
      </c>
      <c r="K17" t="s">
        <v>31</v>
      </c>
      <c r="L17" t="s">
        <v>846</v>
      </c>
      <c r="M17" t="s">
        <v>901</v>
      </c>
    </row>
    <row r="18" spans="1:13" x14ac:dyDescent="0.3">
      <c r="A18" t="s">
        <v>902</v>
      </c>
      <c r="B18" t="s">
        <v>49</v>
      </c>
      <c r="C18" t="s">
        <v>99</v>
      </c>
      <c r="D18" t="s">
        <v>64</v>
      </c>
      <c r="E18" t="s">
        <v>37</v>
      </c>
      <c r="F18" s="4" t="s">
        <v>903</v>
      </c>
      <c r="G18" s="5">
        <f t="shared" si="0"/>
        <v>14.45</v>
      </c>
      <c r="H18" t="s">
        <v>27</v>
      </c>
      <c r="I18" t="s">
        <v>28</v>
      </c>
      <c r="J18" t="s">
        <v>30</v>
      </c>
      <c r="K18" t="s">
        <v>878</v>
      </c>
      <c r="L18" t="s">
        <v>31</v>
      </c>
      <c r="M18" t="s">
        <v>904</v>
      </c>
    </row>
    <row r="19" spans="1:13" x14ac:dyDescent="0.3">
      <c r="A19" t="s">
        <v>905</v>
      </c>
      <c r="B19" t="s">
        <v>852</v>
      </c>
      <c r="C19" t="s">
        <v>906</v>
      </c>
      <c r="D19" t="s">
        <v>36</v>
      </c>
      <c r="E19" t="s">
        <v>52</v>
      </c>
      <c r="F19" s="4" t="s">
        <v>907</v>
      </c>
      <c r="G19" s="5">
        <f t="shared" si="0"/>
        <v>4.3499999999999996</v>
      </c>
      <c r="H19" t="s">
        <v>27</v>
      </c>
      <c r="I19" t="s">
        <v>28</v>
      </c>
      <c r="J19" t="s">
        <v>908</v>
      </c>
      <c r="K19" t="s">
        <v>29</v>
      </c>
      <c r="L19" t="s">
        <v>54</v>
      </c>
      <c r="M19" t="s">
        <v>909</v>
      </c>
    </row>
    <row r="20" spans="1:13" x14ac:dyDescent="0.3">
      <c r="A20" t="s">
        <v>910</v>
      </c>
      <c r="B20" t="s">
        <v>24</v>
      </c>
      <c r="C20" t="s">
        <v>106</v>
      </c>
      <c r="D20" t="s">
        <v>96</v>
      </c>
      <c r="E20" t="s">
        <v>37</v>
      </c>
      <c r="F20" s="4" t="s">
        <v>911</v>
      </c>
      <c r="G20" s="5">
        <f t="shared" si="0"/>
        <v>14.15</v>
      </c>
      <c r="H20" t="s">
        <v>27</v>
      </c>
      <c r="I20" t="s">
        <v>845</v>
      </c>
      <c r="J20" t="s">
        <v>846</v>
      </c>
      <c r="K20" t="s">
        <v>20</v>
      </c>
      <c r="L20" t="s">
        <v>21</v>
      </c>
      <c r="M20" t="s">
        <v>912</v>
      </c>
    </row>
    <row r="21" spans="1:13" x14ac:dyDescent="0.3">
      <c r="A21" t="s">
        <v>913</v>
      </c>
      <c r="B21" t="s">
        <v>864</v>
      </c>
      <c r="C21" t="s">
        <v>109</v>
      </c>
      <c r="D21" t="s">
        <v>64</v>
      </c>
      <c r="E21" t="s">
        <v>37</v>
      </c>
      <c r="F21" s="4" t="s">
        <v>914</v>
      </c>
      <c r="G21" s="5">
        <f t="shared" si="0"/>
        <v>14.9</v>
      </c>
      <c r="H21" t="s">
        <v>27</v>
      </c>
      <c r="I21" t="s">
        <v>845</v>
      </c>
      <c r="J21" t="s">
        <v>878</v>
      </c>
      <c r="K21" t="s">
        <v>46</v>
      </c>
      <c r="L21" t="s">
        <v>54</v>
      </c>
      <c r="M21" t="s">
        <v>915</v>
      </c>
    </row>
    <row r="22" spans="1:13" x14ac:dyDescent="0.3">
      <c r="A22" t="s">
        <v>916</v>
      </c>
      <c r="B22" t="s">
        <v>75</v>
      </c>
      <c r="C22" t="s">
        <v>112</v>
      </c>
      <c r="D22" t="s">
        <v>51</v>
      </c>
      <c r="E22" t="s">
        <v>16</v>
      </c>
      <c r="F22" s="4" t="s">
        <v>858</v>
      </c>
      <c r="G22" s="5">
        <f t="shared" si="0"/>
        <v>10.95</v>
      </c>
      <c r="H22" t="s">
        <v>27</v>
      </c>
      <c r="I22" t="s">
        <v>845</v>
      </c>
      <c r="J22" t="s">
        <v>21</v>
      </c>
      <c r="K22" t="s">
        <v>878</v>
      </c>
      <c r="L22" t="s">
        <v>846</v>
      </c>
      <c r="M22" t="s">
        <v>917</v>
      </c>
    </row>
    <row r="23" spans="1:13" x14ac:dyDescent="0.3">
      <c r="A23" t="s">
        <v>918</v>
      </c>
      <c r="B23" t="s">
        <v>49</v>
      </c>
      <c r="C23" t="s">
        <v>919</v>
      </c>
      <c r="D23" t="s">
        <v>76</v>
      </c>
      <c r="E23" t="s">
        <v>116</v>
      </c>
      <c r="F23" s="4" t="s">
        <v>920</v>
      </c>
      <c r="G23" s="5">
        <f t="shared" si="0"/>
        <v>17.25</v>
      </c>
      <c r="H23" t="s">
        <v>27</v>
      </c>
      <c r="I23" t="s">
        <v>845</v>
      </c>
      <c r="J23" t="s">
        <v>31</v>
      </c>
      <c r="K23" t="s">
        <v>846</v>
      </c>
      <c r="L23" t="s">
        <v>21</v>
      </c>
      <c r="M23" t="s">
        <v>921</v>
      </c>
    </row>
    <row r="24" spans="1:13" x14ac:dyDescent="0.3">
      <c r="A24" t="s">
        <v>922</v>
      </c>
      <c r="B24" t="s">
        <v>24</v>
      </c>
      <c r="C24" t="s">
        <v>119</v>
      </c>
      <c r="D24" t="s">
        <v>81</v>
      </c>
      <c r="E24" t="s">
        <v>116</v>
      </c>
      <c r="F24" s="4" t="s">
        <v>923</v>
      </c>
      <c r="G24" s="5">
        <f t="shared" si="0"/>
        <v>10.050000000000001</v>
      </c>
      <c r="H24" t="s">
        <v>27</v>
      </c>
      <c r="I24" t="s">
        <v>28</v>
      </c>
      <c r="J24" t="s">
        <v>846</v>
      </c>
      <c r="K24" t="s">
        <v>30</v>
      </c>
      <c r="L24" t="s">
        <v>39</v>
      </c>
      <c r="M24" t="s">
        <v>921</v>
      </c>
    </row>
    <row r="25" spans="1:13" x14ac:dyDescent="0.3">
      <c r="A25" t="s">
        <v>924</v>
      </c>
      <c r="B25" t="s">
        <v>864</v>
      </c>
      <c r="C25" t="s">
        <v>93</v>
      </c>
      <c r="D25" t="s">
        <v>64</v>
      </c>
      <c r="E25" t="s">
        <v>37</v>
      </c>
      <c r="F25" s="4" t="s">
        <v>925</v>
      </c>
      <c r="G25" s="5">
        <f t="shared" si="0"/>
        <v>10.65</v>
      </c>
      <c r="H25" t="s">
        <v>27</v>
      </c>
      <c r="I25" t="s">
        <v>59</v>
      </c>
      <c r="J25" t="s">
        <v>45</v>
      </c>
      <c r="K25" t="s">
        <v>54</v>
      </c>
      <c r="L25" t="s">
        <v>31</v>
      </c>
      <c r="M25" t="s">
        <v>926</v>
      </c>
    </row>
    <row r="26" spans="1:13" x14ac:dyDescent="0.3">
      <c r="A26" t="s">
        <v>927</v>
      </c>
      <c r="B26" t="s">
        <v>864</v>
      </c>
      <c r="C26" t="s">
        <v>123</v>
      </c>
      <c r="D26" t="s">
        <v>71</v>
      </c>
      <c r="E26" t="s">
        <v>16</v>
      </c>
      <c r="F26" s="4" t="s">
        <v>928</v>
      </c>
      <c r="G26" s="5">
        <f t="shared" si="0"/>
        <v>7.3</v>
      </c>
      <c r="H26" t="s">
        <v>27</v>
      </c>
      <c r="I26" t="s">
        <v>28</v>
      </c>
      <c r="J26" t="s">
        <v>45</v>
      </c>
      <c r="K26" t="s">
        <v>846</v>
      </c>
      <c r="L26" t="s">
        <v>54</v>
      </c>
      <c r="M26" t="s">
        <v>895</v>
      </c>
    </row>
    <row r="27" spans="1:13" x14ac:dyDescent="0.3">
      <c r="A27" t="s">
        <v>929</v>
      </c>
      <c r="B27" t="s">
        <v>24</v>
      </c>
      <c r="C27" t="s">
        <v>125</v>
      </c>
      <c r="D27" t="s">
        <v>81</v>
      </c>
      <c r="E27" t="s">
        <v>77</v>
      </c>
      <c r="F27" s="4" t="s">
        <v>930</v>
      </c>
      <c r="G27" s="5">
        <f t="shared" si="0"/>
        <v>34.15</v>
      </c>
      <c r="H27" t="s">
        <v>27</v>
      </c>
      <c r="I27" t="s">
        <v>845</v>
      </c>
      <c r="J27" t="s">
        <v>31</v>
      </c>
      <c r="K27" t="s">
        <v>908</v>
      </c>
      <c r="L27" t="s">
        <v>39</v>
      </c>
      <c r="M27" t="s">
        <v>931</v>
      </c>
    </row>
    <row r="28" spans="1:13" x14ac:dyDescent="0.3">
      <c r="A28" t="s">
        <v>932</v>
      </c>
      <c r="B28" t="s">
        <v>42</v>
      </c>
      <c r="C28" t="s">
        <v>93</v>
      </c>
      <c r="D28" t="s">
        <v>15</v>
      </c>
      <c r="E28" t="s">
        <v>37</v>
      </c>
      <c r="F28" s="4" t="s">
        <v>933</v>
      </c>
      <c r="G28" s="5">
        <f t="shared" si="0"/>
        <v>19.25</v>
      </c>
      <c r="H28" t="s">
        <v>27</v>
      </c>
      <c r="I28" t="s">
        <v>845</v>
      </c>
      <c r="J28" t="s">
        <v>21</v>
      </c>
      <c r="K28" t="s">
        <v>46</v>
      </c>
      <c r="L28" t="s">
        <v>20</v>
      </c>
      <c r="M28" t="s">
        <v>934</v>
      </c>
    </row>
    <row r="29" spans="1:13" x14ac:dyDescent="0.3">
      <c r="A29" t="s">
        <v>935</v>
      </c>
      <c r="B29" t="s">
        <v>49</v>
      </c>
      <c r="C29" t="s">
        <v>130</v>
      </c>
      <c r="D29" t="s">
        <v>81</v>
      </c>
      <c r="E29" t="s">
        <v>77</v>
      </c>
      <c r="F29" s="4" t="s">
        <v>936</v>
      </c>
      <c r="G29" s="5">
        <f t="shared" si="0"/>
        <v>29.8</v>
      </c>
      <c r="H29" t="s">
        <v>27</v>
      </c>
      <c r="I29" t="s">
        <v>59</v>
      </c>
      <c r="J29" t="s">
        <v>31</v>
      </c>
      <c r="K29" t="s">
        <v>937</v>
      </c>
      <c r="L29" t="s">
        <v>908</v>
      </c>
      <c r="M29" t="s">
        <v>938</v>
      </c>
    </row>
    <row r="30" spans="1:13" x14ac:dyDescent="0.3">
      <c r="A30" t="s">
        <v>939</v>
      </c>
      <c r="B30" t="s">
        <v>852</v>
      </c>
      <c r="C30" t="s">
        <v>940</v>
      </c>
      <c r="D30" t="s">
        <v>26</v>
      </c>
      <c r="E30" t="s">
        <v>77</v>
      </c>
      <c r="F30" s="4" t="s">
        <v>941</v>
      </c>
      <c r="G30" s="5">
        <f t="shared" si="0"/>
        <v>27.9</v>
      </c>
      <c r="H30" t="s">
        <v>27</v>
      </c>
      <c r="I30" t="s">
        <v>28</v>
      </c>
      <c r="J30" t="s">
        <v>20</v>
      </c>
      <c r="K30" t="s">
        <v>846</v>
      </c>
      <c r="L30" t="s">
        <v>908</v>
      </c>
      <c r="M30" t="s">
        <v>942</v>
      </c>
    </row>
    <row r="31" spans="1:13" x14ac:dyDescent="0.3">
      <c r="A31" t="s">
        <v>943</v>
      </c>
      <c r="B31" t="s">
        <v>42</v>
      </c>
      <c r="C31" t="s">
        <v>87</v>
      </c>
      <c r="D31" t="s">
        <v>81</v>
      </c>
      <c r="E31" t="s">
        <v>116</v>
      </c>
      <c r="F31" s="4" t="s">
        <v>944</v>
      </c>
      <c r="G31" s="5">
        <f t="shared" si="0"/>
        <v>14.85</v>
      </c>
      <c r="H31" t="s">
        <v>17</v>
      </c>
      <c r="I31" t="s">
        <v>28</v>
      </c>
      <c r="J31" t="s">
        <v>30</v>
      </c>
      <c r="K31" t="s">
        <v>21</v>
      </c>
      <c r="L31" t="s">
        <v>846</v>
      </c>
      <c r="M31" t="s">
        <v>945</v>
      </c>
    </row>
    <row r="32" spans="1:13" x14ac:dyDescent="0.3">
      <c r="A32" t="s">
        <v>946</v>
      </c>
      <c r="B32" t="s">
        <v>62</v>
      </c>
      <c r="C32" t="s">
        <v>139</v>
      </c>
      <c r="D32" t="s">
        <v>64</v>
      </c>
      <c r="E32" t="s">
        <v>116</v>
      </c>
      <c r="F32" s="4" t="s">
        <v>947</v>
      </c>
      <c r="G32" s="5">
        <f t="shared" si="0"/>
        <v>16.899999999999999</v>
      </c>
      <c r="H32" t="s">
        <v>17</v>
      </c>
      <c r="I32" t="s">
        <v>845</v>
      </c>
      <c r="J32" t="s">
        <v>39</v>
      </c>
      <c r="K32" t="s">
        <v>46</v>
      </c>
      <c r="L32" t="s">
        <v>30</v>
      </c>
      <c r="M32" t="s">
        <v>948</v>
      </c>
    </row>
    <row r="33" spans="1:13" x14ac:dyDescent="0.3">
      <c r="A33" t="s">
        <v>949</v>
      </c>
      <c r="B33" t="s">
        <v>75</v>
      </c>
      <c r="C33" t="s">
        <v>87</v>
      </c>
      <c r="D33" t="s">
        <v>51</v>
      </c>
      <c r="E33" t="s">
        <v>52</v>
      </c>
      <c r="F33" s="4" t="s">
        <v>950</v>
      </c>
      <c r="G33" s="5">
        <f t="shared" si="0"/>
        <v>4.5999999999999996</v>
      </c>
      <c r="H33" t="s">
        <v>27</v>
      </c>
      <c r="I33" t="s">
        <v>845</v>
      </c>
      <c r="J33" t="s">
        <v>878</v>
      </c>
      <c r="K33" t="s">
        <v>846</v>
      </c>
      <c r="L33" t="s">
        <v>31</v>
      </c>
      <c r="M33" t="s">
        <v>951</v>
      </c>
    </row>
    <row r="34" spans="1:13" x14ac:dyDescent="0.3">
      <c r="A34" t="s">
        <v>952</v>
      </c>
      <c r="B34" t="s">
        <v>75</v>
      </c>
      <c r="C34" t="s">
        <v>953</v>
      </c>
      <c r="D34" t="s">
        <v>81</v>
      </c>
      <c r="E34" t="s">
        <v>52</v>
      </c>
      <c r="F34" s="4" t="s">
        <v>954</v>
      </c>
      <c r="G34" s="5">
        <f t="shared" si="0"/>
        <v>4.1500000000000004</v>
      </c>
      <c r="H34" t="s">
        <v>53</v>
      </c>
      <c r="I34" t="s">
        <v>845</v>
      </c>
      <c r="J34" t="s">
        <v>29</v>
      </c>
      <c r="K34" t="s">
        <v>878</v>
      </c>
      <c r="L34" t="s">
        <v>846</v>
      </c>
      <c r="M34" t="s">
        <v>955</v>
      </c>
    </row>
    <row r="35" spans="1:13" x14ac:dyDescent="0.3">
      <c r="A35" t="s">
        <v>956</v>
      </c>
      <c r="B35" t="s">
        <v>852</v>
      </c>
      <c r="C35" t="s">
        <v>899</v>
      </c>
      <c r="D35" t="s">
        <v>15</v>
      </c>
      <c r="E35" t="s">
        <v>37</v>
      </c>
      <c r="F35" s="4" t="s">
        <v>957</v>
      </c>
      <c r="G35" s="5">
        <f t="shared" si="0"/>
        <v>16.850000000000001</v>
      </c>
      <c r="H35" t="s">
        <v>27</v>
      </c>
      <c r="I35" t="s">
        <v>59</v>
      </c>
      <c r="J35" t="s">
        <v>31</v>
      </c>
      <c r="K35" t="s">
        <v>39</v>
      </c>
      <c r="L35" t="s">
        <v>908</v>
      </c>
      <c r="M35" t="s">
        <v>958</v>
      </c>
    </row>
    <row r="36" spans="1:13" x14ac:dyDescent="0.3">
      <c r="A36" t="s">
        <v>959</v>
      </c>
      <c r="B36" t="s">
        <v>960</v>
      </c>
      <c r="C36" t="s">
        <v>80</v>
      </c>
      <c r="D36" t="s">
        <v>76</v>
      </c>
      <c r="E36" t="s">
        <v>116</v>
      </c>
      <c r="F36" s="4" t="s">
        <v>961</v>
      </c>
      <c r="G36" s="5">
        <f t="shared" si="0"/>
        <v>15.1</v>
      </c>
      <c r="H36" t="s">
        <v>17</v>
      </c>
      <c r="I36" t="s">
        <v>28</v>
      </c>
      <c r="J36" t="s">
        <v>46</v>
      </c>
      <c r="K36" t="s">
        <v>45</v>
      </c>
      <c r="L36" t="s">
        <v>908</v>
      </c>
      <c r="M36" t="s">
        <v>962</v>
      </c>
    </row>
    <row r="37" spans="1:13" x14ac:dyDescent="0.3">
      <c r="A37" t="s">
        <v>963</v>
      </c>
      <c r="B37" t="s">
        <v>24</v>
      </c>
      <c r="C37" t="s">
        <v>152</v>
      </c>
      <c r="D37" t="s">
        <v>15</v>
      </c>
      <c r="E37" t="s">
        <v>37</v>
      </c>
      <c r="F37" s="4" t="s">
        <v>964</v>
      </c>
      <c r="G37" s="5">
        <f t="shared" si="0"/>
        <v>19.899999999999999</v>
      </c>
      <c r="H37" t="s">
        <v>27</v>
      </c>
      <c r="I37" t="s">
        <v>59</v>
      </c>
      <c r="J37" t="s">
        <v>908</v>
      </c>
      <c r="K37" t="s">
        <v>46</v>
      </c>
      <c r="L37" t="s">
        <v>846</v>
      </c>
      <c r="M37" t="s">
        <v>965</v>
      </c>
    </row>
    <row r="38" spans="1:13" x14ac:dyDescent="0.3">
      <c r="A38" t="s">
        <v>966</v>
      </c>
      <c r="B38" t="s">
        <v>42</v>
      </c>
      <c r="C38" t="s">
        <v>967</v>
      </c>
      <c r="D38" t="s">
        <v>76</v>
      </c>
      <c r="E38" t="s">
        <v>52</v>
      </c>
      <c r="F38" s="4" t="s">
        <v>968</v>
      </c>
      <c r="G38" s="5">
        <f t="shared" si="0"/>
        <v>3.9</v>
      </c>
      <c r="H38" t="s">
        <v>27</v>
      </c>
      <c r="I38" t="s">
        <v>845</v>
      </c>
      <c r="J38" t="s">
        <v>937</v>
      </c>
      <c r="K38" t="s">
        <v>21</v>
      </c>
      <c r="L38" t="s">
        <v>908</v>
      </c>
      <c r="M38" t="s">
        <v>969</v>
      </c>
    </row>
    <row r="39" spans="1:13" x14ac:dyDescent="0.3">
      <c r="A39" t="s">
        <v>970</v>
      </c>
      <c r="B39" t="s">
        <v>42</v>
      </c>
      <c r="C39" t="s">
        <v>35</v>
      </c>
      <c r="D39" t="s">
        <v>51</v>
      </c>
      <c r="E39" t="s">
        <v>16</v>
      </c>
      <c r="F39" s="4" t="s">
        <v>971</v>
      </c>
      <c r="G39" s="5">
        <f t="shared" si="0"/>
        <v>6.9</v>
      </c>
      <c r="H39" t="s">
        <v>27</v>
      </c>
      <c r="I39" t="s">
        <v>59</v>
      </c>
      <c r="J39" t="s">
        <v>30</v>
      </c>
      <c r="K39" t="s">
        <v>937</v>
      </c>
      <c r="L39" t="s">
        <v>874</v>
      </c>
      <c r="M39" t="s">
        <v>972</v>
      </c>
    </row>
    <row r="40" spans="1:13" x14ac:dyDescent="0.3">
      <c r="A40" t="s">
        <v>973</v>
      </c>
      <c r="B40" t="s">
        <v>75</v>
      </c>
      <c r="C40" t="s">
        <v>160</v>
      </c>
      <c r="D40" t="s">
        <v>81</v>
      </c>
      <c r="E40" t="s">
        <v>37</v>
      </c>
      <c r="F40" s="4" t="s">
        <v>974</v>
      </c>
      <c r="G40" s="5">
        <f t="shared" si="0"/>
        <v>15.85</v>
      </c>
      <c r="H40" t="s">
        <v>27</v>
      </c>
      <c r="I40" t="s">
        <v>28</v>
      </c>
      <c r="J40" t="s">
        <v>846</v>
      </c>
      <c r="K40" t="s">
        <v>45</v>
      </c>
      <c r="L40" t="s">
        <v>31</v>
      </c>
      <c r="M40" t="s">
        <v>975</v>
      </c>
    </row>
    <row r="41" spans="1:13" x14ac:dyDescent="0.3">
      <c r="A41" t="s">
        <v>976</v>
      </c>
      <c r="B41" t="s">
        <v>75</v>
      </c>
      <c r="C41" t="s">
        <v>163</v>
      </c>
      <c r="D41" t="s">
        <v>81</v>
      </c>
      <c r="E41" t="s">
        <v>37</v>
      </c>
      <c r="F41" s="4" t="s">
        <v>977</v>
      </c>
      <c r="G41" s="5">
        <f t="shared" si="0"/>
        <v>13.6</v>
      </c>
      <c r="H41" t="s">
        <v>27</v>
      </c>
      <c r="I41" t="s">
        <v>845</v>
      </c>
      <c r="J41" t="s">
        <v>31</v>
      </c>
      <c r="K41" t="s">
        <v>46</v>
      </c>
      <c r="L41" t="s">
        <v>39</v>
      </c>
      <c r="M41" t="s">
        <v>978</v>
      </c>
    </row>
    <row r="42" spans="1:13" x14ac:dyDescent="0.3">
      <c r="A42" t="s">
        <v>979</v>
      </c>
      <c r="B42" t="s">
        <v>62</v>
      </c>
      <c r="C42" t="s">
        <v>119</v>
      </c>
      <c r="D42" t="s">
        <v>51</v>
      </c>
      <c r="E42" t="s">
        <v>52</v>
      </c>
      <c r="F42" s="4" t="s">
        <v>980</v>
      </c>
      <c r="G42" s="5">
        <f t="shared" si="0"/>
        <v>4.3</v>
      </c>
      <c r="H42" t="s">
        <v>27</v>
      </c>
      <c r="I42" t="s">
        <v>28</v>
      </c>
      <c r="J42" t="s">
        <v>908</v>
      </c>
      <c r="K42" t="s">
        <v>29</v>
      </c>
      <c r="L42" t="s">
        <v>20</v>
      </c>
      <c r="M42" t="s">
        <v>981</v>
      </c>
    </row>
    <row r="43" spans="1:13" x14ac:dyDescent="0.3">
      <c r="A43" t="s">
        <v>982</v>
      </c>
      <c r="B43" t="s">
        <v>852</v>
      </c>
      <c r="C43" t="s">
        <v>130</v>
      </c>
      <c r="D43" t="s">
        <v>76</v>
      </c>
      <c r="E43" t="s">
        <v>37</v>
      </c>
      <c r="F43" s="4" t="s">
        <v>983</v>
      </c>
      <c r="G43" s="5">
        <f t="shared" si="0"/>
        <v>21.75</v>
      </c>
      <c r="H43" t="s">
        <v>27</v>
      </c>
      <c r="I43" t="s">
        <v>845</v>
      </c>
      <c r="J43" t="s">
        <v>46</v>
      </c>
      <c r="K43" t="s">
        <v>54</v>
      </c>
      <c r="L43" t="s">
        <v>854</v>
      </c>
      <c r="M43" t="s">
        <v>984</v>
      </c>
    </row>
    <row r="44" spans="1:13" x14ac:dyDescent="0.3">
      <c r="A44" t="s">
        <v>985</v>
      </c>
      <c r="B44" t="s">
        <v>13</v>
      </c>
      <c r="C44" t="s">
        <v>130</v>
      </c>
      <c r="D44" t="s">
        <v>64</v>
      </c>
      <c r="E44" t="s">
        <v>52</v>
      </c>
      <c r="F44" s="4" t="s">
        <v>986</v>
      </c>
      <c r="G44" s="5">
        <f t="shared" si="0"/>
        <v>7.6</v>
      </c>
      <c r="H44" t="s">
        <v>27</v>
      </c>
      <c r="I44" t="s">
        <v>845</v>
      </c>
      <c r="J44" t="s">
        <v>854</v>
      </c>
      <c r="K44" t="s">
        <v>21</v>
      </c>
      <c r="L44" t="s">
        <v>54</v>
      </c>
      <c r="M44" t="s">
        <v>987</v>
      </c>
    </row>
    <row r="45" spans="1:13" x14ac:dyDescent="0.3">
      <c r="A45" t="s">
        <v>988</v>
      </c>
      <c r="B45" t="s">
        <v>49</v>
      </c>
      <c r="C45" t="s">
        <v>172</v>
      </c>
      <c r="D45" t="s">
        <v>76</v>
      </c>
      <c r="E45" t="s">
        <v>52</v>
      </c>
      <c r="F45" s="4" t="s">
        <v>989</v>
      </c>
      <c r="G45" s="5">
        <f t="shared" si="0"/>
        <v>6.5</v>
      </c>
      <c r="H45" t="s">
        <v>17</v>
      </c>
      <c r="I45" t="s">
        <v>28</v>
      </c>
      <c r="J45" t="s">
        <v>937</v>
      </c>
      <c r="K45" t="s">
        <v>54</v>
      </c>
      <c r="L45" t="s">
        <v>31</v>
      </c>
      <c r="M45" t="s">
        <v>990</v>
      </c>
    </row>
    <row r="46" spans="1:13" x14ac:dyDescent="0.3">
      <c r="A46" t="s">
        <v>991</v>
      </c>
      <c r="B46" t="s">
        <v>75</v>
      </c>
      <c r="C46" t="s">
        <v>992</v>
      </c>
      <c r="D46" t="s">
        <v>44</v>
      </c>
      <c r="E46" t="s">
        <v>77</v>
      </c>
      <c r="F46" s="4" t="s">
        <v>993</v>
      </c>
      <c r="G46" s="5">
        <f t="shared" si="0"/>
        <v>26.6</v>
      </c>
      <c r="H46" t="s">
        <v>17</v>
      </c>
      <c r="I46" t="s">
        <v>59</v>
      </c>
      <c r="J46" t="s">
        <v>31</v>
      </c>
      <c r="K46" t="s">
        <v>20</v>
      </c>
      <c r="L46" t="s">
        <v>29</v>
      </c>
      <c r="M46" t="s">
        <v>994</v>
      </c>
    </row>
    <row r="47" spans="1:13" x14ac:dyDescent="0.3">
      <c r="A47" t="s">
        <v>995</v>
      </c>
      <c r="B47" t="s">
        <v>996</v>
      </c>
      <c r="C47" t="s">
        <v>179</v>
      </c>
      <c r="D47" t="s">
        <v>96</v>
      </c>
      <c r="E47" t="s">
        <v>77</v>
      </c>
      <c r="F47" s="4" t="s">
        <v>997</v>
      </c>
      <c r="G47" s="5">
        <f t="shared" si="0"/>
        <v>31.1</v>
      </c>
      <c r="H47" t="s">
        <v>27</v>
      </c>
      <c r="I47" t="s">
        <v>28</v>
      </c>
      <c r="J47" t="s">
        <v>20</v>
      </c>
      <c r="K47" t="s">
        <v>46</v>
      </c>
      <c r="L47" t="s">
        <v>937</v>
      </c>
      <c r="M47" t="s">
        <v>981</v>
      </c>
    </row>
    <row r="48" spans="1:13" x14ac:dyDescent="0.3">
      <c r="A48" t="s">
        <v>998</v>
      </c>
      <c r="B48" t="s">
        <v>864</v>
      </c>
      <c r="C48" t="s">
        <v>999</v>
      </c>
      <c r="D48" t="s">
        <v>96</v>
      </c>
      <c r="E48" t="s">
        <v>37</v>
      </c>
      <c r="F48" s="4" t="s">
        <v>1000</v>
      </c>
      <c r="G48" s="5">
        <f t="shared" si="0"/>
        <v>14.05</v>
      </c>
      <c r="H48" t="s">
        <v>27</v>
      </c>
      <c r="I48" t="s">
        <v>28</v>
      </c>
      <c r="J48" t="s">
        <v>908</v>
      </c>
      <c r="K48" t="s">
        <v>878</v>
      </c>
      <c r="L48" t="s">
        <v>21</v>
      </c>
      <c r="M48" t="s">
        <v>1001</v>
      </c>
    </row>
    <row r="49" spans="1:13" x14ac:dyDescent="0.3">
      <c r="A49" t="s">
        <v>1002</v>
      </c>
      <c r="B49" t="s">
        <v>13</v>
      </c>
      <c r="C49" t="s">
        <v>119</v>
      </c>
      <c r="D49" t="s">
        <v>81</v>
      </c>
      <c r="E49" t="s">
        <v>52</v>
      </c>
      <c r="F49" s="4" t="s">
        <v>989</v>
      </c>
      <c r="G49" s="5">
        <f t="shared" si="0"/>
        <v>6.5</v>
      </c>
      <c r="H49" t="s">
        <v>27</v>
      </c>
      <c r="I49" t="s">
        <v>28</v>
      </c>
      <c r="J49" t="s">
        <v>29</v>
      </c>
      <c r="K49" t="s">
        <v>846</v>
      </c>
      <c r="L49" t="s">
        <v>54</v>
      </c>
      <c r="M49" t="s">
        <v>1003</v>
      </c>
    </row>
    <row r="50" spans="1:13" x14ac:dyDescent="0.3">
      <c r="A50" t="s">
        <v>1004</v>
      </c>
      <c r="B50" t="s">
        <v>24</v>
      </c>
      <c r="C50" t="s">
        <v>887</v>
      </c>
      <c r="D50" t="s">
        <v>36</v>
      </c>
      <c r="E50" t="s">
        <v>52</v>
      </c>
      <c r="F50" s="4" t="s">
        <v>1005</v>
      </c>
      <c r="G50" s="5">
        <f t="shared" si="0"/>
        <v>6.6</v>
      </c>
      <c r="H50" t="s">
        <v>27</v>
      </c>
      <c r="I50" t="s">
        <v>59</v>
      </c>
      <c r="J50" t="s">
        <v>20</v>
      </c>
      <c r="K50" t="s">
        <v>854</v>
      </c>
      <c r="L50" t="s">
        <v>46</v>
      </c>
      <c r="M50" t="s">
        <v>1006</v>
      </c>
    </row>
    <row r="51" spans="1:13" x14ac:dyDescent="0.3">
      <c r="A51" t="s">
        <v>1007</v>
      </c>
      <c r="B51" t="s">
        <v>62</v>
      </c>
      <c r="C51" t="s">
        <v>188</v>
      </c>
      <c r="D51" t="s">
        <v>15</v>
      </c>
      <c r="E51" t="s">
        <v>77</v>
      </c>
      <c r="F51" s="4" t="s">
        <v>1008</v>
      </c>
      <c r="G51" s="5">
        <f t="shared" si="0"/>
        <v>41.9</v>
      </c>
      <c r="H51" t="s">
        <v>27</v>
      </c>
      <c r="I51" t="s">
        <v>28</v>
      </c>
      <c r="J51" t="s">
        <v>46</v>
      </c>
      <c r="K51" t="s">
        <v>854</v>
      </c>
      <c r="L51" t="s">
        <v>45</v>
      </c>
      <c r="M51" t="s">
        <v>1009</v>
      </c>
    </row>
    <row r="52" spans="1:13" x14ac:dyDescent="0.3">
      <c r="A52" t="s">
        <v>1010</v>
      </c>
      <c r="B52" t="s">
        <v>13</v>
      </c>
      <c r="C52" t="s">
        <v>191</v>
      </c>
      <c r="D52" t="s">
        <v>96</v>
      </c>
      <c r="E52" t="s">
        <v>116</v>
      </c>
      <c r="F52" s="4" t="s">
        <v>1011</v>
      </c>
      <c r="G52" s="5">
        <f t="shared" si="0"/>
        <v>10.45</v>
      </c>
      <c r="H52" t="s">
        <v>27</v>
      </c>
      <c r="I52" t="s">
        <v>28</v>
      </c>
      <c r="J52" t="s">
        <v>878</v>
      </c>
      <c r="K52" t="s">
        <v>30</v>
      </c>
      <c r="L52" t="s">
        <v>21</v>
      </c>
      <c r="M52" t="s">
        <v>1012</v>
      </c>
    </row>
    <row r="53" spans="1:13" x14ac:dyDescent="0.3">
      <c r="A53" t="s">
        <v>1013</v>
      </c>
      <c r="B53" t="s">
        <v>960</v>
      </c>
      <c r="C53" t="s">
        <v>194</v>
      </c>
      <c r="D53" t="s">
        <v>64</v>
      </c>
      <c r="E53" t="s">
        <v>37</v>
      </c>
      <c r="F53" s="4" t="s">
        <v>964</v>
      </c>
      <c r="G53" s="5">
        <f t="shared" si="0"/>
        <v>19.899999999999999</v>
      </c>
      <c r="H53" t="s">
        <v>27</v>
      </c>
      <c r="I53" t="s">
        <v>28</v>
      </c>
      <c r="J53" t="s">
        <v>29</v>
      </c>
      <c r="K53" t="s">
        <v>46</v>
      </c>
      <c r="L53" t="s">
        <v>878</v>
      </c>
      <c r="M53" t="s">
        <v>990</v>
      </c>
    </row>
    <row r="54" spans="1:13" x14ac:dyDescent="0.3">
      <c r="A54" t="s">
        <v>1014</v>
      </c>
      <c r="B54" t="s">
        <v>996</v>
      </c>
      <c r="C54" t="s">
        <v>106</v>
      </c>
      <c r="D54" t="s">
        <v>64</v>
      </c>
      <c r="E54" t="s">
        <v>116</v>
      </c>
      <c r="F54" s="4" t="s">
        <v>1015</v>
      </c>
      <c r="G54" s="5">
        <f t="shared" si="0"/>
        <v>11.75</v>
      </c>
      <c r="H54" t="s">
        <v>17</v>
      </c>
      <c r="I54" t="s">
        <v>28</v>
      </c>
      <c r="J54" t="s">
        <v>29</v>
      </c>
      <c r="K54" t="s">
        <v>20</v>
      </c>
      <c r="L54" t="s">
        <v>874</v>
      </c>
      <c r="M54" t="s">
        <v>972</v>
      </c>
    </row>
    <row r="55" spans="1:13" x14ac:dyDescent="0.3">
      <c r="A55" t="s">
        <v>1016</v>
      </c>
      <c r="B55" t="s">
        <v>75</v>
      </c>
      <c r="C55" t="s">
        <v>90</v>
      </c>
      <c r="D55" t="s">
        <v>51</v>
      </c>
      <c r="E55" t="s">
        <v>37</v>
      </c>
      <c r="F55" s="4" t="s">
        <v>1017</v>
      </c>
      <c r="G55" s="5">
        <f t="shared" si="0"/>
        <v>12.65</v>
      </c>
      <c r="H55" t="s">
        <v>27</v>
      </c>
      <c r="I55" t="s">
        <v>59</v>
      </c>
      <c r="J55" t="s">
        <v>54</v>
      </c>
      <c r="K55" t="s">
        <v>45</v>
      </c>
      <c r="L55" t="s">
        <v>937</v>
      </c>
      <c r="M55" t="s">
        <v>1018</v>
      </c>
    </row>
    <row r="56" spans="1:13" x14ac:dyDescent="0.3">
      <c r="A56" t="s">
        <v>1019</v>
      </c>
      <c r="B56" t="s">
        <v>75</v>
      </c>
      <c r="C56" t="s">
        <v>139</v>
      </c>
      <c r="D56" t="s">
        <v>15</v>
      </c>
      <c r="E56" t="s">
        <v>77</v>
      </c>
      <c r="F56" s="4" t="s">
        <v>1020</v>
      </c>
      <c r="G56" s="5">
        <f t="shared" si="0"/>
        <v>28.25</v>
      </c>
      <c r="H56" t="s">
        <v>27</v>
      </c>
      <c r="I56" t="s">
        <v>28</v>
      </c>
      <c r="J56" t="s">
        <v>39</v>
      </c>
      <c r="K56" t="s">
        <v>21</v>
      </c>
      <c r="L56" t="s">
        <v>854</v>
      </c>
      <c r="M56" t="s">
        <v>1021</v>
      </c>
    </row>
    <row r="57" spans="1:13" x14ac:dyDescent="0.3">
      <c r="A57" t="s">
        <v>1022</v>
      </c>
      <c r="B57" t="s">
        <v>996</v>
      </c>
      <c r="C57" t="s">
        <v>160</v>
      </c>
      <c r="D57" t="s">
        <v>26</v>
      </c>
      <c r="E57" t="s">
        <v>37</v>
      </c>
      <c r="F57" s="4" t="s">
        <v>1023</v>
      </c>
      <c r="G57" s="5">
        <f t="shared" si="0"/>
        <v>10.35</v>
      </c>
      <c r="H57" t="s">
        <v>27</v>
      </c>
      <c r="I57" t="s">
        <v>28</v>
      </c>
      <c r="J57" t="s">
        <v>39</v>
      </c>
      <c r="K57" t="s">
        <v>874</v>
      </c>
      <c r="L57" t="s">
        <v>54</v>
      </c>
      <c r="M57" t="s">
        <v>1024</v>
      </c>
    </row>
    <row r="58" spans="1:13" x14ac:dyDescent="0.3">
      <c r="A58" t="s">
        <v>1025</v>
      </c>
      <c r="B58" t="s">
        <v>75</v>
      </c>
      <c r="C58" t="s">
        <v>940</v>
      </c>
      <c r="D58" t="s">
        <v>64</v>
      </c>
      <c r="E58" t="s">
        <v>116</v>
      </c>
      <c r="F58" s="4" t="s">
        <v>1026</v>
      </c>
      <c r="G58" s="5">
        <f t="shared" si="0"/>
        <v>17.600000000000001</v>
      </c>
      <c r="H58" t="s">
        <v>27</v>
      </c>
      <c r="I58" t="s">
        <v>28</v>
      </c>
      <c r="J58" t="s">
        <v>30</v>
      </c>
      <c r="K58" t="s">
        <v>874</v>
      </c>
      <c r="L58" t="s">
        <v>45</v>
      </c>
      <c r="M58" t="s">
        <v>1027</v>
      </c>
    </row>
    <row r="59" spans="1:13" x14ac:dyDescent="0.3">
      <c r="A59" t="s">
        <v>1028</v>
      </c>
      <c r="B59" t="s">
        <v>75</v>
      </c>
      <c r="C59" t="s">
        <v>205</v>
      </c>
      <c r="D59" t="s">
        <v>15</v>
      </c>
      <c r="E59" t="s">
        <v>77</v>
      </c>
      <c r="F59" s="4" t="s">
        <v>1029</v>
      </c>
      <c r="G59" s="5">
        <f t="shared" si="0"/>
        <v>42.7</v>
      </c>
      <c r="H59" t="s">
        <v>27</v>
      </c>
      <c r="I59" t="s">
        <v>28</v>
      </c>
      <c r="J59" t="s">
        <v>937</v>
      </c>
      <c r="K59" t="s">
        <v>45</v>
      </c>
      <c r="L59" t="s">
        <v>21</v>
      </c>
      <c r="M59" t="s">
        <v>1030</v>
      </c>
    </row>
    <row r="60" spans="1:13" x14ac:dyDescent="0.3">
      <c r="A60" t="s">
        <v>1031</v>
      </c>
      <c r="B60" t="s">
        <v>62</v>
      </c>
      <c r="C60" t="s">
        <v>1032</v>
      </c>
      <c r="D60" t="s">
        <v>51</v>
      </c>
      <c r="E60" t="s">
        <v>16</v>
      </c>
      <c r="F60" s="4" t="s">
        <v>1033</v>
      </c>
      <c r="G60" s="5">
        <f t="shared" si="0"/>
        <v>6.35</v>
      </c>
      <c r="H60" t="s">
        <v>27</v>
      </c>
      <c r="I60" t="s">
        <v>28</v>
      </c>
      <c r="J60" t="s">
        <v>846</v>
      </c>
      <c r="K60" t="s">
        <v>908</v>
      </c>
      <c r="L60" t="s">
        <v>854</v>
      </c>
      <c r="M60" t="s">
        <v>1034</v>
      </c>
    </row>
    <row r="61" spans="1:13" x14ac:dyDescent="0.3">
      <c r="A61" t="s">
        <v>1035</v>
      </c>
      <c r="B61" t="s">
        <v>42</v>
      </c>
      <c r="C61" t="s">
        <v>211</v>
      </c>
      <c r="D61" t="s">
        <v>44</v>
      </c>
      <c r="E61" t="s">
        <v>52</v>
      </c>
      <c r="F61" s="4" t="s">
        <v>1036</v>
      </c>
      <c r="G61" s="5">
        <f t="shared" si="0"/>
        <v>2.9</v>
      </c>
      <c r="H61" t="s">
        <v>53</v>
      </c>
      <c r="I61" t="s">
        <v>28</v>
      </c>
      <c r="J61" t="s">
        <v>31</v>
      </c>
      <c r="K61" t="s">
        <v>45</v>
      </c>
      <c r="L61" t="s">
        <v>20</v>
      </c>
      <c r="M61" t="s">
        <v>1037</v>
      </c>
    </row>
    <row r="62" spans="1:13" x14ac:dyDescent="0.3">
      <c r="A62" t="s">
        <v>1038</v>
      </c>
      <c r="B62" t="s">
        <v>24</v>
      </c>
      <c r="C62" t="s">
        <v>214</v>
      </c>
      <c r="D62" t="s">
        <v>26</v>
      </c>
      <c r="E62" t="s">
        <v>52</v>
      </c>
      <c r="F62" s="4" t="s">
        <v>1039</v>
      </c>
      <c r="G62" s="5">
        <f t="shared" si="0"/>
        <v>3.1</v>
      </c>
      <c r="H62" t="s">
        <v>53</v>
      </c>
      <c r="I62" t="s">
        <v>845</v>
      </c>
      <c r="J62" t="s">
        <v>30</v>
      </c>
      <c r="K62" t="s">
        <v>937</v>
      </c>
      <c r="L62" t="s">
        <v>31</v>
      </c>
      <c r="M62" t="s">
        <v>1040</v>
      </c>
    </row>
    <row r="63" spans="1:13" x14ac:dyDescent="0.3">
      <c r="A63" t="s">
        <v>1041</v>
      </c>
      <c r="B63" t="s">
        <v>960</v>
      </c>
      <c r="C63" t="s">
        <v>217</v>
      </c>
      <c r="D63" t="s">
        <v>64</v>
      </c>
      <c r="E63" t="s">
        <v>77</v>
      </c>
      <c r="F63" s="4" t="s">
        <v>1042</v>
      </c>
      <c r="G63" s="5">
        <f t="shared" si="0"/>
        <v>43.55</v>
      </c>
      <c r="H63" t="s">
        <v>27</v>
      </c>
      <c r="I63" t="s">
        <v>28</v>
      </c>
      <c r="J63" t="s">
        <v>937</v>
      </c>
      <c r="K63" t="s">
        <v>29</v>
      </c>
      <c r="L63" t="s">
        <v>31</v>
      </c>
      <c r="M63" t="s">
        <v>1043</v>
      </c>
    </row>
    <row r="64" spans="1:13" x14ac:dyDescent="0.3">
      <c r="A64" t="s">
        <v>1044</v>
      </c>
      <c r="B64" t="s">
        <v>49</v>
      </c>
      <c r="C64" t="s">
        <v>220</v>
      </c>
      <c r="D64" t="s">
        <v>71</v>
      </c>
      <c r="E64" t="s">
        <v>37</v>
      </c>
      <c r="F64" s="4" t="s">
        <v>1045</v>
      </c>
      <c r="G64" s="5">
        <f t="shared" si="0"/>
        <v>11.8</v>
      </c>
      <c r="H64" t="s">
        <v>27</v>
      </c>
      <c r="I64" t="s">
        <v>28</v>
      </c>
      <c r="J64" t="s">
        <v>45</v>
      </c>
      <c r="K64" t="s">
        <v>21</v>
      </c>
      <c r="L64" t="s">
        <v>846</v>
      </c>
      <c r="M64" t="s">
        <v>1046</v>
      </c>
    </row>
    <row r="65" spans="1:13" x14ac:dyDescent="0.3">
      <c r="A65" t="s">
        <v>1047</v>
      </c>
      <c r="B65" t="s">
        <v>62</v>
      </c>
      <c r="C65" t="s">
        <v>14</v>
      </c>
      <c r="D65" t="s">
        <v>64</v>
      </c>
      <c r="E65" t="s">
        <v>116</v>
      </c>
      <c r="F65" s="4" t="s">
        <v>1017</v>
      </c>
      <c r="G65" s="5">
        <f t="shared" si="0"/>
        <v>12.65</v>
      </c>
      <c r="H65" t="s">
        <v>27</v>
      </c>
      <c r="I65" t="s">
        <v>845</v>
      </c>
      <c r="J65" t="s">
        <v>30</v>
      </c>
      <c r="K65" t="s">
        <v>39</v>
      </c>
      <c r="L65" t="s">
        <v>46</v>
      </c>
      <c r="M65" t="s">
        <v>1048</v>
      </c>
    </row>
    <row r="66" spans="1:13" x14ac:dyDescent="0.3">
      <c r="A66" t="s">
        <v>1049</v>
      </c>
      <c r="B66" t="s">
        <v>864</v>
      </c>
      <c r="C66" t="s">
        <v>999</v>
      </c>
      <c r="D66" t="s">
        <v>71</v>
      </c>
      <c r="E66" t="s">
        <v>16</v>
      </c>
      <c r="F66" s="4" t="s">
        <v>1050</v>
      </c>
      <c r="G66" s="5">
        <f t="shared" ref="G66:G129" si="1">F66/100000</f>
        <v>9.25</v>
      </c>
      <c r="H66" t="s">
        <v>27</v>
      </c>
      <c r="I66" t="s">
        <v>845</v>
      </c>
      <c r="J66" t="s">
        <v>846</v>
      </c>
      <c r="K66" t="s">
        <v>21</v>
      </c>
      <c r="L66" t="s">
        <v>39</v>
      </c>
      <c r="M66" t="s">
        <v>1051</v>
      </c>
    </row>
    <row r="67" spans="1:13" x14ac:dyDescent="0.3">
      <c r="A67" t="s">
        <v>1052</v>
      </c>
      <c r="B67" t="s">
        <v>62</v>
      </c>
      <c r="C67" t="s">
        <v>227</v>
      </c>
      <c r="D67" t="s">
        <v>36</v>
      </c>
      <c r="E67" t="s">
        <v>37</v>
      </c>
      <c r="F67" s="4" t="s">
        <v>1053</v>
      </c>
      <c r="G67" s="5">
        <f t="shared" si="1"/>
        <v>11.25</v>
      </c>
      <c r="H67" t="s">
        <v>27</v>
      </c>
      <c r="I67" t="s">
        <v>845</v>
      </c>
      <c r="J67" t="s">
        <v>29</v>
      </c>
      <c r="K67" t="s">
        <v>46</v>
      </c>
      <c r="L67" t="s">
        <v>45</v>
      </c>
      <c r="M67" t="s">
        <v>1054</v>
      </c>
    </row>
    <row r="68" spans="1:13" x14ac:dyDescent="0.3">
      <c r="A68" t="s">
        <v>1055</v>
      </c>
      <c r="B68" t="s">
        <v>960</v>
      </c>
      <c r="C68" t="s">
        <v>152</v>
      </c>
      <c r="D68" t="s">
        <v>26</v>
      </c>
      <c r="E68" t="s">
        <v>116</v>
      </c>
      <c r="F68" s="4" t="s">
        <v>1056</v>
      </c>
      <c r="G68" s="5">
        <f t="shared" si="1"/>
        <v>11.55</v>
      </c>
      <c r="H68" t="s">
        <v>17</v>
      </c>
      <c r="I68" t="s">
        <v>28</v>
      </c>
      <c r="J68" t="s">
        <v>39</v>
      </c>
      <c r="K68" t="s">
        <v>878</v>
      </c>
      <c r="L68" t="s">
        <v>20</v>
      </c>
      <c r="M68" t="s">
        <v>1057</v>
      </c>
    </row>
    <row r="69" spans="1:13" x14ac:dyDescent="0.3">
      <c r="A69" t="s">
        <v>1058</v>
      </c>
      <c r="B69" t="s">
        <v>62</v>
      </c>
      <c r="C69" t="s">
        <v>227</v>
      </c>
      <c r="D69" t="s">
        <v>81</v>
      </c>
      <c r="E69" t="s">
        <v>37</v>
      </c>
      <c r="F69" s="4" t="s">
        <v>1059</v>
      </c>
      <c r="G69" s="5">
        <f t="shared" si="1"/>
        <v>20.05</v>
      </c>
      <c r="H69" t="s">
        <v>27</v>
      </c>
      <c r="I69" t="s">
        <v>845</v>
      </c>
      <c r="J69" t="s">
        <v>45</v>
      </c>
      <c r="K69" t="s">
        <v>30</v>
      </c>
      <c r="L69" t="s">
        <v>854</v>
      </c>
      <c r="M69" t="s">
        <v>1027</v>
      </c>
    </row>
    <row r="70" spans="1:13" x14ac:dyDescent="0.3">
      <c r="A70" t="s">
        <v>1060</v>
      </c>
      <c r="B70" t="s">
        <v>62</v>
      </c>
      <c r="C70" t="s">
        <v>220</v>
      </c>
      <c r="D70" t="s">
        <v>71</v>
      </c>
      <c r="E70" t="s">
        <v>52</v>
      </c>
      <c r="F70" s="4" t="s">
        <v>1061</v>
      </c>
      <c r="G70" s="5">
        <f t="shared" si="1"/>
        <v>4.05</v>
      </c>
      <c r="H70" t="s">
        <v>53</v>
      </c>
      <c r="I70" t="s">
        <v>28</v>
      </c>
      <c r="J70" t="s">
        <v>29</v>
      </c>
      <c r="K70" t="s">
        <v>874</v>
      </c>
      <c r="L70" t="s">
        <v>20</v>
      </c>
      <c r="M70" t="s">
        <v>1062</v>
      </c>
    </row>
    <row r="71" spans="1:13" x14ac:dyDescent="0.3">
      <c r="A71" t="s">
        <v>1063</v>
      </c>
      <c r="B71" t="s">
        <v>75</v>
      </c>
      <c r="C71" t="s">
        <v>205</v>
      </c>
      <c r="D71" t="s">
        <v>64</v>
      </c>
      <c r="E71" t="s">
        <v>16</v>
      </c>
      <c r="F71" s="4" t="s">
        <v>986</v>
      </c>
      <c r="G71" s="5">
        <f t="shared" si="1"/>
        <v>7.6</v>
      </c>
      <c r="H71" t="s">
        <v>17</v>
      </c>
      <c r="I71" t="s">
        <v>845</v>
      </c>
      <c r="J71" t="s">
        <v>846</v>
      </c>
      <c r="K71" t="s">
        <v>29</v>
      </c>
      <c r="L71" t="s">
        <v>46</v>
      </c>
      <c r="M71" t="s">
        <v>1064</v>
      </c>
    </row>
    <row r="72" spans="1:13" x14ac:dyDescent="0.3">
      <c r="A72" t="s">
        <v>1065</v>
      </c>
      <c r="B72" t="s">
        <v>62</v>
      </c>
      <c r="C72" t="s">
        <v>237</v>
      </c>
      <c r="D72" t="s">
        <v>81</v>
      </c>
      <c r="E72" t="s">
        <v>52</v>
      </c>
      <c r="F72" s="4" t="s">
        <v>1066</v>
      </c>
      <c r="G72" s="5">
        <f t="shared" si="1"/>
        <v>5.25</v>
      </c>
      <c r="H72" t="s">
        <v>27</v>
      </c>
      <c r="I72" t="s">
        <v>845</v>
      </c>
      <c r="J72" t="s">
        <v>846</v>
      </c>
      <c r="K72" t="s">
        <v>20</v>
      </c>
      <c r="L72" t="s">
        <v>46</v>
      </c>
      <c r="M72" t="s">
        <v>885</v>
      </c>
    </row>
    <row r="73" spans="1:13" x14ac:dyDescent="0.3">
      <c r="A73" t="s">
        <v>1067</v>
      </c>
      <c r="B73" t="s">
        <v>996</v>
      </c>
      <c r="C73" t="s">
        <v>220</v>
      </c>
      <c r="D73" t="s">
        <v>64</v>
      </c>
      <c r="E73" t="s">
        <v>37</v>
      </c>
      <c r="F73" s="4" t="s">
        <v>1068</v>
      </c>
      <c r="G73" s="5">
        <f t="shared" si="1"/>
        <v>11.45</v>
      </c>
      <c r="H73" t="s">
        <v>27</v>
      </c>
      <c r="I73" t="s">
        <v>28</v>
      </c>
      <c r="J73" t="s">
        <v>46</v>
      </c>
      <c r="K73" t="s">
        <v>937</v>
      </c>
      <c r="L73" t="s">
        <v>39</v>
      </c>
      <c r="M73" t="s">
        <v>885</v>
      </c>
    </row>
    <row r="74" spans="1:13" x14ac:dyDescent="0.3">
      <c r="A74" t="s">
        <v>1069</v>
      </c>
      <c r="B74" t="s">
        <v>996</v>
      </c>
      <c r="C74" t="s">
        <v>899</v>
      </c>
      <c r="D74" t="s">
        <v>81</v>
      </c>
      <c r="E74" t="s">
        <v>116</v>
      </c>
      <c r="F74" s="4" t="s">
        <v>1070</v>
      </c>
      <c r="G74" s="5">
        <f t="shared" si="1"/>
        <v>10.25</v>
      </c>
      <c r="H74" t="s">
        <v>17</v>
      </c>
      <c r="I74" t="s">
        <v>28</v>
      </c>
      <c r="J74" t="s">
        <v>29</v>
      </c>
      <c r="K74" t="s">
        <v>54</v>
      </c>
      <c r="L74" t="s">
        <v>908</v>
      </c>
      <c r="M74" t="s">
        <v>1071</v>
      </c>
    </row>
    <row r="75" spans="1:13" x14ac:dyDescent="0.3">
      <c r="A75" t="s">
        <v>1072</v>
      </c>
      <c r="B75" t="s">
        <v>852</v>
      </c>
      <c r="C75" t="s">
        <v>242</v>
      </c>
      <c r="D75" t="s">
        <v>26</v>
      </c>
      <c r="E75" t="s">
        <v>77</v>
      </c>
      <c r="F75" s="4" t="s">
        <v>1073</v>
      </c>
      <c r="G75" s="5">
        <f t="shared" si="1"/>
        <v>26.35</v>
      </c>
      <c r="H75" t="s">
        <v>27</v>
      </c>
      <c r="I75" t="s">
        <v>28</v>
      </c>
      <c r="J75" t="s">
        <v>908</v>
      </c>
      <c r="K75" t="s">
        <v>31</v>
      </c>
      <c r="L75" t="s">
        <v>39</v>
      </c>
      <c r="M75" t="s">
        <v>1074</v>
      </c>
    </row>
    <row r="76" spans="1:13" x14ac:dyDescent="0.3">
      <c r="A76" t="s">
        <v>1075</v>
      </c>
      <c r="B76" t="s">
        <v>996</v>
      </c>
      <c r="C76" t="s">
        <v>106</v>
      </c>
      <c r="D76" t="s">
        <v>71</v>
      </c>
      <c r="E76" t="s">
        <v>77</v>
      </c>
      <c r="F76" s="4" t="s">
        <v>1076</v>
      </c>
      <c r="G76" s="5">
        <f t="shared" si="1"/>
        <v>22.4</v>
      </c>
      <c r="H76" t="s">
        <v>27</v>
      </c>
      <c r="I76" t="s">
        <v>59</v>
      </c>
      <c r="J76" t="s">
        <v>20</v>
      </c>
      <c r="K76" t="s">
        <v>46</v>
      </c>
      <c r="L76" t="s">
        <v>854</v>
      </c>
      <c r="M76" t="s">
        <v>1077</v>
      </c>
    </row>
    <row r="77" spans="1:13" x14ac:dyDescent="0.3">
      <c r="A77" t="s">
        <v>1078</v>
      </c>
      <c r="B77" t="s">
        <v>75</v>
      </c>
      <c r="C77" t="s">
        <v>967</v>
      </c>
      <c r="D77" t="s">
        <v>51</v>
      </c>
      <c r="E77" t="s">
        <v>37</v>
      </c>
      <c r="F77" s="4" t="s">
        <v>1079</v>
      </c>
      <c r="G77" s="5">
        <f t="shared" si="1"/>
        <v>14.1</v>
      </c>
      <c r="H77" t="s">
        <v>17</v>
      </c>
      <c r="I77" t="s">
        <v>28</v>
      </c>
      <c r="J77" t="s">
        <v>31</v>
      </c>
      <c r="K77" t="s">
        <v>54</v>
      </c>
      <c r="L77" t="s">
        <v>45</v>
      </c>
      <c r="M77" t="s">
        <v>1080</v>
      </c>
    </row>
    <row r="78" spans="1:13" x14ac:dyDescent="0.3">
      <c r="A78" t="s">
        <v>1081</v>
      </c>
      <c r="B78" t="s">
        <v>960</v>
      </c>
      <c r="C78" t="s">
        <v>1082</v>
      </c>
      <c r="D78" t="s">
        <v>44</v>
      </c>
      <c r="E78" t="s">
        <v>16</v>
      </c>
      <c r="F78" s="4" t="s">
        <v>1083</v>
      </c>
      <c r="G78" s="5">
        <f t="shared" si="1"/>
        <v>7.9</v>
      </c>
      <c r="H78" t="s">
        <v>27</v>
      </c>
      <c r="I78" t="s">
        <v>28</v>
      </c>
      <c r="J78" t="s">
        <v>46</v>
      </c>
      <c r="K78" t="s">
        <v>908</v>
      </c>
      <c r="L78" t="s">
        <v>878</v>
      </c>
      <c r="M78" t="s">
        <v>1084</v>
      </c>
    </row>
    <row r="79" spans="1:13" x14ac:dyDescent="0.3">
      <c r="A79" t="s">
        <v>1085</v>
      </c>
      <c r="B79" t="s">
        <v>864</v>
      </c>
      <c r="C79" t="s">
        <v>940</v>
      </c>
      <c r="D79" t="s">
        <v>81</v>
      </c>
      <c r="E79" t="s">
        <v>52</v>
      </c>
      <c r="F79" s="4" t="s">
        <v>1086</v>
      </c>
      <c r="G79" s="5">
        <f t="shared" si="1"/>
        <v>6.15</v>
      </c>
      <c r="H79" t="s">
        <v>17</v>
      </c>
      <c r="I79" t="s">
        <v>28</v>
      </c>
      <c r="J79" t="s">
        <v>54</v>
      </c>
      <c r="K79" t="s">
        <v>874</v>
      </c>
      <c r="L79" t="s">
        <v>31</v>
      </c>
      <c r="M79" t="s">
        <v>1087</v>
      </c>
    </row>
    <row r="80" spans="1:13" x14ac:dyDescent="0.3">
      <c r="A80" t="s">
        <v>1088</v>
      </c>
      <c r="B80" t="s">
        <v>75</v>
      </c>
      <c r="C80" t="s">
        <v>160</v>
      </c>
      <c r="D80" t="s">
        <v>15</v>
      </c>
      <c r="E80" t="s">
        <v>116</v>
      </c>
      <c r="F80" s="4" t="s">
        <v>1089</v>
      </c>
      <c r="G80" s="5">
        <f t="shared" si="1"/>
        <v>9.9</v>
      </c>
      <c r="H80" t="s">
        <v>27</v>
      </c>
      <c r="I80" t="s">
        <v>845</v>
      </c>
      <c r="J80" t="s">
        <v>21</v>
      </c>
      <c r="K80" t="s">
        <v>20</v>
      </c>
      <c r="L80" t="s">
        <v>45</v>
      </c>
      <c r="M80" t="s">
        <v>1090</v>
      </c>
    </row>
    <row r="81" spans="1:13" x14ac:dyDescent="0.3">
      <c r="A81" t="s">
        <v>1091</v>
      </c>
      <c r="B81" t="s">
        <v>13</v>
      </c>
      <c r="C81" t="s">
        <v>214</v>
      </c>
      <c r="D81" t="s">
        <v>51</v>
      </c>
      <c r="E81" t="s">
        <v>52</v>
      </c>
      <c r="F81" s="4" t="s">
        <v>1092</v>
      </c>
      <c r="G81" s="5">
        <f t="shared" si="1"/>
        <v>6.4</v>
      </c>
      <c r="H81" t="s">
        <v>17</v>
      </c>
      <c r="I81" t="s">
        <v>28</v>
      </c>
      <c r="J81" t="s">
        <v>45</v>
      </c>
      <c r="K81" t="s">
        <v>846</v>
      </c>
      <c r="L81" t="s">
        <v>21</v>
      </c>
      <c r="M81" t="s">
        <v>1093</v>
      </c>
    </row>
    <row r="82" spans="1:13" x14ac:dyDescent="0.3">
      <c r="A82" t="s">
        <v>1094</v>
      </c>
      <c r="B82" t="s">
        <v>960</v>
      </c>
      <c r="C82" t="s">
        <v>93</v>
      </c>
      <c r="D82" t="s">
        <v>36</v>
      </c>
      <c r="E82" t="s">
        <v>52</v>
      </c>
      <c r="F82" s="4" t="s">
        <v>1095</v>
      </c>
      <c r="G82" s="5">
        <f t="shared" si="1"/>
        <v>6.3</v>
      </c>
      <c r="H82" t="s">
        <v>27</v>
      </c>
      <c r="I82" t="s">
        <v>28</v>
      </c>
      <c r="J82" t="s">
        <v>39</v>
      </c>
      <c r="K82" t="s">
        <v>846</v>
      </c>
      <c r="L82" t="s">
        <v>29</v>
      </c>
      <c r="M82" t="s">
        <v>1096</v>
      </c>
    </row>
    <row r="83" spans="1:13" x14ac:dyDescent="0.3">
      <c r="A83" t="s">
        <v>1097</v>
      </c>
      <c r="B83" t="s">
        <v>852</v>
      </c>
      <c r="C83" t="s">
        <v>260</v>
      </c>
      <c r="D83" t="s">
        <v>64</v>
      </c>
      <c r="E83" t="s">
        <v>52</v>
      </c>
      <c r="F83" s="4" t="s">
        <v>1098</v>
      </c>
      <c r="G83" s="5">
        <f t="shared" si="1"/>
        <v>4.0999999999999996</v>
      </c>
      <c r="H83" t="s">
        <v>27</v>
      </c>
      <c r="I83" t="s">
        <v>28</v>
      </c>
      <c r="J83" t="s">
        <v>854</v>
      </c>
      <c r="K83" t="s">
        <v>39</v>
      </c>
      <c r="L83" t="s">
        <v>29</v>
      </c>
      <c r="M83" t="s">
        <v>892</v>
      </c>
    </row>
    <row r="84" spans="1:13" x14ac:dyDescent="0.3">
      <c r="A84" t="s">
        <v>1099</v>
      </c>
      <c r="B84" t="s">
        <v>864</v>
      </c>
      <c r="C84" t="s">
        <v>63</v>
      </c>
      <c r="D84" t="s">
        <v>36</v>
      </c>
      <c r="E84" t="s">
        <v>16</v>
      </c>
      <c r="F84" s="4" t="s">
        <v>1100</v>
      </c>
      <c r="G84" s="5">
        <f t="shared" si="1"/>
        <v>8.3000000000000007</v>
      </c>
      <c r="H84" t="s">
        <v>27</v>
      </c>
      <c r="I84" t="s">
        <v>28</v>
      </c>
      <c r="J84" t="s">
        <v>45</v>
      </c>
      <c r="K84" t="s">
        <v>29</v>
      </c>
      <c r="L84" t="s">
        <v>908</v>
      </c>
      <c r="M84" t="s">
        <v>1101</v>
      </c>
    </row>
    <row r="85" spans="1:13" x14ac:dyDescent="0.3">
      <c r="A85" t="s">
        <v>1102</v>
      </c>
      <c r="B85" t="s">
        <v>62</v>
      </c>
      <c r="C85" t="s">
        <v>211</v>
      </c>
      <c r="D85" t="s">
        <v>96</v>
      </c>
      <c r="E85" t="s">
        <v>77</v>
      </c>
      <c r="F85" s="4" t="s">
        <v>1103</v>
      </c>
      <c r="G85" s="5">
        <f t="shared" si="1"/>
        <v>27.05</v>
      </c>
      <c r="H85" t="s">
        <v>17</v>
      </c>
      <c r="I85" t="s">
        <v>845</v>
      </c>
      <c r="J85" t="s">
        <v>31</v>
      </c>
      <c r="K85" t="s">
        <v>29</v>
      </c>
      <c r="L85" t="s">
        <v>854</v>
      </c>
      <c r="M85" t="s">
        <v>1003</v>
      </c>
    </row>
    <row r="86" spans="1:13" x14ac:dyDescent="0.3">
      <c r="A86" t="s">
        <v>1104</v>
      </c>
      <c r="B86" t="s">
        <v>996</v>
      </c>
      <c r="C86" t="s">
        <v>194</v>
      </c>
      <c r="D86" t="s">
        <v>36</v>
      </c>
      <c r="E86" t="s">
        <v>52</v>
      </c>
      <c r="F86" s="4" t="s">
        <v>1105</v>
      </c>
      <c r="G86" s="5">
        <f t="shared" si="1"/>
        <v>4.9000000000000004</v>
      </c>
      <c r="H86" t="s">
        <v>17</v>
      </c>
      <c r="I86" t="s">
        <v>845</v>
      </c>
      <c r="J86" t="s">
        <v>854</v>
      </c>
      <c r="K86" t="s">
        <v>39</v>
      </c>
      <c r="L86" t="s">
        <v>54</v>
      </c>
      <c r="M86" t="s">
        <v>1012</v>
      </c>
    </row>
    <row r="87" spans="1:13" x14ac:dyDescent="0.3">
      <c r="A87" t="s">
        <v>1106</v>
      </c>
      <c r="B87" t="s">
        <v>75</v>
      </c>
      <c r="C87" t="s">
        <v>217</v>
      </c>
      <c r="D87" t="s">
        <v>71</v>
      </c>
      <c r="E87" t="s">
        <v>116</v>
      </c>
      <c r="F87" s="4" t="s">
        <v>1107</v>
      </c>
      <c r="G87" s="5">
        <f t="shared" si="1"/>
        <v>9.0500000000000007</v>
      </c>
      <c r="H87" t="s">
        <v>27</v>
      </c>
      <c r="I87" t="s">
        <v>28</v>
      </c>
      <c r="J87" t="s">
        <v>21</v>
      </c>
      <c r="K87" t="s">
        <v>846</v>
      </c>
      <c r="L87" t="s">
        <v>45</v>
      </c>
      <c r="M87" t="s">
        <v>1108</v>
      </c>
    </row>
    <row r="88" spans="1:13" x14ac:dyDescent="0.3">
      <c r="A88" t="s">
        <v>1109</v>
      </c>
      <c r="B88" t="s">
        <v>62</v>
      </c>
      <c r="C88" t="s">
        <v>268</v>
      </c>
      <c r="D88" t="s">
        <v>64</v>
      </c>
      <c r="E88" t="s">
        <v>37</v>
      </c>
      <c r="F88" s="4" t="s">
        <v>1110</v>
      </c>
      <c r="G88" s="5">
        <f t="shared" si="1"/>
        <v>19.45</v>
      </c>
      <c r="H88" t="s">
        <v>17</v>
      </c>
      <c r="I88" t="s">
        <v>28</v>
      </c>
      <c r="J88" t="s">
        <v>46</v>
      </c>
      <c r="K88" t="s">
        <v>21</v>
      </c>
      <c r="L88" t="s">
        <v>854</v>
      </c>
      <c r="M88" t="s">
        <v>1111</v>
      </c>
    </row>
    <row r="89" spans="1:13" x14ac:dyDescent="0.3">
      <c r="A89" t="s">
        <v>1112</v>
      </c>
      <c r="B89" t="s">
        <v>852</v>
      </c>
      <c r="C89" t="s">
        <v>271</v>
      </c>
      <c r="D89" t="s">
        <v>36</v>
      </c>
      <c r="E89" t="s">
        <v>52</v>
      </c>
      <c r="F89" s="4" t="s">
        <v>1113</v>
      </c>
      <c r="G89" s="5">
        <f t="shared" si="1"/>
        <v>6.65</v>
      </c>
      <c r="H89" t="s">
        <v>27</v>
      </c>
      <c r="I89" t="s">
        <v>28</v>
      </c>
      <c r="J89" t="s">
        <v>21</v>
      </c>
      <c r="K89" t="s">
        <v>908</v>
      </c>
      <c r="L89" t="s">
        <v>29</v>
      </c>
      <c r="M89" t="s">
        <v>1062</v>
      </c>
    </row>
    <row r="90" spans="1:13" x14ac:dyDescent="0.3">
      <c r="A90" t="s">
        <v>1114</v>
      </c>
      <c r="B90" t="s">
        <v>75</v>
      </c>
      <c r="C90" t="s">
        <v>268</v>
      </c>
      <c r="D90" t="s">
        <v>81</v>
      </c>
      <c r="E90" t="s">
        <v>16</v>
      </c>
      <c r="F90" s="4" t="s">
        <v>1066</v>
      </c>
      <c r="G90" s="5">
        <f t="shared" si="1"/>
        <v>5.25</v>
      </c>
      <c r="H90" t="s">
        <v>27</v>
      </c>
      <c r="I90" t="s">
        <v>28</v>
      </c>
      <c r="J90" t="s">
        <v>31</v>
      </c>
      <c r="K90" t="s">
        <v>54</v>
      </c>
      <c r="L90" t="s">
        <v>39</v>
      </c>
      <c r="M90" t="s">
        <v>1115</v>
      </c>
    </row>
    <row r="91" spans="1:13" x14ac:dyDescent="0.3">
      <c r="A91" t="s">
        <v>1116</v>
      </c>
      <c r="B91" t="s">
        <v>62</v>
      </c>
      <c r="C91" t="s">
        <v>857</v>
      </c>
      <c r="D91" t="s">
        <v>36</v>
      </c>
      <c r="E91" t="s">
        <v>52</v>
      </c>
      <c r="F91" s="4" t="s">
        <v>1117</v>
      </c>
      <c r="G91" s="5">
        <f t="shared" si="1"/>
        <v>3.8</v>
      </c>
      <c r="H91" t="s">
        <v>53</v>
      </c>
      <c r="I91" t="s">
        <v>845</v>
      </c>
      <c r="J91" t="s">
        <v>908</v>
      </c>
      <c r="K91" t="s">
        <v>874</v>
      </c>
      <c r="L91" t="s">
        <v>45</v>
      </c>
      <c r="M91" t="s">
        <v>1118</v>
      </c>
    </row>
    <row r="92" spans="1:13" x14ac:dyDescent="0.3">
      <c r="A92" t="s">
        <v>1119</v>
      </c>
      <c r="B92" t="s">
        <v>62</v>
      </c>
      <c r="C92" t="s">
        <v>277</v>
      </c>
      <c r="D92" t="s">
        <v>81</v>
      </c>
      <c r="E92" t="s">
        <v>37</v>
      </c>
      <c r="F92" s="4" t="s">
        <v>1068</v>
      </c>
      <c r="G92" s="5">
        <f t="shared" si="1"/>
        <v>11.45</v>
      </c>
      <c r="H92" t="s">
        <v>27</v>
      </c>
      <c r="I92" t="s">
        <v>59</v>
      </c>
      <c r="J92" t="s">
        <v>854</v>
      </c>
      <c r="K92" t="s">
        <v>20</v>
      </c>
      <c r="L92" t="s">
        <v>908</v>
      </c>
      <c r="M92" t="s">
        <v>862</v>
      </c>
    </row>
    <row r="93" spans="1:13" x14ac:dyDescent="0.3">
      <c r="A93" t="s">
        <v>1120</v>
      </c>
      <c r="B93" t="s">
        <v>852</v>
      </c>
      <c r="C93" t="s">
        <v>130</v>
      </c>
      <c r="D93" t="s">
        <v>15</v>
      </c>
      <c r="E93" t="s">
        <v>116</v>
      </c>
      <c r="F93" s="4" t="s">
        <v>1121</v>
      </c>
      <c r="G93" s="5">
        <f t="shared" si="1"/>
        <v>10.199999999999999</v>
      </c>
      <c r="H93" t="s">
        <v>27</v>
      </c>
      <c r="I93" t="s">
        <v>28</v>
      </c>
      <c r="J93" t="s">
        <v>854</v>
      </c>
      <c r="K93" t="s">
        <v>39</v>
      </c>
      <c r="L93" t="s">
        <v>46</v>
      </c>
      <c r="M93" t="s">
        <v>1122</v>
      </c>
    </row>
    <row r="94" spans="1:13" x14ac:dyDescent="0.3">
      <c r="A94" t="s">
        <v>1123</v>
      </c>
      <c r="B94" t="s">
        <v>13</v>
      </c>
      <c r="C94" t="s">
        <v>281</v>
      </c>
      <c r="D94" t="s">
        <v>76</v>
      </c>
      <c r="E94" t="s">
        <v>16</v>
      </c>
      <c r="F94" s="4" t="s">
        <v>989</v>
      </c>
      <c r="G94" s="5">
        <f t="shared" si="1"/>
        <v>6.5</v>
      </c>
      <c r="H94" t="s">
        <v>27</v>
      </c>
      <c r="I94" t="s">
        <v>845</v>
      </c>
      <c r="J94" t="s">
        <v>31</v>
      </c>
      <c r="K94" t="s">
        <v>54</v>
      </c>
      <c r="L94" t="s">
        <v>30</v>
      </c>
      <c r="M94" t="s">
        <v>1003</v>
      </c>
    </row>
    <row r="95" spans="1:13" x14ac:dyDescent="0.3">
      <c r="A95" t="s">
        <v>1124</v>
      </c>
      <c r="B95" t="s">
        <v>75</v>
      </c>
      <c r="C95" t="s">
        <v>283</v>
      </c>
      <c r="D95" t="s">
        <v>44</v>
      </c>
      <c r="E95" t="s">
        <v>16</v>
      </c>
      <c r="F95" s="4" t="s">
        <v>1023</v>
      </c>
      <c r="G95" s="5">
        <f t="shared" si="1"/>
        <v>10.35</v>
      </c>
      <c r="H95" t="s">
        <v>27</v>
      </c>
      <c r="I95" t="s">
        <v>845</v>
      </c>
      <c r="J95" t="s">
        <v>45</v>
      </c>
      <c r="K95" t="s">
        <v>878</v>
      </c>
      <c r="L95" t="s">
        <v>31</v>
      </c>
      <c r="M95" t="s">
        <v>1125</v>
      </c>
    </row>
    <row r="96" spans="1:13" x14ac:dyDescent="0.3">
      <c r="A96" t="s">
        <v>1126</v>
      </c>
      <c r="B96" t="s">
        <v>49</v>
      </c>
      <c r="C96" t="s">
        <v>1127</v>
      </c>
      <c r="D96" t="s">
        <v>81</v>
      </c>
      <c r="E96" t="s">
        <v>77</v>
      </c>
      <c r="F96" s="4" t="s">
        <v>1128</v>
      </c>
      <c r="G96" s="5">
        <f t="shared" si="1"/>
        <v>24.35</v>
      </c>
      <c r="H96" t="s">
        <v>17</v>
      </c>
      <c r="I96" t="s">
        <v>28</v>
      </c>
      <c r="J96" t="s">
        <v>846</v>
      </c>
      <c r="K96" t="s">
        <v>874</v>
      </c>
      <c r="L96" t="s">
        <v>878</v>
      </c>
      <c r="M96" t="s">
        <v>1018</v>
      </c>
    </row>
    <row r="97" spans="1:13" x14ac:dyDescent="0.3">
      <c r="A97" t="s">
        <v>1129</v>
      </c>
      <c r="B97" t="s">
        <v>75</v>
      </c>
      <c r="C97" t="s">
        <v>288</v>
      </c>
      <c r="D97" t="s">
        <v>36</v>
      </c>
      <c r="E97" t="s">
        <v>116</v>
      </c>
      <c r="F97" s="4" t="s">
        <v>1130</v>
      </c>
      <c r="G97" s="5">
        <f t="shared" si="1"/>
        <v>13.55</v>
      </c>
      <c r="H97" t="s">
        <v>27</v>
      </c>
      <c r="I97" t="s">
        <v>845</v>
      </c>
      <c r="J97" t="s">
        <v>30</v>
      </c>
      <c r="K97" t="s">
        <v>39</v>
      </c>
      <c r="L97" t="s">
        <v>846</v>
      </c>
      <c r="M97" t="s">
        <v>1131</v>
      </c>
    </row>
    <row r="98" spans="1:13" x14ac:dyDescent="0.3">
      <c r="A98" t="s">
        <v>1132</v>
      </c>
      <c r="B98" t="s">
        <v>864</v>
      </c>
      <c r="C98" t="s">
        <v>214</v>
      </c>
      <c r="D98" t="s">
        <v>44</v>
      </c>
      <c r="E98" t="s">
        <v>16</v>
      </c>
      <c r="F98" s="4" t="s">
        <v>1133</v>
      </c>
      <c r="G98" s="5">
        <f t="shared" si="1"/>
        <v>8.85</v>
      </c>
      <c r="H98" t="s">
        <v>17</v>
      </c>
      <c r="I98" t="s">
        <v>28</v>
      </c>
      <c r="J98" t="s">
        <v>937</v>
      </c>
      <c r="K98" t="s">
        <v>30</v>
      </c>
      <c r="L98" t="s">
        <v>21</v>
      </c>
      <c r="M98" t="s">
        <v>1134</v>
      </c>
    </row>
    <row r="99" spans="1:13" x14ac:dyDescent="0.3">
      <c r="A99" t="s">
        <v>1135</v>
      </c>
      <c r="B99" t="s">
        <v>852</v>
      </c>
      <c r="C99" t="s">
        <v>130</v>
      </c>
      <c r="D99" t="s">
        <v>96</v>
      </c>
      <c r="E99" t="s">
        <v>77</v>
      </c>
      <c r="F99" s="4" t="s">
        <v>1136</v>
      </c>
      <c r="G99" s="5">
        <f t="shared" si="1"/>
        <v>29.95</v>
      </c>
      <c r="H99" t="s">
        <v>27</v>
      </c>
      <c r="I99" t="s">
        <v>845</v>
      </c>
      <c r="J99" t="s">
        <v>29</v>
      </c>
      <c r="K99" t="s">
        <v>46</v>
      </c>
      <c r="L99" t="s">
        <v>908</v>
      </c>
      <c r="M99" t="s">
        <v>1137</v>
      </c>
    </row>
    <row r="100" spans="1:13" x14ac:dyDescent="0.3">
      <c r="A100" t="s">
        <v>1138</v>
      </c>
      <c r="B100" t="s">
        <v>960</v>
      </c>
      <c r="C100" t="s">
        <v>295</v>
      </c>
      <c r="D100" t="s">
        <v>15</v>
      </c>
      <c r="E100" t="s">
        <v>77</v>
      </c>
      <c r="F100" s="4" t="s">
        <v>1139</v>
      </c>
      <c r="G100" s="5">
        <f t="shared" si="1"/>
        <v>20.350000000000001</v>
      </c>
      <c r="H100" t="s">
        <v>27</v>
      </c>
      <c r="I100" t="s">
        <v>28</v>
      </c>
      <c r="J100" t="s">
        <v>846</v>
      </c>
      <c r="K100" t="s">
        <v>46</v>
      </c>
      <c r="L100" t="s">
        <v>45</v>
      </c>
      <c r="M100" t="s">
        <v>1108</v>
      </c>
    </row>
    <row r="101" spans="1:13" x14ac:dyDescent="0.3">
      <c r="A101" t="s">
        <v>1140</v>
      </c>
      <c r="B101" t="s">
        <v>864</v>
      </c>
      <c r="C101" t="s">
        <v>237</v>
      </c>
      <c r="D101" t="s">
        <v>71</v>
      </c>
      <c r="E101" t="s">
        <v>37</v>
      </c>
      <c r="F101" s="4" t="s">
        <v>1141</v>
      </c>
      <c r="G101" s="5">
        <f t="shared" si="1"/>
        <v>19.05</v>
      </c>
      <c r="H101" t="s">
        <v>27</v>
      </c>
      <c r="I101" t="s">
        <v>845</v>
      </c>
      <c r="J101" t="s">
        <v>878</v>
      </c>
      <c r="K101" t="s">
        <v>29</v>
      </c>
      <c r="L101" t="s">
        <v>21</v>
      </c>
      <c r="M101" t="s">
        <v>1142</v>
      </c>
    </row>
    <row r="102" spans="1:13" x14ac:dyDescent="0.3">
      <c r="A102" t="s">
        <v>1143</v>
      </c>
      <c r="B102" t="s">
        <v>960</v>
      </c>
      <c r="C102" t="s">
        <v>194</v>
      </c>
      <c r="D102" t="s">
        <v>64</v>
      </c>
      <c r="E102" t="s">
        <v>37</v>
      </c>
      <c r="F102" s="4" t="s">
        <v>1144</v>
      </c>
      <c r="G102" s="5">
        <f t="shared" si="1"/>
        <v>20.75</v>
      </c>
      <c r="H102" t="s">
        <v>27</v>
      </c>
      <c r="I102" t="s">
        <v>28</v>
      </c>
      <c r="J102" t="s">
        <v>45</v>
      </c>
      <c r="K102" t="s">
        <v>874</v>
      </c>
      <c r="L102" t="s">
        <v>39</v>
      </c>
      <c r="M102" t="s">
        <v>1145</v>
      </c>
    </row>
    <row r="103" spans="1:13" x14ac:dyDescent="0.3">
      <c r="A103" t="s">
        <v>1146</v>
      </c>
      <c r="B103" t="s">
        <v>13</v>
      </c>
      <c r="C103" t="s">
        <v>80</v>
      </c>
      <c r="D103" t="s">
        <v>15</v>
      </c>
      <c r="E103" t="s">
        <v>52</v>
      </c>
      <c r="F103" s="4" t="s">
        <v>869</v>
      </c>
      <c r="G103" s="5">
        <f t="shared" si="1"/>
        <v>7.2</v>
      </c>
      <c r="H103" t="s">
        <v>27</v>
      </c>
      <c r="I103" t="s">
        <v>28</v>
      </c>
      <c r="J103" t="s">
        <v>21</v>
      </c>
      <c r="K103" t="s">
        <v>878</v>
      </c>
      <c r="L103" t="s">
        <v>46</v>
      </c>
      <c r="M103" t="s">
        <v>1147</v>
      </c>
    </row>
    <row r="104" spans="1:13" x14ac:dyDescent="0.3">
      <c r="A104" t="s">
        <v>1148</v>
      </c>
      <c r="B104" t="s">
        <v>49</v>
      </c>
      <c r="C104" t="s">
        <v>130</v>
      </c>
      <c r="D104" t="s">
        <v>96</v>
      </c>
      <c r="E104" t="s">
        <v>116</v>
      </c>
      <c r="F104" s="4" t="s">
        <v>1149</v>
      </c>
      <c r="G104" s="5">
        <f t="shared" si="1"/>
        <v>12</v>
      </c>
      <c r="H104" t="s">
        <v>27</v>
      </c>
      <c r="I104" t="s">
        <v>845</v>
      </c>
      <c r="J104" t="s">
        <v>45</v>
      </c>
      <c r="K104" t="s">
        <v>54</v>
      </c>
      <c r="L104" t="s">
        <v>29</v>
      </c>
      <c r="M104" t="s">
        <v>1150</v>
      </c>
    </row>
    <row r="105" spans="1:13" x14ac:dyDescent="0.3">
      <c r="A105" t="s">
        <v>1151</v>
      </c>
      <c r="B105" t="s">
        <v>864</v>
      </c>
      <c r="C105" t="s">
        <v>305</v>
      </c>
      <c r="D105" t="s">
        <v>15</v>
      </c>
      <c r="E105" t="s">
        <v>52</v>
      </c>
      <c r="F105" s="4" t="s">
        <v>1039</v>
      </c>
      <c r="G105" s="5">
        <f t="shared" si="1"/>
        <v>3.1</v>
      </c>
      <c r="H105" t="s">
        <v>53</v>
      </c>
      <c r="I105" t="s">
        <v>845</v>
      </c>
      <c r="J105" t="s">
        <v>45</v>
      </c>
      <c r="K105" t="s">
        <v>31</v>
      </c>
      <c r="L105" t="s">
        <v>54</v>
      </c>
      <c r="M105" t="s">
        <v>1152</v>
      </c>
    </row>
    <row r="106" spans="1:13" x14ac:dyDescent="0.3">
      <c r="A106" t="s">
        <v>1153</v>
      </c>
      <c r="B106" t="s">
        <v>960</v>
      </c>
      <c r="C106" t="s">
        <v>205</v>
      </c>
      <c r="D106" t="s">
        <v>71</v>
      </c>
      <c r="E106" t="s">
        <v>16</v>
      </c>
      <c r="F106" s="4" t="s">
        <v>1154</v>
      </c>
      <c r="G106" s="5">
        <f t="shared" si="1"/>
        <v>9.6</v>
      </c>
      <c r="H106" t="s">
        <v>27</v>
      </c>
      <c r="I106" t="s">
        <v>845</v>
      </c>
      <c r="J106" t="s">
        <v>46</v>
      </c>
      <c r="K106" t="s">
        <v>846</v>
      </c>
      <c r="L106" t="s">
        <v>45</v>
      </c>
      <c r="M106" t="s">
        <v>1155</v>
      </c>
    </row>
    <row r="107" spans="1:13" x14ac:dyDescent="0.3">
      <c r="A107" t="s">
        <v>1156</v>
      </c>
      <c r="B107" t="s">
        <v>75</v>
      </c>
      <c r="C107" t="s">
        <v>106</v>
      </c>
      <c r="D107" t="s">
        <v>51</v>
      </c>
      <c r="E107" t="s">
        <v>52</v>
      </c>
      <c r="F107" s="4" t="s">
        <v>1157</v>
      </c>
      <c r="G107" s="5">
        <f t="shared" si="1"/>
        <v>5.8</v>
      </c>
      <c r="H107" t="s">
        <v>27</v>
      </c>
      <c r="I107" t="s">
        <v>845</v>
      </c>
      <c r="J107" t="s">
        <v>878</v>
      </c>
      <c r="K107" t="s">
        <v>39</v>
      </c>
      <c r="L107" t="s">
        <v>846</v>
      </c>
      <c r="M107" t="s">
        <v>1158</v>
      </c>
    </row>
    <row r="108" spans="1:13" x14ac:dyDescent="0.3">
      <c r="A108" t="s">
        <v>1159</v>
      </c>
      <c r="B108" t="s">
        <v>49</v>
      </c>
      <c r="C108" t="s">
        <v>188</v>
      </c>
      <c r="D108" t="s">
        <v>44</v>
      </c>
      <c r="E108" t="s">
        <v>77</v>
      </c>
      <c r="F108" s="4" t="s">
        <v>1160</v>
      </c>
      <c r="G108" s="5">
        <f t="shared" si="1"/>
        <v>40.450000000000003</v>
      </c>
      <c r="H108" t="s">
        <v>27</v>
      </c>
      <c r="I108" t="s">
        <v>28</v>
      </c>
      <c r="J108" t="s">
        <v>31</v>
      </c>
      <c r="K108" t="s">
        <v>45</v>
      </c>
      <c r="L108" t="s">
        <v>878</v>
      </c>
      <c r="M108" t="s">
        <v>1161</v>
      </c>
    </row>
    <row r="109" spans="1:13" x14ac:dyDescent="0.3">
      <c r="A109" t="s">
        <v>1162</v>
      </c>
      <c r="B109" t="s">
        <v>996</v>
      </c>
      <c r="C109" t="s">
        <v>271</v>
      </c>
      <c r="D109" t="s">
        <v>51</v>
      </c>
      <c r="E109" t="s">
        <v>52</v>
      </c>
      <c r="F109" s="4" t="s">
        <v>1083</v>
      </c>
      <c r="G109" s="5">
        <f t="shared" si="1"/>
        <v>7.9</v>
      </c>
      <c r="H109" t="s">
        <v>27</v>
      </c>
      <c r="I109" t="s">
        <v>28</v>
      </c>
      <c r="J109" t="s">
        <v>46</v>
      </c>
      <c r="K109" t="s">
        <v>874</v>
      </c>
      <c r="L109" t="s">
        <v>39</v>
      </c>
      <c r="M109" t="s">
        <v>1163</v>
      </c>
    </row>
    <row r="110" spans="1:13" x14ac:dyDescent="0.3">
      <c r="A110" t="s">
        <v>1164</v>
      </c>
      <c r="B110" t="s">
        <v>62</v>
      </c>
      <c r="C110" t="s">
        <v>220</v>
      </c>
      <c r="D110" t="s">
        <v>64</v>
      </c>
      <c r="E110" t="s">
        <v>52</v>
      </c>
      <c r="F110" s="4" t="s">
        <v>1165</v>
      </c>
      <c r="G110" s="5">
        <f t="shared" si="1"/>
        <v>4.5</v>
      </c>
      <c r="H110" t="s">
        <v>53</v>
      </c>
      <c r="I110" t="s">
        <v>845</v>
      </c>
      <c r="J110" t="s">
        <v>874</v>
      </c>
      <c r="K110" t="s">
        <v>878</v>
      </c>
      <c r="L110" t="s">
        <v>46</v>
      </c>
      <c r="M110" t="s">
        <v>1166</v>
      </c>
    </row>
    <row r="111" spans="1:13" x14ac:dyDescent="0.3">
      <c r="A111" t="s">
        <v>1167</v>
      </c>
      <c r="B111" t="s">
        <v>49</v>
      </c>
      <c r="C111" t="s">
        <v>281</v>
      </c>
      <c r="D111" t="s">
        <v>26</v>
      </c>
      <c r="E111" t="s">
        <v>77</v>
      </c>
      <c r="F111" s="4" t="s">
        <v>1168</v>
      </c>
      <c r="G111" s="5">
        <f t="shared" si="1"/>
        <v>27.2</v>
      </c>
      <c r="H111" t="s">
        <v>27</v>
      </c>
      <c r="I111" t="s">
        <v>28</v>
      </c>
      <c r="J111" t="s">
        <v>31</v>
      </c>
      <c r="K111" t="s">
        <v>45</v>
      </c>
      <c r="L111" t="s">
        <v>54</v>
      </c>
      <c r="M111" t="s">
        <v>1169</v>
      </c>
    </row>
    <row r="112" spans="1:13" x14ac:dyDescent="0.3">
      <c r="A112" t="s">
        <v>1170</v>
      </c>
      <c r="B112" t="s">
        <v>49</v>
      </c>
      <c r="C112" t="s">
        <v>271</v>
      </c>
      <c r="D112" t="s">
        <v>71</v>
      </c>
      <c r="E112" t="s">
        <v>116</v>
      </c>
      <c r="F112" s="4" t="s">
        <v>1171</v>
      </c>
      <c r="G112" s="5">
        <f t="shared" si="1"/>
        <v>12.25</v>
      </c>
      <c r="H112" t="s">
        <v>27</v>
      </c>
      <c r="I112" t="s">
        <v>845</v>
      </c>
      <c r="J112" t="s">
        <v>21</v>
      </c>
      <c r="K112" t="s">
        <v>874</v>
      </c>
      <c r="L112" t="s">
        <v>46</v>
      </c>
      <c r="M112" t="s">
        <v>962</v>
      </c>
    </row>
    <row r="113" spans="1:13" x14ac:dyDescent="0.3">
      <c r="A113" t="s">
        <v>1172</v>
      </c>
      <c r="B113" t="s">
        <v>49</v>
      </c>
      <c r="C113" t="s">
        <v>321</v>
      </c>
      <c r="D113" t="s">
        <v>71</v>
      </c>
      <c r="E113" t="s">
        <v>116</v>
      </c>
      <c r="F113" s="4" t="s">
        <v>1173</v>
      </c>
      <c r="G113" s="5">
        <f t="shared" si="1"/>
        <v>10.1</v>
      </c>
      <c r="H113" t="s">
        <v>27</v>
      </c>
      <c r="I113" t="s">
        <v>28</v>
      </c>
      <c r="J113" t="s">
        <v>20</v>
      </c>
      <c r="K113" t="s">
        <v>21</v>
      </c>
      <c r="L113" t="s">
        <v>846</v>
      </c>
      <c r="M113" t="s">
        <v>1174</v>
      </c>
    </row>
    <row r="114" spans="1:13" x14ac:dyDescent="0.3">
      <c r="A114" t="s">
        <v>1175</v>
      </c>
      <c r="B114" t="s">
        <v>42</v>
      </c>
      <c r="C114" t="s">
        <v>35</v>
      </c>
      <c r="D114" t="s">
        <v>81</v>
      </c>
      <c r="E114" t="s">
        <v>52</v>
      </c>
      <c r="F114" s="4" t="s">
        <v>861</v>
      </c>
      <c r="G114" s="5">
        <f t="shared" si="1"/>
        <v>2.1</v>
      </c>
      <c r="H114" t="s">
        <v>53</v>
      </c>
      <c r="I114" t="s">
        <v>28</v>
      </c>
      <c r="J114" t="s">
        <v>878</v>
      </c>
      <c r="K114" t="s">
        <v>21</v>
      </c>
      <c r="L114" t="s">
        <v>20</v>
      </c>
      <c r="M114" t="s">
        <v>1018</v>
      </c>
    </row>
    <row r="115" spans="1:13" x14ac:dyDescent="0.3">
      <c r="A115" t="s">
        <v>1176</v>
      </c>
      <c r="B115" t="s">
        <v>996</v>
      </c>
      <c r="C115" t="s">
        <v>205</v>
      </c>
      <c r="D115" t="s">
        <v>51</v>
      </c>
      <c r="E115" t="s">
        <v>116</v>
      </c>
      <c r="F115" s="4" t="s">
        <v>1177</v>
      </c>
      <c r="G115" s="5">
        <f t="shared" si="1"/>
        <v>13.15</v>
      </c>
      <c r="H115" t="s">
        <v>27</v>
      </c>
      <c r="I115" t="s">
        <v>59</v>
      </c>
      <c r="J115" t="s">
        <v>20</v>
      </c>
      <c r="K115" t="s">
        <v>30</v>
      </c>
      <c r="L115" t="s">
        <v>29</v>
      </c>
      <c r="M115" t="s">
        <v>1115</v>
      </c>
    </row>
    <row r="116" spans="1:13" x14ac:dyDescent="0.3">
      <c r="A116" t="s">
        <v>1178</v>
      </c>
      <c r="B116" t="s">
        <v>13</v>
      </c>
      <c r="C116" t="s">
        <v>919</v>
      </c>
      <c r="D116" t="s">
        <v>51</v>
      </c>
      <c r="E116" t="s">
        <v>52</v>
      </c>
      <c r="F116" s="4" t="s">
        <v>1179</v>
      </c>
      <c r="G116" s="5">
        <f t="shared" si="1"/>
        <v>5.65</v>
      </c>
      <c r="H116" t="s">
        <v>27</v>
      </c>
      <c r="I116" t="s">
        <v>28</v>
      </c>
      <c r="J116" t="s">
        <v>45</v>
      </c>
      <c r="K116" t="s">
        <v>21</v>
      </c>
      <c r="L116" t="s">
        <v>31</v>
      </c>
      <c r="M116" t="s">
        <v>1046</v>
      </c>
    </row>
    <row r="117" spans="1:13" x14ac:dyDescent="0.3">
      <c r="A117" t="s">
        <v>1180</v>
      </c>
      <c r="B117" t="s">
        <v>62</v>
      </c>
      <c r="C117" t="s">
        <v>919</v>
      </c>
      <c r="D117" t="s">
        <v>15</v>
      </c>
      <c r="E117" t="s">
        <v>52</v>
      </c>
      <c r="F117" s="4" t="s">
        <v>873</v>
      </c>
      <c r="G117" s="5">
        <f t="shared" si="1"/>
        <v>7.55</v>
      </c>
      <c r="H117" t="s">
        <v>27</v>
      </c>
      <c r="I117" t="s">
        <v>28</v>
      </c>
      <c r="J117" t="s">
        <v>45</v>
      </c>
      <c r="K117" t="s">
        <v>846</v>
      </c>
      <c r="L117" t="s">
        <v>54</v>
      </c>
      <c r="M117" t="s">
        <v>1181</v>
      </c>
    </row>
    <row r="118" spans="1:13" x14ac:dyDescent="0.3">
      <c r="A118" t="s">
        <v>1182</v>
      </c>
      <c r="B118" t="s">
        <v>49</v>
      </c>
      <c r="C118" t="s">
        <v>130</v>
      </c>
      <c r="D118" t="s">
        <v>76</v>
      </c>
      <c r="E118" t="s">
        <v>52</v>
      </c>
      <c r="F118" s="4" t="s">
        <v>1183</v>
      </c>
      <c r="G118" s="5">
        <f t="shared" si="1"/>
        <v>7.35</v>
      </c>
      <c r="H118" t="s">
        <v>27</v>
      </c>
      <c r="I118" t="s">
        <v>28</v>
      </c>
      <c r="J118" t="s">
        <v>46</v>
      </c>
      <c r="K118" t="s">
        <v>846</v>
      </c>
      <c r="L118" t="s">
        <v>54</v>
      </c>
      <c r="M118" t="s">
        <v>1184</v>
      </c>
    </row>
    <row r="119" spans="1:13" x14ac:dyDescent="0.3">
      <c r="A119" t="s">
        <v>1185</v>
      </c>
      <c r="B119" t="s">
        <v>42</v>
      </c>
      <c r="C119" t="s">
        <v>139</v>
      </c>
      <c r="D119" t="s">
        <v>36</v>
      </c>
      <c r="E119" t="s">
        <v>77</v>
      </c>
      <c r="F119" s="4" t="s">
        <v>1186</v>
      </c>
      <c r="G119" s="5">
        <f t="shared" si="1"/>
        <v>24.2</v>
      </c>
      <c r="H119" t="s">
        <v>27</v>
      </c>
      <c r="I119" t="s">
        <v>28</v>
      </c>
      <c r="J119" t="s">
        <v>20</v>
      </c>
      <c r="K119" t="s">
        <v>21</v>
      </c>
      <c r="L119" t="s">
        <v>39</v>
      </c>
      <c r="M119" t="s">
        <v>1034</v>
      </c>
    </row>
    <row r="120" spans="1:13" x14ac:dyDescent="0.3">
      <c r="A120" t="s">
        <v>1187</v>
      </c>
      <c r="B120" t="s">
        <v>13</v>
      </c>
      <c r="C120" t="s">
        <v>109</v>
      </c>
      <c r="D120" t="s">
        <v>64</v>
      </c>
      <c r="E120" t="s">
        <v>52</v>
      </c>
      <c r="F120" s="4" t="s">
        <v>1188</v>
      </c>
      <c r="G120" s="5">
        <f t="shared" si="1"/>
        <v>4.45</v>
      </c>
      <c r="H120" t="s">
        <v>27</v>
      </c>
      <c r="I120" t="s">
        <v>28</v>
      </c>
      <c r="J120" t="s">
        <v>45</v>
      </c>
      <c r="K120" t="s">
        <v>21</v>
      </c>
      <c r="L120" t="s">
        <v>54</v>
      </c>
      <c r="M120" t="s">
        <v>1189</v>
      </c>
    </row>
    <row r="121" spans="1:13" x14ac:dyDescent="0.3">
      <c r="A121" t="s">
        <v>1190</v>
      </c>
      <c r="B121" t="s">
        <v>996</v>
      </c>
      <c r="C121" t="s">
        <v>334</v>
      </c>
      <c r="D121" t="s">
        <v>51</v>
      </c>
      <c r="E121" t="s">
        <v>77</v>
      </c>
      <c r="F121" s="4" t="s">
        <v>1191</v>
      </c>
      <c r="G121" s="5">
        <f t="shared" si="1"/>
        <v>42.5</v>
      </c>
      <c r="H121" t="s">
        <v>27</v>
      </c>
      <c r="I121" t="s">
        <v>59</v>
      </c>
      <c r="J121" t="s">
        <v>39</v>
      </c>
      <c r="K121" t="s">
        <v>20</v>
      </c>
      <c r="L121" t="s">
        <v>46</v>
      </c>
      <c r="M121" t="s">
        <v>1018</v>
      </c>
    </row>
    <row r="122" spans="1:13" x14ac:dyDescent="0.3">
      <c r="A122" t="s">
        <v>1192</v>
      </c>
      <c r="B122" t="s">
        <v>42</v>
      </c>
      <c r="C122" t="s">
        <v>163</v>
      </c>
      <c r="D122" t="s">
        <v>71</v>
      </c>
      <c r="E122" t="s">
        <v>52</v>
      </c>
      <c r="F122" s="4" t="s">
        <v>1157</v>
      </c>
      <c r="G122" s="5">
        <f t="shared" si="1"/>
        <v>5.8</v>
      </c>
      <c r="H122" t="s">
        <v>27</v>
      </c>
      <c r="I122" t="s">
        <v>28</v>
      </c>
      <c r="J122" t="s">
        <v>46</v>
      </c>
      <c r="K122" t="s">
        <v>29</v>
      </c>
      <c r="L122" t="s">
        <v>30</v>
      </c>
      <c r="M122" t="s">
        <v>1193</v>
      </c>
    </row>
    <row r="123" spans="1:13" x14ac:dyDescent="0.3">
      <c r="A123" t="s">
        <v>1194</v>
      </c>
      <c r="B123" t="s">
        <v>75</v>
      </c>
      <c r="C123" t="s">
        <v>1195</v>
      </c>
      <c r="D123" t="s">
        <v>26</v>
      </c>
      <c r="E123" t="s">
        <v>37</v>
      </c>
      <c r="F123" s="4" t="s">
        <v>1196</v>
      </c>
      <c r="G123" s="5">
        <f t="shared" si="1"/>
        <v>14.2</v>
      </c>
      <c r="H123" t="s">
        <v>27</v>
      </c>
      <c r="I123" t="s">
        <v>845</v>
      </c>
      <c r="J123" t="s">
        <v>45</v>
      </c>
      <c r="K123" t="s">
        <v>878</v>
      </c>
      <c r="L123" t="s">
        <v>30</v>
      </c>
      <c r="M123" t="s">
        <v>1189</v>
      </c>
    </row>
    <row r="124" spans="1:13" x14ac:dyDescent="0.3">
      <c r="A124" t="s">
        <v>1197</v>
      </c>
      <c r="B124" t="s">
        <v>75</v>
      </c>
      <c r="C124" t="s">
        <v>172</v>
      </c>
      <c r="D124" t="s">
        <v>26</v>
      </c>
      <c r="E124" t="s">
        <v>52</v>
      </c>
      <c r="F124" s="4" t="s">
        <v>980</v>
      </c>
      <c r="G124" s="5">
        <f t="shared" si="1"/>
        <v>4.3</v>
      </c>
      <c r="H124" t="s">
        <v>27</v>
      </c>
      <c r="I124" t="s">
        <v>845</v>
      </c>
      <c r="J124" t="s">
        <v>937</v>
      </c>
      <c r="K124" t="s">
        <v>31</v>
      </c>
      <c r="L124" t="s">
        <v>45</v>
      </c>
      <c r="M124" t="s">
        <v>1198</v>
      </c>
    </row>
    <row r="125" spans="1:13" x14ac:dyDescent="0.3">
      <c r="A125" t="s">
        <v>1199</v>
      </c>
      <c r="B125" t="s">
        <v>49</v>
      </c>
      <c r="C125" t="s">
        <v>857</v>
      </c>
      <c r="D125" t="s">
        <v>64</v>
      </c>
      <c r="E125" t="s">
        <v>52</v>
      </c>
      <c r="F125" s="4" t="s">
        <v>1083</v>
      </c>
      <c r="G125" s="5">
        <f t="shared" si="1"/>
        <v>7.9</v>
      </c>
      <c r="H125" t="s">
        <v>27</v>
      </c>
      <c r="I125" t="s">
        <v>28</v>
      </c>
      <c r="J125" t="s">
        <v>908</v>
      </c>
      <c r="K125" t="s">
        <v>874</v>
      </c>
      <c r="L125" t="s">
        <v>29</v>
      </c>
      <c r="M125" t="s">
        <v>1200</v>
      </c>
    </row>
    <row r="126" spans="1:13" x14ac:dyDescent="0.3">
      <c r="A126" t="s">
        <v>1201</v>
      </c>
      <c r="B126" t="s">
        <v>42</v>
      </c>
      <c r="C126" t="s">
        <v>112</v>
      </c>
      <c r="D126" t="s">
        <v>71</v>
      </c>
      <c r="E126" t="s">
        <v>116</v>
      </c>
      <c r="F126" s="4" t="s">
        <v>1202</v>
      </c>
      <c r="G126" s="5">
        <f t="shared" si="1"/>
        <v>15.55</v>
      </c>
      <c r="H126" t="s">
        <v>17</v>
      </c>
      <c r="I126" t="s">
        <v>845</v>
      </c>
      <c r="J126" t="s">
        <v>45</v>
      </c>
      <c r="K126" t="s">
        <v>937</v>
      </c>
      <c r="L126" t="s">
        <v>29</v>
      </c>
      <c r="M126" t="s">
        <v>1093</v>
      </c>
    </row>
    <row r="127" spans="1:13" x14ac:dyDescent="0.3">
      <c r="A127" t="s">
        <v>1203</v>
      </c>
      <c r="B127" t="s">
        <v>62</v>
      </c>
      <c r="C127" t="s">
        <v>1195</v>
      </c>
      <c r="D127" t="s">
        <v>26</v>
      </c>
      <c r="E127" t="s">
        <v>16</v>
      </c>
      <c r="F127" s="4" t="s">
        <v>1204</v>
      </c>
      <c r="G127" s="5">
        <f t="shared" si="1"/>
        <v>8.8000000000000007</v>
      </c>
      <c r="H127" t="s">
        <v>27</v>
      </c>
      <c r="I127" t="s">
        <v>28</v>
      </c>
      <c r="J127" t="s">
        <v>20</v>
      </c>
      <c r="K127" t="s">
        <v>846</v>
      </c>
      <c r="L127" t="s">
        <v>854</v>
      </c>
      <c r="M127" t="s">
        <v>909</v>
      </c>
    </row>
    <row r="128" spans="1:13" x14ac:dyDescent="0.3">
      <c r="A128" t="s">
        <v>1205</v>
      </c>
      <c r="B128" t="s">
        <v>852</v>
      </c>
      <c r="C128" t="s">
        <v>179</v>
      </c>
      <c r="D128" t="s">
        <v>26</v>
      </c>
      <c r="E128" t="s">
        <v>77</v>
      </c>
      <c r="F128" s="4" t="s">
        <v>1206</v>
      </c>
      <c r="G128" s="5">
        <f t="shared" si="1"/>
        <v>36.4</v>
      </c>
      <c r="H128" t="s">
        <v>27</v>
      </c>
      <c r="I128" t="s">
        <v>845</v>
      </c>
      <c r="J128" t="s">
        <v>908</v>
      </c>
      <c r="K128" t="s">
        <v>39</v>
      </c>
      <c r="L128" t="s">
        <v>46</v>
      </c>
      <c r="M128" t="s">
        <v>1207</v>
      </c>
    </row>
    <row r="129" spans="1:13" x14ac:dyDescent="0.3">
      <c r="A129" t="s">
        <v>1208</v>
      </c>
      <c r="B129" t="s">
        <v>75</v>
      </c>
      <c r="C129" t="s">
        <v>112</v>
      </c>
      <c r="D129" t="s">
        <v>64</v>
      </c>
      <c r="E129" t="s">
        <v>52</v>
      </c>
      <c r="F129" s="4" t="s">
        <v>1209</v>
      </c>
      <c r="G129" s="5">
        <f t="shared" si="1"/>
        <v>4.6500000000000004</v>
      </c>
      <c r="H129" t="s">
        <v>53</v>
      </c>
      <c r="I129" t="s">
        <v>28</v>
      </c>
      <c r="J129" t="s">
        <v>54</v>
      </c>
      <c r="K129" t="s">
        <v>21</v>
      </c>
      <c r="L129" t="s">
        <v>29</v>
      </c>
      <c r="M129" t="s">
        <v>850</v>
      </c>
    </row>
    <row r="130" spans="1:13" x14ac:dyDescent="0.3">
      <c r="A130" t="s">
        <v>1210</v>
      </c>
      <c r="B130" t="s">
        <v>960</v>
      </c>
      <c r="C130" t="s">
        <v>865</v>
      </c>
      <c r="D130" t="s">
        <v>51</v>
      </c>
      <c r="E130" t="s">
        <v>116</v>
      </c>
      <c r="F130" s="4" t="s">
        <v>1211</v>
      </c>
      <c r="G130" s="5">
        <f t="shared" ref="G130:G193" si="2">F130/100000</f>
        <v>13.8</v>
      </c>
      <c r="H130" t="s">
        <v>27</v>
      </c>
      <c r="I130" t="s">
        <v>28</v>
      </c>
      <c r="J130" t="s">
        <v>846</v>
      </c>
      <c r="K130" t="s">
        <v>39</v>
      </c>
      <c r="L130" t="s">
        <v>878</v>
      </c>
      <c r="M130" t="s">
        <v>1158</v>
      </c>
    </row>
    <row r="131" spans="1:13" x14ac:dyDescent="0.3">
      <c r="A131" t="s">
        <v>1212</v>
      </c>
      <c r="B131" t="s">
        <v>13</v>
      </c>
      <c r="C131" t="s">
        <v>906</v>
      </c>
      <c r="D131" t="s">
        <v>15</v>
      </c>
      <c r="E131" t="s">
        <v>116</v>
      </c>
      <c r="F131" s="4" t="s">
        <v>1213</v>
      </c>
      <c r="G131" s="5">
        <f t="shared" si="2"/>
        <v>11.1</v>
      </c>
      <c r="H131" t="s">
        <v>17</v>
      </c>
      <c r="I131" t="s">
        <v>845</v>
      </c>
      <c r="J131" t="s">
        <v>30</v>
      </c>
      <c r="K131" t="s">
        <v>45</v>
      </c>
      <c r="L131" t="s">
        <v>21</v>
      </c>
      <c r="M131" t="s">
        <v>855</v>
      </c>
    </row>
    <row r="132" spans="1:13" x14ac:dyDescent="0.3">
      <c r="A132" t="s">
        <v>1214</v>
      </c>
      <c r="B132" t="s">
        <v>960</v>
      </c>
      <c r="C132" t="s">
        <v>872</v>
      </c>
      <c r="D132" t="s">
        <v>81</v>
      </c>
      <c r="E132" t="s">
        <v>116</v>
      </c>
      <c r="F132" s="4" t="s">
        <v>1215</v>
      </c>
      <c r="G132" s="5">
        <f t="shared" si="2"/>
        <v>12.7</v>
      </c>
      <c r="H132" t="s">
        <v>27</v>
      </c>
      <c r="I132" t="s">
        <v>28</v>
      </c>
      <c r="J132" t="s">
        <v>854</v>
      </c>
      <c r="K132" t="s">
        <v>937</v>
      </c>
      <c r="L132" t="s">
        <v>878</v>
      </c>
      <c r="M132" t="s">
        <v>1216</v>
      </c>
    </row>
    <row r="133" spans="1:13" x14ac:dyDescent="0.3">
      <c r="A133" t="s">
        <v>1217</v>
      </c>
      <c r="B133" t="s">
        <v>852</v>
      </c>
      <c r="C133" t="s">
        <v>295</v>
      </c>
      <c r="D133" t="s">
        <v>15</v>
      </c>
      <c r="E133" t="s">
        <v>37</v>
      </c>
      <c r="F133" s="4" t="s">
        <v>1218</v>
      </c>
      <c r="G133" s="5">
        <f t="shared" si="2"/>
        <v>19.95</v>
      </c>
      <c r="H133" t="s">
        <v>17</v>
      </c>
      <c r="I133" t="s">
        <v>845</v>
      </c>
      <c r="J133" t="s">
        <v>20</v>
      </c>
      <c r="K133" t="s">
        <v>30</v>
      </c>
      <c r="L133" t="s">
        <v>39</v>
      </c>
      <c r="M133" t="s">
        <v>1219</v>
      </c>
    </row>
    <row r="134" spans="1:13" x14ac:dyDescent="0.3">
      <c r="A134" t="s">
        <v>1220</v>
      </c>
      <c r="B134" t="s">
        <v>864</v>
      </c>
      <c r="C134" t="s">
        <v>283</v>
      </c>
      <c r="D134" t="s">
        <v>76</v>
      </c>
      <c r="E134" t="s">
        <v>52</v>
      </c>
      <c r="F134" s="4" t="s">
        <v>1221</v>
      </c>
      <c r="G134" s="5">
        <f t="shared" si="2"/>
        <v>2.5499999999999998</v>
      </c>
      <c r="H134" t="s">
        <v>53</v>
      </c>
      <c r="I134" t="s">
        <v>845</v>
      </c>
      <c r="J134" t="s">
        <v>54</v>
      </c>
      <c r="K134" t="s">
        <v>21</v>
      </c>
      <c r="L134" t="s">
        <v>846</v>
      </c>
      <c r="M134" t="s">
        <v>1222</v>
      </c>
    </row>
    <row r="135" spans="1:13" x14ac:dyDescent="0.3">
      <c r="A135" t="s">
        <v>1223</v>
      </c>
      <c r="B135" t="s">
        <v>49</v>
      </c>
      <c r="C135" t="s">
        <v>357</v>
      </c>
      <c r="D135" t="s">
        <v>96</v>
      </c>
      <c r="E135" t="s">
        <v>16</v>
      </c>
      <c r="F135" s="4" t="s">
        <v>1173</v>
      </c>
      <c r="G135" s="5">
        <f t="shared" si="2"/>
        <v>10.1</v>
      </c>
      <c r="H135" t="s">
        <v>27</v>
      </c>
      <c r="I135" t="s">
        <v>845</v>
      </c>
      <c r="J135" t="s">
        <v>21</v>
      </c>
      <c r="K135" t="s">
        <v>54</v>
      </c>
      <c r="L135" t="s">
        <v>846</v>
      </c>
      <c r="M135" t="s">
        <v>1158</v>
      </c>
    </row>
    <row r="136" spans="1:13" x14ac:dyDescent="0.3">
      <c r="A136" t="s">
        <v>1224</v>
      </c>
      <c r="B136" t="s">
        <v>42</v>
      </c>
      <c r="C136" t="s">
        <v>865</v>
      </c>
      <c r="D136" t="s">
        <v>81</v>
      </c>
      <c r="E136" t="s">
        <v>37</v>
      </c>
      <c r="F136" s="4" t="s">
        <v>1225</v>
      </c>
      <c r="G136" s="5">
        <f t="shared" si="2"/>
        <v>20.85</v>
      </c>
      <c r="H136" t="s">
        <v>27</v>
      </c>
      <c r="I136" t="s">
        <v>59</v>
      </c>
      <c r="J136" t="s">
        <v>30</v>
      </c>
      <c r="K136" t="s">
        <v>20</v>
      </c>
      <c r="L136" t="s">
        <v>45</v>
      </c>
      <c r="M136" t="s">
        <v>1226</v>
      </c>
    </row>
    <row r="137" spans="1:13" x14ac:dyDescent="0.3">
      <c r="A137" t="s">
        <v>1227</v>
      </c>
      <c r="B137" t="s">
        <v>49</v>
      </c>
      <c r="C137" t="s">
        <v>357</v>
      </c>
      <c r="D137" t="s">
        <v>64</v>
      </c>
      <c r="E137" t="s">
        <v>37</v>
      </c>
      <c r="F137" s="4" t="s">
        <v>1228</v>
      </c>
      <c r="G137" s="5">
        <f t="shared" si="2"/>
        <v>17.95</v>
      </c>
      <c r="H137" t="s">
        <v>27</v>
      </c>
      <c r="I137" t="s">
        <v>28</v>
      </c>
      <c r="J137" t="s">
        <v>846</v>
      </c>
      <c r="K137" t="s">
        <v>854</v>
      </c>
      <c r="L137" t="s">
        <v>878</v>
      </c>
      <c r="M137" t="s">
        <v>981</v>
      </c>
    </row>
    <row r="138" spans="1:13" x14ac:dyDescent="0.3">
      <c r="A138" t="s">
        <v>1229</v>
      </c>
      <c r="B138" t="s">
        <v>852</v>
      </c>
      <c r="C138" t="s">
        <v>106</v>
      </c>
      <c r="D138" t="s">
        <v>15</v>
      </c>
      <c r="E138" t="s">
        <v>16</v>
      </c>
      <c r="F138" s="4" t="s">
        <v>1230</v>
      </c>
      <c r="G138" s="5">
        <f t="shared" si="2"/>
        <v>8.1999999999999993</v>
      </c>
      <c r="H138" t="s">
        <v>27</v>
      </c>
      <c r="I138" t="s">
        <v>28</v>
      </c>
      <c r="J138" t="s">
        <v>20</v>
      </c>
      <c r="K138" t="s">
        <v>39</v>
      </c>
      <c r="L138" t="s">
        <v>854</v>
      </c>
      <c r="M138" t="s">
        <v>1231</v>
      </c>
    </row>
    <row r="139" spans="1:13" x14ac:dyDescent="0.3">
      <c r="A139" t="s">
        <v>1232</v>
      </c>
      <c r="B139" t="s">
        <v>42</v>
      </c>
      <c r="C139" t="s">
        <v>295</v>
      </c>
      <c r="D139" t="s">
        <v>64</v>
      </c>
      <c r="E139" t="s">
        <v>52</v>
      </c>
      <c r="F139" s="4" t="s">
        <v>1233</v>
      </c>
      <c r="G139" s="5">
        <f t="shared" si="2"/>
        <v>2.0499999999999998</v>
      </c>
      <c r="H139" t="s">
        <v>53</v>
      </c>
      <c r="I139" t="s">
        <v>28</v>
      </c>
      <c r="J139" t="s">
        <v>46</v>
      </c>
      <c r="K139" t="s">
        <v>854</v>
      </c>
      <c r="L139" t="s">
        <v>45</v>
      </c>
      <c r="M139" t="s">
        <v>1234</v>
      </c>
    </row>
    <row r="140" spans="1:13" x14ac:dyDescent="0.3">
      <c r="A140" t="s">
        <v>1235</v>
      </c>
      <c r="B140" t="s">
        <v>49</v>
      </c>
      <c r="C140" t="s">
        <v>283</v>
      </c>
      <c r="D140" t="s">
        <v>81</v>
      </c>
      <c r="E140" t="s">
        <v>52</v>
      </c>
      <c r="F140" s="4" t="s">
        <v>1083</v>
      </c>
      <c r="G140" s="5">
        <f t="shared" si="2"/>
        <v>7.9</v>
      </c>
      <c r="H140" t="s">
        <v>27</v>
      </c>
      <c r="I140" t="s">
        <v>28</v>
      </c>
      <c r="J140" t="s">
        <v>54</v>
      </c>
      <c r="K140" t="s">
        <v>21</v>
      </c>
      <c r="L140" t="s">
        <v>45</v>
      </c>
      <c r="M140" t="s">
        <v>1236</v>
      </c>
    </row>
    <row r="141" spans="1:13" x14ac:dyDescent="0.3">
      <c r="A141" t="s">
        <v>1237</v>
      </c>
      <c r="B141" t="s">
        <v>996</v>
      </c>
      <c r="C141" t="s">
        <v>857</v>
      </c>
      <c r="D141" t="s">
        <v>81</v>
      </c>
      <c r="E141" t="s">
        <v>37</v>
      </c>
      <c r="F141" s="4" t="s">
        <v>944</v>
      </c>
      <c r="G141" s="5">
        <f t="shared" si="2"/>
        <v>14.85</v>
      </c>
      <c r="H141" t="s">
        <v>27</v>
      </c>
      <c r="I141" t="s">
        <v>845</v>
      </c>
      <c r="J141" t="s">
        <v>46</v>
      </c>
      <c r="K141" t="s">
        <v>874</v>
      </c>
      <c r="L141" t="s">
        <v>908</v>
      </c>
      <c r="M141" t="s">
        <v>1238</v>
      </c>
    </row>
    <row r="142" spans="1:13" x14ac:dyDescent="0.3">
      <c r="A142" t="s">
        <v>1239</v>
      </c>
      <c r="B142" t="s">
        <v>75</v>
      </c>
      <c r="C142" t="s">
        <v>1127</v>
      </c>
      <c r="D142" t="s">
        <v>51</v>
      </c>
      <c r="E142" t="s">
        <v>37</v>
      </c>
      <c r="F142" s="4" t="s">
        <v>1240</v>
      </c>
      <c r="G142" s="5">
        <f t="shared" si="2"/>
        <v>20.6</v>
      </c>
      <c r="H142" t="s">
        <v>27</v>
      </c>
      <c r="I142" t="s">
        <v>28</v>
      </c>
      <c r="J142" t="s">
        <v>854</v>
      </c>
      <c r="K142" t="s">
        <v>21</v>
      </c>
      <c r="L142" t="s">
        <v>20</v>
      </c>
      <c r="M142" t="s">
        <v>1241</v>
      </c>
    </row>
    <row r="143" spans="1:13" x14ac:dyDescent="0.3">
      <c r="A143" t="s">
        <v>1242</v>
      </c>
      <c r="B143" t="s">
        <v>42</v>
      </c>
      <c r="C143" t="s">
        <v>205</v>
      </c>
      <c r="D143" t="s">
        <v>36</v>
      </c>
      <c r="E143" t="s">
        <v>37</v>
      </c>
      <c r="F143" s="4" t="s">
        <v>1243</v>
      </c>
      <c r="G143" s="5">
        <f t="shared" si="2"/>
        <v>18.25</v>
      </c>
      <c r="H143" t="s">
        <v>17</v>
      </c>
      <c r="I143" t="s">
        <v>845</v>
      </c>
      <c r="J143" t="s">
        <v>874</v>
      </c>
      <c r="K143" t="s">
        <v>20</v>
      </c>
      <c r="L143" t="s">
        <v>39</v>
      </c>
      <c r="M143" t="s">
        <v>1077</v>
      </c>
    </row>
    <row r="144" spans="1:13" x14ac:dyDescent="0.3">
      <c r="A144" t="s">
        <v>1244</v>
      </c>
      <c r="B144" t="s">
        <v>852</v>
      </c>
      <c r="C144" t="s">
        <v>305</v>
      </c>
      <c r="D144" t="s">
        <v>96</v>
      </c>
      <c r="E144" t="s">
        <v>116</v>
      </c>
      <c r="F144" s="4" t="s">
        <v>1245</v>
      </c>
      <c r="G144" s="5">
        <f t="shared" si="2"/>
        <v>13.7</v>
      </c>
      <c r="H144" t="s">
        <v>27</v>
      </c>
      <c r="I144" t="s">
        <v>845</v>
      </c>
      <c r="J144" t="s">
        <v>874</v>
      </c>
      <c r="K144" t="s">
        <v>29</v>
      </c>
      <c r="L144" t="s">
        <v>908</v>
      </c>
      <c r="M144" t="s">
        <v>955</v>
      </c>
    </row>
    <row r="145" spans="1:13" x14ac:dyDescent="0.3">
      <c r="A145" t="s">
        <v>1246</v>
      </c>
      <c r="B145" t="s">
        <v>13</v>
      </c>
      <c r="C145" t="s">
        <v>321</v>
      </c>
      <c r="D145" t="s">
        <v>71</v>
      </c>
      <c r="E145" t="s">
        <v>52</v>
      </c>
      <c r="F145" s="4" t="s">
        <v>1247</v>
      </c>
      <c r="G145" s="5">
        <f t="shared" si="2"/>
        <v>5</v>
      </c>
      <c r="H145" t="s">
        <v>27</v>
      </c>
      <c r="I145" t="s">
        <v>28</v>
      </c>
      <c r="J145" t="s">
        <v>46</v>
      </c>
      <c r="K145" t="s">
        <v>54</v>
      </c>
      <c r="L145" t="s">
        <v>846</v>
      </c>
      <c r="M145" t="s">
        <v>909</v>
      </c>
    </row>
    <row r="146" spans="1:13" x14ac:dyDescent="0.3">
      <c r="A146" t="s">
        <v>1248</v>
      </c>
      <c r="B146" t="s">
        <v>75</v>
      </c>
      <c r="C146" t="s">
        <v>123</v>
      </c>
      <c r="D146" t="s">
        <v>26</v>
      </c>
      <c r="E146" t="s">
        <v>37</v>
      </c>
      <c r="F146" s="4" t="s">
        <v>1249</v>
      </c>
      <c r="G146" s="5">
        <f t="shared" si="2"/>
        <v>20.45</v>
      </c>
      <c r="H146" t="s">
        <v>27</v>
      </c>
      <c r="I146" t="s">
        <v>28</v>
      </c>
      <c r="J146" t="s">
        <v>846</v>
      </c>
      <c r="K146" t="s">
        <v>31</v>
      </c>
      <c r="L146" t="s">
        <v>45</v>
      </c>
      <c r="M146" t="s">
        <v>945</v>
      </c>
    </row>
    <row r="147" spans="1:13" x14ac:dyDescent="0.3">
      <c r="A147" t="s">
        <v>1250</v>
      </c>
      <c r="B147" t="s">
        <v>42</v>
      </c>
      <c r="C147" t="s">
        <v>194</v>
      </c>
      <c r="D147" t="s">
        <v>36</v>
      </c>
      <c r="E147" t="s">
        <v>37</v>
      </c>
      <c r="F147" s="4" t="s">
        <v>1196</v>
      </c>
      <c r="G147" s="5">
        <f t="shared" si="2"/>
        <v>14.2</v>
      </c>
      <c r="H147" t="s">
        <v>27</v>
      </c>
      <c r="I147" t="s">
        <v>845</v>
      </c>
      <c r="J147" t="s">
        <v>46</v>
      </c>
      <c r="K147" t="s">
        <v>39</v>
      </c>
      <c r="L147" t="s">
        <v>854</v>
      </c>
      <c r="M147" t="s">
        <v>994</v>
      </c>
    </row>
    <row r="148" spans="1:13" x14ac:dyDescent="0.3">
      <c r="A148" t="s">
        <v>1251</v>
      </c>
      <c r="B148" t="s">
        <v>864</v>
      </c>
      <c r="C148" t="s">
        <v>63</v>
      </c>
      <c r="D148" t="s">
        <v>71</v>
      </c>
      <c r="E148" t="s">
        <v>37</v>
      </c>
      <c r="F148" s="4" t="s">
        <v>1252</v>
      </c>
      <c r="G148" s="5">
        <f t="shared" si="2"/>
        <v>11</v>
      </c>
      <c r="H148" t="s">
        <v>27</v>
      </c>
      <c r="I148" t="s">
        <v>845</v>
      </c>
      <c r="J148" t="s">
        <v>31</v>
      </c>
      <c r="K148" t="s">
        <v>54</v>
      </c>
      <c r="L148" t="s">
        <v>21</v>
      </c>
      <c r="M148" t="s">
        <v>1253</v>
      </c>
    </row>
    <row r="149" spans="1:13" x14ac:dyDescent="0.3">
      <c r="A149" t="s">
        <v>1254</v>
      </c>
      <c r="B149" t="s">
        <v>42</v>
      </c>
      <c r="C149" t="s">
        <v>139</v>
      </c>
      <c r="D149" t="s">
        <v>64</v>
      </c>
      <c r="E149" t="s">
        <v>116</v>
      </c>
      <c r="F149" s="4" t="s">
        <v>1171</v>
      </c>
      <c r="G149" s="5">
        <f t="shared" si="2"/>
        <v>12.25</v>
      </c>
      <c r="H149" t="s">
        <v>27</v>
      </c>
      <c r="I149" t="s">
        <v>28</v>
      </c>
      <c r="J149" t="s">
        <v>45</v>
      </c>
      <c r="K149" t="s">
        <v>46</v>
      </c>
      <c r="L149" t="s">
        <v>854</v>
      </c>
      <c r="M149" t="s">
        <v>1219</v>
      </c>
    </row>
    <row r="150" spans="1:13" x14ac:dyDescent="0.3">
      <c r="A150" t="s">
        <v>1255</v>
      </c>
      <c r="B150" t="s">
        <v>75</v>
      </c>
      <c r="C150" t="s">
        <v>1195</v>
      </c>
      <c r="D150" t="s">
        <v>96</v>
      </c>
      <c r="E150" t="s">
        <v>16</v>
      </c>
      <c r="F150" s="4" t="s">
        <v>1256</v>
      </c>
      <c r="G150" s="5">
        <f t="shared" si="2"/>
        <v>9.4</v>
      </c>
      <c r="H150" t="s">
        <v>27</v>
      </c>
      <c r="I150" t="s">
        <v>845</v>
      </c>
      <c r="J150" t="s">
        <v>874</v>
      </c>
      <c r="K150" t="s">
        <v>45</v>
      </c>
      <c r="L150" t="s">
        <v>30</v>
      </c>
      <c r="M150" t="s">
        <v>892</v>
      </c>
    </row>
    <row r="151" spans="1:13" x14ac:dyDescent="0.3">
      <c r="A151" t="s">
        <v>1257</v>
      </c>
      <c r="B151" t="s">
        <v>864</v>
      </c>
      <c r="C151" t="s">
        <v>63</v>
      </c>
      <c r="D151" t="s">
        <v>51</v>
      </c>
      <c r="E151" t="s">
        <v>77</v>
      </c>
      <c r="F151" s="4" t="s">
        <v>1258</v>
      </c>
      <c r="G151" s="5">
        <f t="shared" si="2"/>
        <v>21.7</v>
      </c>
      <c r="H151" t="s">
        <v>27</v>
      </c>
      <c r="I151" t="s">
        <v>845</v>
      </c>
      <c r="J151" t="s">
        <v>45</v>
      </c>
      <c r="K151" t="s">
        <v>878</v>
      </c>
      <c r="L151" t="s">
        <v>21</v>
      </c>
      <c r="M151" t="s">
        <v>1259</v>
      </c>
    </row>
    <row r="152" spans="1:13" x14ac:dyDescent="0.3">
      <c r="A152" t="s">
        <v>1260</v>
      </c>
      <c r="B152" t="s">
        <v>24</v>
      </c>
      <c r="C152" t="s">
        <v>191</v>
      </c>
      <c r="D152" t="s">
        <v>64</v>
      </c>
      <c r="E152" t="s">
        <v>37</v>
      </c>
      <c r="F152" s="4" t="s">
        <v>844</v>
      </c>
      <c r="G152" s="5">
        <f t="shared" si="2"/>
        <v>10</v>
      </c>
      <c r="H152" t="s">
        <v>17</v>
      </c>
      <c r="I152" t="s">
        <v>28</v>
      </c>
      <c r="J152" t="s">
        <v>30</v>
      </c>
      <c r="K152" t="s">
        <v>908</v>
      </c>
      <c r="L152" t="s">
        <v>846</v>
      </c>
      <c r="M152" t="s">
        <v>1261</v>
      </c>
    </row>
    <row r="153" spans="1:13" x14ac:dyDescent="0.3">
      <c r="A153" t="s">
        <v>1262</v>
      </c>
      <c r="B153" t="s">
        <v>62</v>
      </c>
      <c r="C153" t="s">
        <v>191</v>
      </c>
      <c r="D153" t="s">
        <v>76</v>
      </c>
      <c r="E153" t="s">
        <v>16</v>
      </c>
      <c r="F153" s="4" t="s">
        <v>1263</v>
      </c>
      <c r="G153" s="5">
        <f t="shared" si="2"/>
        <v>10.4</v>
      </c>
      <c r="H153" t="s">
        <v>27</v>
      </c>
      <c r="I153" t="s">
        <v>59</v>
      </c>
      <c r="J153" t="s">
        <v>874</v>
      </c>
      <c r="K153" t="s">
        <v>30</v>
      </c>
      <c r="L153" t="s">
        <v>29</v>
      </c>
      <c r="M153" t="s">
        <v>1264</v>
      </c>
    </row>
    <row r="154" spans="1:13" x14ac:dyDescent="0.3">
      <c r="A154" t="s">
        <v>1265</v>
      </c>
      <c r="B154" t="s">
        <v>62</v>
      </c>
      <c r="C154" t="s">
        <v>281</v>
      </c>
      <c r="D154" t="s">
        <v>76</v>
      </c>
      <c r="E154" t="s">
        <v>77</v>
      </c>
      <c r="F154" s="4" t="s">
        <v>1228</v>
      </c>
      <c r="G154" s="5">
        <f t="shared" si="2"/>
        <v>17.95</v>
      </c>
      <c r="H154" t="s">
        <v>17</v>
      </c>
      <c r="I154" t="s">
        <v>28</v>
      </c>
      <c r="J154" t="s">
        <v>908</v>
      </c>
      <c r="K154" t="s">
        <v>878</v>
      </c>
      <c r="L154" t="s">
        <v>31</v>
      </c>
      <c r="M154" t="s">
        <v>1266</v>
      </c>
    </row>
    <row r="155" spans="1:13" x14ac:dyDescent="0.3">
      <c r="A155" t="s">
        <v>1267</v>
      </c>
      <c r="B155" t="s">
        <v>960</v>
      </c>
      <c r="C155" t="s">
        <v>389</v>
      </c>
      <c r="D155" t="s">
        <v>44</v>
      </c>
      <c r="E155" t="s">
        <v>116</v>
      </c>
      <c r="F155" s="4" t="s">
        <v>903</v>
      </c>
      <c r="G155" s="5">
        <f t="shared" si="2"/>
        <v>14.45</v>
      </c>
      <c r="H155" t="s">
        <v>17</v>
      </c>
      <c r="I155" t="s">
        <v>845</v>
      </c>
      <c r="J155" t="s">
        <v>846</v>
      </c>
      <c r="K155" t="s">
        <v>878</v>
      </c>
      <c r="L155" t="s">
        <v>45</v>
      </c>
      <c r="M155" t="s">
        <v>1189</v>
      </c>
    </row>
    <row r="156" spans="1:13" x14ac:dyDescent="0.3">
      <c r="A156" t="s">
        <v>1268</v>
      </c>
      <c r="B156" t="s">
        <v>996</v>
      </c>
      <c r="C156" t="s">
        <v>277</v>
      </c>
      <c r="D156" t="s">
        <v>76</v>
      </c>
      <c r="E156" t="s">
        <v>116</v>
      </c>
      <c r="F156" s="4" t="s">
        <v>1269</v>
      </c>
      <c r="G156" s="5">
        <f t="shared" si="2"/>
        <v>13.05</v>
      </c>
      <c r="H156" t="s">
        <v>27</v>
      </c>
      <c r="I156" t="s">
        <v>28</v>
      </c>
      <c r="J156" t="s">
        <v>20</v>
      </c>
      <c r="K156" t="s">
        <v>39</v>
      </c>
      <c r="L156" t="s">
        <v>878</v>
      </c>
      <c r="M156" t="s">
        <v>978</v>
      </c>
    </row>
    <row r="157" spans="1:13" x14ac:dyDescent="0.3">
      <c r="A157" t="s">
        <v>1270</v>
      </c>
      <c r="B157" t="s">
        <v>864</v>
      </c>
      <c r="C157" t="s">
        <v>220</v>
      </c>
      <c r="D157" t="s">
        <v>96</v>
      </c>
      <c r="E157" t="s">
        <v>52</v>
      </c>
      <c r="F157" s="4" t="s">
        <v>1271</v>
      </c>
      <c r="G157" s="5">
        <f t="shared" si="2"/>
        <v>4.7</v>
      </c>
      <c r="H157" t="s">
        <v>27</v>
      </c>
      <c r="I157" t="s">
        <v>845</v>
      </c>
      <c r="J157" t="s">
        <v>21</v>
      </c>
      <c r="K157" t="s">
        <v>45</v>
      </c>
      <c r="L157" t="s">
        <v>846</v>
      </c>
      <c r="M157" t="s">
        <v>1046</v>
      </c>
    </row>
    <row r="158" spans="1:13" x14ac:dyDescent="0.3">
      <c r="A158" t="s">
        <v>1272</v>
      </c>
      <c r="B158" t="s">
        <v>49</v>
      </c>
      <c r="C158" t="s">
        <v>260</v>
      </c>
      <c r="D158" t="s">
        <v>44</v>
      </c>
      <c r="E158" t="s">
        <v>52</v>
      </c>
      <c r="F158" s="4" t="s">
        <v>1273</v>
      </c>
      <c r="G158" s="5">
        <f t="shared" si="2"/>
        <v>4.25</v>
      </c>
      <c r="H158" t="s">
        <v>53</v>
      </c>
      <c r="I158" t="s">
        <v>59</v>
      </c>
      <c r="J158" t="s">
        <v>20</v>
      </c>
      <c r="K158" t="s">
        <v>874</v>
      </c>
      <c r="L158" t="s">
        <v>908</v>
      </c>
      <c r="M158" t="s">
        <v>1274</v>
      </c>
    </row>
    <row r="159" spans="1:13" x14ac:dyDescent="0.3">
      <c r="A159" t="s">
        <v>1275</v>
      </c>
      <c r="B159" t="s">
        <v>62</v>
      </c>
      <c r="C159" t="s">
        <v>214</v>
      </c>
      <c r="D159" t="s">
        <v>76</v>
      </c>
      <c r="E159" t="s">
        <v>37</v>
      </c>
      <c r="F159" s="4" t="s">
        <v>1276</v>
      </c>
      <c r="G159" s="5">
        <f t="shared" si="2"/>
        <v>12.05</v>
      </c>
      <c r="H159" t="s">
        <v>27</v>
      </c>
      <c r="I159" t="s">
        <v>845</v>
      </c>
      <c r="J159" t="s">
        <v>874</v>
      </c>
      <c r="K159" t="s">
        <v>29</v>
      </c>
      <c r="L159" t="s">
        <v>39</v>
      </c>
      <c r="M159" t="s">
        <v>942</v>
      </c>
    </row>
    <row r="160" spans="1:13" x14ac:dyDescent="0.3">
      <c r="A160" t="s">
        <v>1277</v>
      </c>
      <c r="B160" t="s">
        <v>24</v>
      </c>
      <c r="C160" t="s">
        <v>1278</v>
      </c>
      <c r="D160" t="s">
        <v>71</v>
      </c>
      <c r="E160" t="s">
        <v>37</v>
      </c>
      <c r="F160" s="4" t="s">
        <v>1279</v>
      </c>
      <c r="G160" s="5">
        <f t="shared" si="2"/>
        <v>10.55</v>
      </c>
      <c r="H160" t="s">
        <v>17</v>
      </c>
      <c r="I160" t="s">
        <v>845</v>
      </c>
      <c r="J160" t="s">
        <v>937</v>
      </c>
      <c r="K160" t="s">
        <v>908</v>
      </c>
      <c r="L160" t="s">
        <v>46</v>
      </c>
      <c r="M160" t="s">
        <v>1280</v>
      </c>
    </row>
    <row r="161" spans="1:13" x14ac:dyDescent="0.3">
      <c r="A161" t="s">
        <v>1281</v>
      </c>
      <c r="B161" t="s">
        <v>996</v>
      </c>
      <c r="C161" t="s">
        <v>999</v>
      </c>
      <c r="D161" t="s">
        <v>71</v>
      </c>
      <c r="E161" t="s">
        <v>16</v>
      </c>
      <c r="F161" s="4" t="s">
        <v>1282</v>
      </c>
      <c r="G161" s="5">
        <f t="shared" si="2"/>
        <v>6</v>
      </c>
      <c r="H161" t="s">
        <v>17</v>
      </c>
      <c r="I161" t="s">
        <v>845</v>
      </c>
      <c r="J161" t="s">
        <v>20</v>
      </c>
      <c r="K161" t="s">
        <v>39</v>
      </c>
      <c r="L161" t="s">
        <v>46</v>
      </c>
      <c r="M161" t="s">
        <v>917</v>
      </c>
    </row>
    <row r="162" spans="1:13" x14ac:dyDescent="0.3">
      <c r="A162" t="s">
        <v>1283</v>
      </c>
      <c r="B162" t="s">
        <v>960</v>
      </c>
      <c r="C162" t="s">
        <v>400</v>
      </c>
      <c r="D162" t="s">
        <v>81</v>
      </c>
      <c r="E162" t="s">
        <v>37</v>
      </c>
      <c r="F162" s="4" t="s">
        <v>1284</v>
      </c>
      <c r="G162" s="5">
        <f t="shared" si="2"/>
        <v>13.95</v>
      </c>
      <c r="H162" t="s">
        <v>27</v>
      </c>
      <c r="I162" t="s">
        <v>28</v>
      </c>
      <c r="J162" t="s">
        <v>874</v>
      </c>
      <c r="K162" t="s">
        <v>908</v>
      </c>
      <c r="L162" t="s">
        <v>39</v>
      </c>
      <c r="M162" t="s">
        <v>1285</v>
      </c>
    </row>
    <row r="163" spans="1:13" x14ac:dyDescent="0.3">
      <c r="A163" t="s">
        <v>1286</v>
      </c>
      <c r="B163" t="s">
        <v>75</v>
      </c>
      <c r="C163" t="s">
        <v>357</v>
      </c>
      <c r="D163" t="s">
        <v>51</v>
      </c>
      <c r="E163" t="s">
        <v>37</v>
      </c>
      <c r="F163" s="4" t="s">
        <v>1056</v>
      </c>
      <c r="G163" s="5">
        <f t="shared" si="2"/>
        <v>11.55</v>
      </c>
      <c r="H163" t="s">
        <v>27</v>
      </c>
      <c r="I163" t="s">
        <v>59</v>
      </c>
      <c r="J163" t="s">
        <v>878</v>
      </c>
      <c r="K163" t="s">
        <v>846</v>
      </c>
      <c r="L163" t="s">
        <v>54</v>
      </c>
      <c r="M163" t="s">
        <v>1037</v>
      </c>
    </row>
    <row r="164" spans="1:13" x14ac:dyDescent="0.3">
      <c r="A164" t="s">
        <v>1287</v>
      </c>
      <c r="B164" t="s">
        <v>852</v>
      </c>
      <c r="C164" t="s">
        <v>188</v>
      </c>
      <c r="D164" t="s">
        <v>64</v>
      </c>
      <c r="E164" t="s">
        <v>37</v>
      </c>
      <c r="F164" s="4" t="s">
        <v>1288</v>
      </c>
      <c r="G164" s="5">
        <f t="shared" si="2"/>
        <v>10.6</v>
      </c>
      <c r="H164" t="s">
        <v>27</v>
      </c>
      <c r="I164" t="s">
        <v>845</v>
      </c>
      <c r="J164" t="s">
        <v>21</v>
      </c>
      <c r="K164" t="s">
        <v>20</v>
      </c>
      <c r="L164" t="s">
        <v>29</v>
      </c>
      <c r="M164" t="s">
        <v>1236</v>
      </c>
    </row>
    <row r="165" spans="1:13" x14ac:dyDescent="0.3">
      <c r="A165" t="s">
        <v>1289</v>
      </c>
      <c r="B165" t="s">
        <v>49</v>
      </c>
      <c r="C165" t="s">
        <v>152</v>
      </c>
      <c r="D165" t="s">
        <v>71</v>
      </c>
      <c r="E165" t="s">
        <v>52</v>
      </c>
      <c r="F165" s="4" t="s">
        <v>1290</v>
      </c>
      <c r="G165" s="5">
        <f t="shared" si="2"/>
        <v>7.85</v>
      </c>
      <c r="H165" t="s">
        <v>27</v>
      </c>
      <c r="I165" t="s">
        <v>845</v>
      </c>
      <c r="J165" t="s">
        <v>846</v>
      </c>
      <c r="K165" t="s">
        <v>31</v>
      </c>
      <c r="L165" t="s">
        <v>854</v>
      </c>
      <c r="M165" t="s">
        <v>1291</v>
      </c>
    </row>
    <row r="166" spans="1:13" x14ac:dyDescent="0.3">
      <c r="A166" t="s">
        <v>1292</v>
      </c>
      <c r="B166" t="s">
        <v>996</v>
      </c>
      <c r="C166" t="s">
        <v>865</v>
      </c>
      <c r="D166" t="s">
        <v>26</v>
      </c>
      <c r="E166" t="s">
        <v>52</v>
      </c>
      <c r="F166" s="4" t="s">
        <v>1092</v>
      </c>
      <c r="G166" s="5">
        <f t="shared" si="2"/>
        <v>6.4</v>
      </c>
      <c r="H166" t="s">
        <v>27</v>
      </c>
      <c r="I166" t="s">
        <v>28</v>
      </c>
      <c r="J166" t="s">
        <v>937</v>
      </c>
      <c r="K166" t="s">
        <v>29</v>
      </c>
      <c r="L166" t="s">
        <v>20</v>
      </c>
      <c r="M166" t="s">
        <v>1087</v>
      </c>
    </row>
    <row r="167" spans="1:13" x14ac:dyDescent="0.3">
      <c r="A167" t="s">
        <v>1293</v>
      </c>
      <c r="B167" t="s">
        <v>75</v>
      </c>
      <c r="C167" t="s">
        <v>80</v>
      </c>
      <c r="D167" t="s">
        <v>26</v>
      </c>
      <c r="E167" t="s">
        <v>52</v>
      </c>
      <c r="F167" s="4" t="s">
        <v>1294</v>
      </c>
      <c r="G167" s="5">
        <f t="shared" si="2"/>
        <v>5.35</v>
      </c>
      <c r="H167" t="s">
        <v>27</v>
      </c>
      <c r="I167" t="s">
        <v>28</v>
      </c>
      <c r="J167" t="s">
        <v>30</v>
      </c>
      <c r="K167" t="s">
        <v>45</v>
      </c>
      <c r="L167" t="s">
        <v>846</v>
      </c>
      <c r="M167" t="s">
        <v>1295</v>
      </c>
    </row>
    <row r="168" spans="1:13" x14ac:dyDescent="0.3">
      <c r="A168" t="s">
        <v>1296</v>
      </c>
      <c r="B168" t="s">
        <v>42</v>
      </c>
      <c r="C168" t="s">
        <v>967</v>
      </c>
      <c r="D168" t="s">
        <v>26</v>
      </c>
      <c r="E168" t="s">
        <v>16</v>
      </c>
      <c r="F168" s="4" t="s">
        <v>1297</v>
      </c>
      <c r="G168" s="5">
        <f t="shared" si="2"/>
        <v>8.65</v>
      </c>
      <c r="H168" t="s">
        <v>27</v>
      </c>
      <c r="I168" t="s">
        <v>28</v>
      </c>
      <c r="J168" t="s">
        <v>29</v>
      </c>
      <c r="K168" t="s">
        <v>45</v>
      </c>
      <c r="L168" t="s">
        <v>854</v>
      </c>
      <c r="M168" t="s">
        <v>965</v>
      </c>
    </row>
    <row r="169" spans="1:13" x14ac:dyDescent="0.3">
      <c r="A169" t="s">
        <v>1298</v>
      </c>
      <c r="B169" t="s">
        <v>49</v>
      </c>
      <c r="C169" t="s">
        <v>260</v>
      </c>
      <c r="D169" t="s">
        <v>44</v>
      </c>
      <c r="E169" t="s">
        <v>52</v>
      </c>
      <c r="F169" s="4" t="s">
        <v>1299</v>
      </c>
      <c r="G169" s="5">
        <f t="shared" si="2"/>
        <v>5.75</v>
      </c>
      <c r="H169" t="s">
        <v>27</v>
      </c>
      <c r="I169" t="s">
        <v>28</v>
      </c>
      <c r="J169" t="s">
        <v>878</v>
      </c>
      <c r="K169" t="s">
        <v>937</v>
      </c>
      <c r="L169" t="s">
        <v>54</v>
      </c>
      <c r="M169" t="s">
        <v>1300</v>
      </c>
    </row>
    <row r="170" spans="1:13" x14ac:dyDescent="0.3">
      <c r="A170" t="s">
        <v>1301</v>
      </c>
      <c r="B170" t="s">
        <v>75</v>
      </c>
      <c r="C170" t="s">
        <v>400</v>
      </c>
      <c r="D170" t="s">
        <v>15</v>
      </c>
      <c r="E170" t="s">
        <v>52</v>
      </c>
      <c r="F170" s="4" t="s">
        <v>1095</v>
      </c>
      <c r="G170" s="5">
        <f t="shared" si="2"/>
        <v>6.3</v>
      </c>
      <c r="H170" t="s">
        <v>17</v>
      </c>
      <c r="I170" t="s">
        <v>28</v>
      </c>
      <c r="J170" t="s">
        <v>31</v>
      </c>
      <c r="K170" t="s">
        <v>21</v>
      </c>
      <c r="L170" t="s">
        <v>878</v>
      </c>
      <c r="M170" t="s">
        <v>1302</v>
      </c>
    </row>
    <row r="171" spans="1:13" x14ac:dyDescent="0.3">
      <c r="A171" t="s">
        <v>1303</v>
      </c>
      <c r="B171" t="s">
        <v>62</v>
      </c>
      <c r="C171" t="s">
        <v>188</v>
      </c>
      <c r="D171" t="s">
        <v>15</v>
      </c>
      <c r="E171" t="s">
        <v>77</v>
      </c>
      <c r="F171" s="4" t="s">
        <v>1304</v>
      </c>
      <c r="G171" s="5">
        <f t="shared" si="2"/>
        <v>43.7</v>
      </c>
      <c r="H171" t="s">
        <v>27</v>
      </c>
      <c r="I171" t="s">
        <v>845</v>
      </c>
      <c r="J171" t="s">
        <v>20</v>
      </c>
      <c r="K171" t="s">
        <v>29</v>
      </c>
      <c r="L171" t="s">
        <v>45</v>
      </c>
      <c r="M171" t="s">
        <v>1305</v>
      </c>
    </row>
    <row r="172" spans="1:13" x14ac:dyDescent="0.3">
      <c r="A172" t="s">
        <v>1306</v>
      </c>
      <c r="B172" t="s">
        <v>42</v>
      </c>
      <c r="C172" t="s">
        <v>90</v>
      </c>
      <c r="D172" t="s">
        <v>36</v>
      </c>
      <c r="E172" t="s">
        <v>37</v>
      </c>
      <c r="F172" s="4" t="s">
        <v>1213</v>
      </c>
      <c r="G172" s="5">
        <f t="shared" si="2"/>
        <v>11.1</v>
      </c>
      <c r="H172" t="s">
        <v>17</v>
      </c>
      <c r="I172" t="s">
        <v>845</v>
      </c>
      <c r="J172" t="s">
        <v>31</v>
      </c>
      <c r="K172" t="s">
        <v>21</v>
      </c>
      <c r="L172" t="s">
        <v>854</v>
      </c>
      <c r="M172" t="s">
        <v>1307</v>
      </c>
    </row>
    <row r="173" spans="1:13" x14ac:dyDescent="0.3">
      <c r="A173" t="s">
        <v>1308</v>
      </c>
      <c r="B173" t="s">
        <v>42</v>
      </c>
      <c r="C173" t="s">
        <v>1082</v>
      </c>
      <c r="D173" t="s">
        <v>26</v>
      </c>
      <c r="E173" t="s">
        <v>116</v>
      </c>
      <c r="F173" s="4" t="s">
        <v>944</v>
      </c>
      <c r="G173" s="5">
        <f t="shared" si="2"/>
        <v>14.85</v>
      </c>
      <c r="H173" t="s">
        <v>27</v>
      </c>
      <c r="I173" t="s">
        <v>28</v>
      </c>
      <c r="J173" t="s">
        <v>874</v>
      </c>
      <c r="K173" t="s">
        <v>20</v>
      </c>
      <c r="L173" t="s">
        <v>45</v>
      </c>
      <c r="M173" t="s">
        <v>1309</v>
      </c>
    </row>
    <row r="174" spans="1:13" x14ac:dyDescent="0.3">
      <c r="A174" t="s">
        <v>1310</v>
      </c>
      <c r="B174" t="s">
        <v>49</v>
      </c>
      <c r="C174" t="s">
        <v>99</v>
      </c>
      <c r="D174" t="s">
        <v>51</v>
      </c>
      <c r="E174" t="s">
        <v>77</v>
      </c>
      <c r="F174" s="4" t="s">
        <v>1311</v>
      </c>
      <c r="G174" s="5">
        <f t="shared" si="2"/>
        <v>22.7</v>
      </c>
      <c r="H174" t="s">
        <v>27</v>
      </c>
      <c r="I174" t="s">
        <v>28</v>
      </c>
      <c r="J174" t="s">
        <v>54</v>
      </c>
      <c r="K174" t="s">
        <v>878</v>
      </c>
      <c r="L174" t="s">
        <v>45</v>
      </c>
      <c r="M174" t="s">
        <v>1057</v>
      </c>
    </row>
    <row r="175" spans="1:13" x14ac:dyDescent="0.3">
      <c r="A175" t="s">
        <v>1312</v>
      </c>
      <c r="B175" t="s">
        <v>75</v>
      </c>
      <c r="C175" t="s">
        <v>139</v>
      </c>
      <c r="D175" t="s">
        <v>15</v>
      </c>
      <c r="E175" t="s">
        <v>16</v>
      </c>
      <c r="F175" s="4" t="s">
        <v>1154</v>
      </c>
      <c r="G175" s="5">
        <f t="shared" si="2"/>
        <v>9.6</v>
      </c>
      <c r="H175" t="s">
        <v>27</v>
      </c>
      <c r="I175" t="s">
        <v>28</v>
      </c>
      <c r="J175" t="s">
        <v>874</v>
      </c>
      <c r="K175" t="s">
        <v>846</v>
      </c>
      <c r="L175" t="s">
        <v>937</v>
      </c>
      <c r="M175" t="s">
        <v>1313</v>
      </c>
    </row>
    <row r="176" spans="1:13" x14ac:dyDescent="0.3">
      <c r="A176" t="s">
        <v>1314</v>
      </c>
      <c r="B176" t="s">
        <v>996</v>
      </c>
      <c r="C176" t="s">
        <v>106</v>
      </c>
      <c r="D176" t="s">
        <v>96</v>
      </c>
      <c r="E176" t="s">
        <v>37</v>
      </c>
      <c r="F176" s="4" t="s">
        <v>1315</v>
      </c>
      <c r="G176" s="5">
        <f t="shared" si="2"/>
        <v>17.45</v>
      </c>
      <c r="H176" t="s">
        <v>27</v>
      </c>
      <c r="I176" t="s">
        <v>59</v>
      </c>
      <c r="J176" t="s">
        <v>854</v>
      </c>
      <c r="K176" t="s">
        <v>46</v>
      </c>
      <c r="L176" t="s">
        <v>937</v>
      </c>
      <c r="M176" t="s">
        <v>1316</v>
      </c>
    </row>
    <row r="177" spans="1:13" x14ac:dyDescent="0.3">
      <c r="A177" t="s">
        <v>1317</v>
      </c>
      <c r="B177" t="s">
        <v>13</v>
      </c>
      <c r="C177" t="s">
        <v>152</v>
      </c>
      <c r="D177" t="s">
        <v>36</v>
      </c>
      <c r="E177" t="s">
        <v>52</v>
      </c>
      <c r="F177" s="4" t="s">
        <v>1066</v>
      </c>
      <c r="G177" s="5">
        <f t="shared" si="2"/>
        <v>5.25</v>
      </c>
      <c r="H177" t="s">
        <v>27</v>
      </c>
      <c r="I177" t="s">
        <v>845</v>
      </c>
      <c r="J177" t="s">
        <v>878</v>
      </c>
      <c r="K177" t="s">
        <v>45</v>
      </c>
      <c r="L177" t="s">
        <v>908</v>
      </c>
      <c r="M177" t="s">
        <v>1318</v>
      </c>
    </row>
    <row r="178" spans="1:13" x14ac:dyDescent="0.3">
      <c r="A178" t="s">
        <v>1319</v>
      </c>
      <c r="B178" t="s">
        <v>852</v>
      </c>
      <c r="C178" t="s">
        <v>1320</v>
      </c>
      <c r="D178" t="s">
        <v>36</v>
      </c>
      <c r="E178" t="s">
        <v>52</v>
      </c>
      <c r="F178" s="4" t="s">
        <v>1321</v>
      </c>
      <c r="G178" s="5">
        <f t="shared" si="2"/>
        <v>3.15</v>
      </c>
      <c r="H178" t="s">
        <v>53</v>
      </c>
      <c r="I178" t="s">
        <v>845</v>
      </c>
      <c r="J178" t="s">
        <v>21</v>
      </c>
      <c r="K178" t="s">
        <v>46</v>
      </c>
      <c r="L178" t="s">
        <v>908</v>
      </c>
      <c r="M178" t="s">
        <v>1064</v>
      </c>
    </row>
    <row r="179" spans="1:13" x14ac:dyDescent="0.3">
      <c r="A179" t="s">
        <v>1322</v>
      </c>
      <c r="B179" t="s">
        <v>996</v>
      </c>
      <c r="C179" t="s">
        <v>109</v>
      </c>
      <c r="D179" t="s">
        <v>71</v>
      </c>
      <c r="E179" t="s">
        <v>16</v>
      </c>
      <c r="F179" s="4" t="s">
        <v>1323</v>
      </c>
      <c r="G179" s="5">
        <f t="shared" si="2"/>
        <v>6.2</v>
      </c>
      <c r="H179" t="s">
        <v>27</v>
      </c>
      <c r="I179" t="s">
        <v>28</v>
      </c>
      <c r="J179" t="s">
        <v>29</v>
      </c>
      <c r="K179" t="s">
        <v>874</v>
      </c>
      <c r="L179" t="s">
        <v>20</v>
      </c>
      <c r="M179" t="s">
        <v>1324</v>
      </c>
    </row>
    <row r="180" spans="1:13" x14ac:dyDescent="0.3">
      <c r="A180" t="s">
        <v>1325</v>
      </c>
      <c r="B180" t="s">
        <v>13</v>
      </c>
      <c r="C180" t="s">
        <v>191</v>
      </c>
      <c r="D180" t="s">
        <v>81</v>
      </c>
      <c r="E180" t="s">
        <v>16</v>
      </c>
      <c r="F180" s="4" t="s">
        <v>1326</v>
      </c>
      <c r="G180" s="5">
        <f t="shared" si="2"/>
        <v>5.4</v>
      </c>
      <c r="H180" t="s">
        <v>27</v>
      </c>
      <c r="I180" t="s">
        <v>28</v>
      </c>
      <c r="J180" t="s">
        <v>54</v>
      </c>
      <c r="K180" t="s">
        <v>846</v>
      </c>
      <c r="L180" t="s">
        <v>878</v>
      </c>
      <c r="M180" t="s">
        <v>1327</v>
      </c>
    </row>
    <row r="181" spans="1:13" x14ac:dyDescent="0.3">
      <c r="A181" t="s">
        <v>1328</v>
      </c>
      <c r="B181" t="s">
        <v>49</v>
      </c>
      <c r="C181" t="s">
        <v>260</v>
      </c>
      <c r="D181" t="s">
        <v>64</v>
      </c>
      <c r="E181" t="s">
        <v>52</v>
      </c>
      <c r="F181" s="4" t="s">
        <v>1329</v>
      </c>
      <c r="G181" s="5">
        <f t="shared" si="2"/>
        <v>6.8</v>
      </c>
      <c r="H181" t="s">
        <v>17</v>
      </c>
      <c r="I181" t="s">
        <v>59</v>
      </c>
      <c r="J181" t="s">
        <v>54</v>
      </c>
      <c r="K181" t="s">
        <v>31</v>
      </c>
      <c r="L181" t="s">
        <v>874</v>
      </c>
      <c r="M181" t="s">
        <v>1137</v>
      </c>
    </row>
    <row r="182" spans="1:13" x14ac:dyDescent="0.3">
      <c r="A182" t="s">
        <v>1330</v>
      </c>
      <c r="B182" t="s">
        <v>960</v>
      </c>
      <c r="C182" t="s">
        <v>953</v>
      </c>
      <c r="D182" t="s">
        <v>76</v>
      </c>
      <c r="E182" t="s">
        <v>37</v>
      </c>
      <c r="F182" s="4" t="s">
        <v>1331</v>
      </c>
      <c r="G182" s="5">
        <f t="shared" si="2"/>
        <v>11.6</v>
      </c>
      <c r="H182" t="s">
        <v>27</v>
      </c>
      <c r="I182" t="s">
        <v>28</v>
      </c>
      <c r="J182" t="s">
        <v>31</v>
      </c>
      <c r="K182" t="s">
        <v>846</v>
      </c>
      <c r="L182" t="s">
        <v>937</v>
      </c>
      <c r="M182" t="s">
        <v>1305</v>
      </c>
    </row>
    <row r="183" spans="1:13" x14ac:dyDescent="0.3">
      <c r="A183" t="s">
        <v>1332</v>
      </c>
      <c r="B183" t="s">
        <v>24</v>
      </c>
      <c r="C183" t="s">
        <v>188</v>
      </c>
      <c r="D183" t="s">
        <v>44</v>
      </c>
      <c r="E183" t="s">
        <v>116</v>
      </c>
      <c r="F183" s="4" t="s">
        <v>974</v>
      </c>
      <c r="G183" s="5">
        <f t="shared" si="2"/>
        <v>15.85</v>
      </c>
      <c r="H183" t="s">
        <v>27</v>
      </c>
      <c r="I183" t="s">
        <v>28</v>
      </c>
      <c r="J183" t="s">
        <v>908</v>
      </c>
      <c r="K183" t="s">
        <v>846</v>
      </c>
      <c r="L183" t="s">
        <v>29</v>
      </c>
      <c r="M183" t="s">
        <v>1018</v>
      </c>
    </row>
    <row r="184" spans="1:13" x14ac:dyDescent="0.3">
      <c r="A184" t="s">
        <v>1333</v>
      </c>
      <c r="B184" t="s">
        <v>62</v>
      </c>
      <c r="C184" t="s">
        <v>205</v>
      </c>
      <c r="D184" t="s">
        <v>44</v>
      </c>
      <c r="E184" t="s">
        <v>16</v>
      </c>
      <c r="F184" s="4" t="s">
        <v>1294</v>
      </c>
      <c r="G184" s="5">
        <f t="shared" si="2"/>
        <v>5.35</v>
      </c>
      <c r="H184" t="s">
        <v>27</v>
      </c>
      <c r="I184" t="s">
        <v>28</v>
      </c>
      <c r="J184" t="s">
        <v>45</v>
      </c>
      <c r="K184" t="s">
        <v>29</v>
      </c>
      <c r="L184" t="s">
        <v>46</v>
      </c>
      <c r="M184" t="s">
        <v>1161</v>
      </c>
    </row>
    <row r="185" spans="1:13" x14ac:dyDescent="0.3">
      <c r="A185" t="s">
        <v>1334</v>
      </c>
      <c r="B185" t="s">
        <v>75</v>
      </c>
      <c r="C185" t="s">
        <v>872</v>
      </c>
      <c r="D185" t="s">
        <v>76</v>
      </c>
      <c r="E185" t="s">
        <v>52</v>
      </c>
      <c r="F185" s="4" t="s">
        <v>1335</v>
      </c>
      <c r="G185" s="5">
        <f t="shared" si="2"/>
        <v>6.85</v>
      </c>
      <c r="H185" t="s">
        <v>27</v>
      </c>
      <c r="I185" t="s">
        <v>28</v>
      </c>
      <c r="J185" t="s">
        <v>31</v>
      </c>
      <c r="K185" t="s">
        <v>39</v>
      </c>
      <c r="L185" t="s">
        <v>45</v>
      </c>
      <c r="M185" t="s">
        <v>1336</v>
      </c>
    </row>
    <row r="186" spans="1:13" x14ac:dyDescent="0.3">
      <c r="A186" t="s">
        <v>1337</v>
      </c>
      <c r="B186" t="s">
        <v>49</v>
      </c>
      <c r="C186" t="s">
        <v>14</v>
      </c>
      <c r="D186" t="s">
        <v>26</v>
      </c>
      <c r="E186" t="s">
        <v>37</v>
      </c>
      <c r="F186" s="4" t="s">
        <v>1258</v>
      </c>
      <c r="G186" s="5">
        <f t="shared" si="2"/>
        <v>21.7</v>
      </c>
      <c r="H186" t="s">
        <v>27</v>
      </c>
      <c r="I186" t="s">
        <v>59</v>
      </c>
      <c r="J186" t="s">
        <v>874</v>
      </c>
      <c r="K186" t="s">
        <v>20</v>
      </c>
      <c r="L186" t="s">
        <v>30</v>
      </c>
      <c r="M186" t="s">
        <v>1226</v>
      </c>
    </row>
    <row r="187" spans="1:13" x14ac:dyDescent="0.3">
      <c r="A187" t="s">
        <v>1338</v>
      </c>
      <c r="B187" t="s">
        <v>960</v>
      </c>
      <c r="C187" t="s">
        <v>441</v>
      </c>
      <c r="D187" t="s">
        <v>81</v>
      </c>
      <c r="E187" t="s">
        <v>16</v>
      </c>
      <c r="F187" s="4" t="s">
        <v>1329</v>
      </c>
      <c r="G187" s="5">
        <f t="shared" si="2"/>
        <v>6.8</v>
      </c>
      <c r="H187" t="s">
        <v>27</v>
      </c>
      <c r="I187" t="s">
        <v>845</v>
      </c>
      <c r="J187" t="s">
        <v>937</v>
      </c>
      <c r="K187" t="s">
        <v>854</v>
      </c>
      <c r="L187" t="s">
        <v>874</v>
      </c>
      <c r="M187" t="s">
        <v>1339</v>
      </c>
    </row>
    <row r="188" spans="1:13" x14ac:dyDescent="0.3">
      <c r="A188" t="s">
        <v>1340</v>
      </c>
      <c r="B188" t="s">
        <v>864</v>
      </c>
      <c r="C188" t="s">
        <v>1082</v>
      </c>
      <c r="D188" t="s">
        <v>64</v>
      </c>
      <c r="E188" t="s">
        <v>116</v>
      </c>
      <c r="F188" s="4" t="s">
        <v>1341</v>
      </c>
      <c r="G188" s="5">
        <f t="shared" si="2"/>
        <v>14.25</v>
      </c>
      <c r="H188" t="s">
        <v>27</v>
      </c>
      <c r="I188" t="s">
        <v>28</v>
      </c>
      <c r="J188" t="s">
        <v>937</v>
      </c>
      <c r="K188" t="s">
        <v>45</v>
      </c>
      <c r="L188" t="s">
        <v>908</v>
      </c>
      <c r="M188" t="s">
        <v>1342</v>
      </c>
    </row>
    <row r="189" spans="1:13" x14ac:dyDescent="0.3">
      <c r="A189" t="s">
        <v>1343</v>
      </c>
      <c r="B189" t="s">
        <v>49</v>
      </c>
      <c r="C189" t="s">
        <v>441</v>
      </c>
      <c r="D189" t="s">
        <v>71</v>
      </c>
      <c r="E189" t="s">
        <v>37</v>
      </c>
      <c r="F189" s="4" t="s">
        <v>884</v>
      </c>
      <c r="G189" s="5">
        <f t="shared" si="2"/>
        <v>21.05</v>
      </c>
      <c r="H189" t="s">
        <v>27</v>
      </c>
      <c r="I189" t="s">
        <v>845</v>
      </c>
      <c r="J189" t="s">
        <v>30</v>
      </c>
      <c r="K189" t="s">
        <v>846</v>
      </c>
      <c r="L189" t="s">
        <v>878</v>
      </c>
      <c r="M189" t="s">
        <v>892</v>
      </c>
    </row>
    <row r="190" spans="1:13" x14ac:dyDescent="0.3">
      <c r="A190" t="s">
        <v>1344</v>
      </c>
      <c r="B190" t="s">
        <v>49</v>
      </c>
      <c r="C190" t="s">
        <v>99</v>
      </c>
      <c r="D190" t="s">
        <v>96</v>
      </c>
      <c r="E190" t="s">
        <v>37</v>
      </c>
      <c r="F190" s="4" t="s">
        <v>884</v>
      </c>
      <c r="G190" s="5">
        <f t="shared" si="2"/>
        <v>21.05</v>
      </c>
      <c r="H190" t="s">
        <v>17</v>
      </c>
      <c r="I190" t="s">
        <v>28</v>
      </c>
      <c r="J190" t="s">
        <v>31</v>
      </c>
      <c r="K190" t="s">
        <v>21</v>
      </c>
      <c r="L190" t="s">
        <v>54</v>
      </c>
      <c r="M190" t="s">
        <v>1261</v>
      </c>
    </row>
    <row r="191" spans="1:13" x14ac:dyDescent="0.3">
      <c r="A191" t="s">
        <v>1345</v>
      </c>
      <c r="B191" t="s">
        <v>996</v>
      </c>
      <c r="C191" t="s">
        <v>130</v>
      </c>
      <c r="D191" t="s">
        <v>44</v>
      </c>
      <c r="E191" t="s">
        <v>77</v>
      </c>
      <c r="F191" s="4" t="s">
        <v>1346</v>
      </c>
      <c r="G191" s="5">
        <f t="shared" si="2"/>
        <v>40.15</v>
      </c>
      <c r="H191" t="s">
        <v>27</v>
      </c>
      <c r="I191" t="s">
        <v>28</v>
      </c>
      <c r="J191" t="s">
        <v>30</v>
      </c>
      <c r="K191" t="s">
        <v>20</v>
      </c>
      <c r="L191" t="s">
        <v>937</v>
      </c>
      <c r="M191" t="s">
        <v>1051</v>
      </c>
    </row>
    <row r="192" spans="1:13" x14ac:dyDescent="0.3">
      <c r="A192" t="s">
        <v>1347</v>
      </c>
      <c r="B192" t="s">
        <v>24</v>
      </c>
      <c r="C192" t="s">
        <v>887</v>
      </c>
      <c r="D192" t="s">
        <v>71</v>
      </c>
      <c r="E192" t="s">
        <v>52</v>
      </c>
      <c r="F192" s="4" t="s">
        <v>1348</v>
      </c>
      <c r="G192" s="5">
        <f t="shared" si="2"/>
        <v>3.85</v>
      </c>
      <c r="H192" t="s">
        <v>53</v>
      </c>
      <c r="I192" t="s">
        <v>28</v>
      </c>
      <c r="J192" t="s">
        <v>46</v>
      </c>
      <c r="K192" t="s">
        <v>45</v>
      </c>
      <c r="L192" t="s">
        <v>908</v>
      </c>
      <c r="M192" t="s">
        <v>1108</v>
      </c>
    </row>
    <row r="193" spans="1:13" x14ac:dyDescent="0.3">
      <c r="A193" t="s">
        <v>1349</v>
      </c>
      <c r="B193" t="s">
        <v>24</v>
      </c>
      <c r="C193" t="s">
        <v>220</v>
      </c>
      <c r="D193" t="s">
        <v>36</v>
      </c>
      <c r="E193" t="s">
        <v>16</v>
      </c>
      <c r="F193" s="4" t="s">
        <v>1350</v>
      </c>
      <c r="G193" s="5">
        <f t="shared" si="2"/>
        <v>8.4499999999999993</v>
      </c>
      <c r="H193" t="s">
        <v>17</v>
      </c>
      <c r="I193" t="s">
        <v>59</v>
      </c>
      <c r="J193" t="s">
        <v>908</v>
      </c>
      <c r="K193" t="s">
        <v>39</v>
      </c>
      <c r="L193" t="s">
        <v>874</v>
      </c>
      <c r="M193" t="s">
        <v>1351</v>
      </c>
    </row>
    <row r="194" spans="1:13" x14ac:dyDescent="0.3">
      <c r="A194" t="s">
        <v>1352</v>
      </c>
      <c r="B194" t="s">
        <v>24</v>
      </c>
      <c r="C194" t="s">
        <v>217</v>
      </c>
      <c r="D194" t="s">
        <v>71</v>
      </c>
      <c r="E194" t="s">
        <v>16</v>
      </c>
      <c r="F194" s="4" t="s">
        <v>1353</v>
      </c>
      <c r="G194" s="5">
        <f t="shared" ref="G194:G257" si="3">F194/100000</f>
        <v>6.05</v>
      </c>
      <c r="H194" t="s">
        <v>27</v>
      </c>
      <c r="I194" t="s">
        <v>845</v>
      </c>
      <c r="J194" t="s">
        <v>45</v>
      </c>
      <c r="K194" t="s">
        <v>21</v>
      </c>
      <c r="L194" t="s">
        <v>908</v>
      </c>
      <c r="M194" t="s">
        <v>1354</v>
      </c>
    </row>
    <row r="195" spans="1:13" x14ac:dyDescent="0.3">
      <c r="A195" t="s">
        <v>1355</v>
      </c>
      <c r="B195" t="s">
        <v>49</v>
      </c>
      <c r="C195" t="s">
        <v>271</v>
      </c>
      <c r="D195" t="s">
        <v>15</v>
      </c>
      <c r="E195" t="s">
        <v>52</v>
      </c>
      <c r="F195" s="4" t="s">
        <v>1356</v>
      </c>
      <c r="G195" s="5">
        <f t="shared" si="3"/>
        <v>4.8</v>
      </c>
      <c r="H195" t="s">
        <v>27</v>
      </c>
      <c r="I195" t="s">
        <v>28</v>
      </c>
      <c r="J195" t="s">
        <v>54</v>
      </c>
      <c r="K195" t="s">
        <v>31</v>
      </c>
      <c r="L195" t="s">
        <v>46</v>
      </c>
      <c r="M195" t="s">
        <v>921</v>
      </c>
    </row>
    <row r="196" spans="1:13" x14ac:dyDescent="0.3">
      <c r="A196" t="s">
        <v>1357</v>
      </c>
      <c r="B196" t="s">
        <v>24</v>
      </c>
      <c r="C196" t="s">
        <v>295</v>
      </c>
      <c r="D196" t="s">
        <v>71</v>
      </c>
      <c r="E196" t="s">
        <v>16</v>
      </c>
      <c r="F196" s="4" t="s">
        <v>1358</v>
      </c>
      <c r="G196" s="5">
        <f t="shared" si="3"/>
        <v>9.5500000000000007</v>
      </c>
      <c r="H196" t="s">
        <v>17</v>
      </c>
      <c r="I196" t="s">
        <v>59</v>
      </c>
      <c r="J196" t="s">
        <v>846</v>
      </c>
      <c r="K196" t="s">
        <v>908</v>
      </c>
      <c r="L196" t="s">
        <v>54</v>
      </c>
      <c r="M196" t="s">
        <v>1359</v>
      </c>
    </row>
    <row r="197" spans="1:13" x14ac:dyDescent="0.3">
      <c r="A197" t="s">
        <v>1360</v>
      </c>
      <c r="B197" t="s">
        <v>13</v>
      </c>
      <c r="C197" t="s">
        <v>441</v>
      </c>
      <c r="D197" t="s">
        <v>26</v>
      </c>
      <c r="E197" t="s">
        <v>16</v>
      </c>
      <c r="F197" s="4" t="s">
        <v>1095</v>
      </c>
      <c r="G197" s="5">
        <f t="shared" si="3"/>
        <v>6.3</v>
      </c>
      <c r="H197" t="s">
        <v>27</v>
      </c>
      <c r="I197" t="s">
        <v>59</v>
      </c>
      <c r="J197" t="s">
        <v>45</v>
      </c>
      <c r="K197" t="s">
        <v>21</v>
      </c>
      <c r="L197" t="s">
        <v>54</v>
      </c>
      <c r="M197" t="s">
        <v>1048</v>
      </c>
    </row>
    <row r="198" spans="1:13" x14ac:dyDescent="0.3">
      <c r="A198" t="s">
        <v>1361</v>
      </c>
      <c r="B198" t="s">
        <v>62</v>
      </c>
      <c r="C198" t="s">
        <v>125</v>
      </c>
      <c r="D198" t="s">
        <v>71</v>
      </c>
      <c r="E198" t="s">
        <v>52</v>
      </c>
      <c r="F198" s="4" t="s">
        <v>1362</v>
      </c>
      <c r="G198" s="5">
        <f t="shared" si="3"/>
        <v>7.8</v>
      </c>
      <c r="H198" t="s">
        <v>27</v>
      </c>
      <c r="I198" t="s">
        <v>845</v>
      </c>
      <c r="J198" t="s">
        <v>46</v>
      </c>
      <c r="K198" t="s">
        <v>30</v>
      </c>
      <c r="L198" t="s">
        <v>20</v>
      </c>
      <c r="M198" t="s">
        <v>1101</v>
      </c>
    </row>
    <row r="199" spans="1:13" x14ac:dyDescent="0.3">
      <c r="A199" t="s">
        <v>1363</v>
      </c>
      <c r="B199" t="s">
        <v>852</v>
      </c>
      <c r="C199" t="s">
        <v>112</v>
      </c>
      <c r="D199" t="s">
        <v>71</v>
      </c>
      <c r="E199" t="s">
        <v>37</v>
      </c>
      <c r="F199" s="4" t="s">
        <v>1364</v>
      </c>
      <c r="G199" s="5">
        <f t="shared" si="3"/>
        <v>18.5</v>
      </c>
      <c r="H199" t="s">
        <v>27</v>
      </c>
      <c r="I199" t="s">
        <v>59</v>
      </c>
      <c r="J199" t="s">
        <v>908</v>
      </c>
      <c r="K199" t="s">
        <v>20</v>
      </c>
      <c r="L199" t="s">
        <v>30</v>
      </c>
      <c r="M199" t="s">
        <v>1365</v>
      </c>
    </row>
    <row r="200" spans="1:13" x14ac:dyDescent="0.3">
      <c r="A200" t="s">
        <v>1366</v>
      </c>
      <c r="B200" t="s">
        <v>49</v>
      </c>
      <c r="C200" t="s">
        <v>1367</v>
      </c>
      <c r="D200" t="s">
        <v>44</v>
      </c>
      <c r="E200" t="s">
        <v>77</v>
      </c>
      <c r="F200" s="4" t="s">
        <v>1368</v>
      </c>
      <c r="G200" s="5">
        <f t="shared" si="3"/>
        <v>32.4</v>
      </c>
      <c r="H200" t="s">
        <v>27</v>
      </c>
      <c r="I200" t="s">
        <v>28</v>
      </c>
      <c r="J200" t="s">
        <v>54</v>
      </c>
      <c r="K200" t="s">
        <v>846</v>
      </c>
      <c r="L200" t="s">
        <v>878</v>
      </c>
      <c r="M200" t="s">
        <v>1369</v>
      </c>
    </row>
    <row r="201" spans="1:13" x14ac:dyDescent="0.3">
      <c r="A201" t="s">
        <v>1370</v>
      </c>
      <c r="B201" t="s">
        <v>996</v>
      </c>
      <c r="C201" t="s">
        <v>283</v>
      </c>
      <c r="D201" t="s">
        <v>96</v>
      </c>
      <c r="E201" t="s">
        <v>16</v>
      </c>
      <c r="F201" s="4" t="s">
        <v>923</v>
      </c>
      <c r="G201" s="5">
        <f t="shared" si="3"/>
        <v>10.050000000000001</v>
      </c>
      <c r="H201" t="s">
        <v>27</v>
      </c>
      <c r="I201" t="s">
        <v>845</v>
      </c>
      <c r="J201" t="s">
        <v>29</v>
      </c>
      <c r="K201" t="s">
        <v>46</v>
      </c>
      <c r="L201" t="s">
        <v>45</v>
      </c>
      <c r="M201" t="s">
        <v>1006</v>
      </c>
    </row>
    <row r="202" spans="1:13" x14ac:dyDescent="0.3">
      <c r="A202" t="s">
        <v>1371</v>
      </c>
      <c r="B202" t="s">
        <v>13</v>
      </c>
      <c r="C202" t="s">
        <v>967</v>
      </c>
      <c r="D202" t="s">
        <v>96</v>
      </c>
      <c r="E202" t="s">
        <v>116</v>
      </c>
      <c r="F202" s="4" t="s">
        <v>1372</v>
      </c>
      <c r="G202" s="5">
        <f t="shared" si="3"/>
        <v>10.15</v>
      </c>
      <c r="H202" t="s">
        <v>17</v>
      </c>
      <c r="I202" t="s">
        <v>845</v>
      </c>
      <c r="J202" t="s">
        <v>45</v>
      </c>
      <c r="K202" t="s">
        <v>878</v>
      </c>
      <c r="L202" t="s">
        <v>54</v>
      </c>
      <c r="M202" t="s">
        <v>931</v>
      </c>
    </row>
    <row r="203" spans="1:13" x14ac:dyDescent="0.3">
      <c r="A203" t="s">
        <v>1373</v>
      </c>
      <c r="B203" t="s">
        <v>49</v>
      </c>
      <c r="C203" t="s">
        <v>919</v>
      </c>
      <c r="D203" t="s">
        <v>26</v>
      </c>
      <c r="E203" t="s">
        <v>16</v>
      </c>
      <c r="F203" s="4" t="s">
        <v>1358</v>
      </c>
      <c r="G203" s="5">
        <f t="shared" si="3"/>
        <v>9.5500000000000007</v>
      </c>
      <c r="H203" t="s">
        <v>27</v>
      </c>
      <c r="I203" t="s">
        <v>28</v>
      </c>
      <c r="J203" t="s">
        <v>21</v>
      </c>
      <c r="K203" t="s">
        <v>54</v>
      </c>
      <c r="L203" t="s">
        <v>878</v>
      </c>
      <c r="M203" t="s">
        <v>1374</v>
      </c>
    </row>
    <row r="204" spans="1:13" x14ac:dyDescent="0.3">
      <c r="A204" t="s">
        <v>1375</v>
      </c>
      <c r="B204" t="s">
        <v>852</v>
      </c>
      <c r="C204" t="s">
        <v>953</v>
      </c>
      <c r="D204" t="s">
        <v>26</v>
      </c>
      <c r="E204" t="s">
        <v>37</v>
      </c>
      <c r="F204" s="4" t="s">
        <v>1376</v>
      </c>
      <c r="G204" s="5">
        <f t="shared" si="3"/>
        <v>20.25</v>
      </c>
      <c r="H204" t="s">
        <v>27</v>
      </c>
      <c r="I204" t="s">
        <v>59</v>
      </c>
      <c r="J204" t="s">
        <v>878</v>
      </c>
      <c r="K204" t="s">
        <v>31</v>
      </c>
      <c r="L204" t="s">
        <v>908</v>
      </c>
      <c r="M204" t="s">
        <v>938</v>
      </c>
    </row>
    <row r="205" spans="1:13" x14ac:dyDescent="0.3">
      <c r="A205" t="s">
        <v>1377</v>
      </c>
      <c r="B205" t="s">
        <v>42</v>
      </c>
      <c r="C205" t="s">
        <v>99</v>
      </c>
      <c r="D205" t="s">
        <v>64</v>
      </c>
      <c r="E205" t="s">
        <v>77</v>
      </c>
      <c r="F205" s="4" t="s">
        <v>1378</v>
      </c>
      <c r="G205" s="5">
        <f t="shared" si="3"/>
        <v>25</v>
      </c>
      <c r="H205" t="s">
        <v>27</v>
      </c>
      <c r="I205" t="s">
        <v>28</v>
      </c>
      <c r="J205" t="s">
        <v>20</v>
      </c>
      <c r="K205" t="s">
        <v>54</v>
      </c>
      <c r="L205" t="s">
        <v>29</v>
      </c>
      <c r="M205" t="s">
        <v>1379</v>
      </c>
    </row>
    <row r="206" spans="1:13" x14ac:dyDescent="0.3">
      <c r="A206" t="s">
        <v>1380</v>
      </c>
      <c r="B206" t="s">
        <v>996</v>
      </c>
      <c r="C206" t="s">
        <v>87</v>
      </c>
      <c r="D206" t="s">
        <v>76</v>
      </c>
      <c r="E206" t="s">
        <v>116</v>
      </c>
      <c r="F206" s="4" t="s">
        <v>1381</v>
      </c>
      <c r="G206" s="5">
        <f t="shared" si="3"/>
        <v>16.8</v>
      </c>
      <c r="H206" t="s">
        <v>27</v>
      </c>
      <c r="I206" t="s">
        <v>28</v>
      </c>
      <c r="J206" t="s">
        <v>21</v>
      </c>
      <c r="K206" t="s">
        <v>29</v>
      </c>
      <c r="L206" t="s">
        <v>854</v>
      </c>
      <c r="M206" t="s">
        <v>1309</v>
      </c>
    </row>
    <row r="207" spans="1:13" x14ac:dyDescent="0.3">
      <c r="A207" t="s">
        <v>1382</v>
      </c>
      <c r="B207" t="s">
        <v>864</v>
      </c>
      <c r="C207" t="s">
        <v>260</v>
      </c>
      <c r="D207" t="s">
        <v>71</v>
      </c>
      <c r="E207" t="s">
        <v>52</v>
      </c>
      <c r="F207" s="4" t="s">
        <v>1383</v>
      </c>
      <c r="G207" s="5">
        <f t="shared" si="3"/>
        <v>3.6</v>
      </c>
      <c r="H207" t="s">
        <v>17</v>
      </c>
      <c r="I207" t="s">
        <v>28</v>
      </c>
      <c r="J207" t="s">
        <v>54</v>
      </c>
      <c r="K207" t="s">
        <v>846</v>
      </c>
      <c r="L207" t="s">
        <v>21</v>
      </c>
      <c r="M207" t="s">
        <v>1080</v>
      </c>
    </row>
    <row r="208" spans="1:13" x14ac:dyDescent="0.3">
      <c r="A208" t="s">
        <v>1384</v>
      </c>
      <c r="B208" t="s">
        <v>960</v>
      </c>
      <c r="C208" t="s">
        <v>214</v>
      </c>
      <c r="D208" t="s">
        <v>44</v>
      </c>
      <c r="E208" t="s">
        <v>16</v>
      </c>
      <c r="F208" s="4" t="s">
        <v>1385</v>
      </c>
      <c r="G208" s="5">
        <f t="shared" si="3"/>
        <v>6.55</v>
      </c>
      <c r="H208" t="s">
        <v>27</v>
      </c>
      <c r="I208" t="s">
        <v>59</v>
      </c>
      <c r="J208" t="s">
        <v>878</v>
      </c>
      <c r="K208" t="s">
        <v>29</v>
      </c>
      <c r="L208" t="s">
        <v>46</v>
      </c>
      <c r="M208" t="s">
        <v>1386</v>
      </c>
    </row>
    <row r="209" spans="1:13" x14ac:dyDescent="0.3">
      <c r="A209" t="s">
        <v>1387</v>
      </c>
      <c r="B209" t="s">
        <v>49</v>
      </c>
      <c r="C209" t="s">
        <v>872</v>
      </c>
      <c r="D209" t="s">
        <v>36</v>
      </c>
      <c r="E209" t="s">
        <v>37</v>
      </c>
      <c r="F209" s="4" t="s">
        <v>1388</v>
      </c>
      <c r="G209" s="5">
        <f t="shared" si="3"/>
        <v>16.05</v>
      </c>
      <c r="H209" t="s">
        <v>27</v>
      </c>
      <c r="I209" t="s">
        <v>28</v>
      </c>
      <c r="J209" t="s">
        <v>31</v>
      </c>
      <c r="K209" t="s">
        <v>937</v>
      </c>
      <c r="L209" t="s">
        <v>30</v>
      </c>
      <c r="M209" t="s">
        <v>1336</v>
      </c>
    </row>
    <row r="210" spans="1:13" x14ac:dyDescent="0.3">
      <c r="A210" t="s">
        <v>1389</v>
      </c>
      <c r="B210" t="s">
        <v>960</v>
      </c>
      <c r="C210" t="s">
        <v>1367</v>
      </c>
      <c r="D210" t="s">
        <v>44</v>
      </c>
      <c r="E210" t="s">
        <v>116</v>
      </c>
      <c r="F210" s="4" t="s">
        <v>1390</v>
      </c>
      <c r="G210" s="5">
        <f t="shared" si="3"/>
        <v>15.45</v>
      </c>
      <c r="H210" t="s">
        <v>27</v>
      </c>
      <c r="I210" t="s">
        <v>845</v>
      </c>
      <c r="J210" t="s">
        <v>45</v>
      </c>
      <c r="K210" t="s">
        <v>29</v>
      </c>
      <c r="L210" t="s">
        <v>937</v>
      </c>
      <c r="M210" t="s">
        <v>1391</v>
      </c>
    </row>
    <row r="211" spans="1:13" x14ac:dyDescent="0.3">
      <c r="A211" t="s">
        <v>1392</v>
      </c>
      <c r="B211" t="s">
        <v>864</v>
      </c>
      <c r="C211" t="s">
        <v>106</v>
      </c>
      <c r="D211" t="s">
        <v>64</v>
      </c>
      <c r="E211" t="s">
        <v>37</v>
      </c>
      <c r="F211" s="4" t="s">
        <v>1393</v>
      </c>
      <c r="G211" s="5">
        <f t="shared" si="3"/>
        <v>12.2</v>
      </c>
      <c r="H211" t="s">
        <v>17</v>
      </c>
      <c r="I211" t="s">
        <v>28</v>
      </c>
      <c r="J211" t="s">
        <v>45</v>
      </c>
      <c r="K211" t="s">
        <v>54</v>
      </c>
      <c r="L211" t="s">
        <v>21</v>
      </c>
      <c r="M211" t="s">
        <v>1003</v>
      </c>
    </row>
    <row r="212" spans="1:13" x14ac:dyDescent="0.3">
      <c r="A212" t="s">
        <v>1394</v>
      </c>
      <c r="B212" t="s">
        <v>864</v>
      </c>
      <c r="C212" t="s">
        <v>172</v>
      </c>
      <c r="D212" t="s">
        <v>81</v>
      </c>
      <c r="E212" t="s">
        <v>52</v>
      </c>
      <c r="F212" s="4" t="s">
        <v>1294</v>
      </c>
      <c r="G212" s="5">
        <f t="shared" si="3"/>
        <v>5.35</v>
      </c>
      <c r="H212" t="s">
        <v>27</v>
      </c>
      <c r="I212" t="s">
        <v>28</v>
      </c>
      <c r="J212" t="s">
        <v>878</v>
      </c>
      <c r="K212" t="s">
        <v>874</v>
      </c>
      <c r="L212" t="s">
        <v>31</v>
      </c>
      <c r="M212" t="s">
        <v>1134</v>
      </c>
    </row>
    <row r="213" spans="1:13" x14ac:dyDescent="0.3">
      <c r="A213" t="s">
        <v>1395</v>
      </c>
      <c r="B213" t="s">
        <v>49</v>
      </c>
      <c r="C213" t="s">
        <v>1082</v>
      </c>
      <c r="D213" t="s">
        <v>51</v>
      </c>
      <c r="E213" t="s">
        <v>16</v>
      </c>
      <c r="F213" s="4" t="s">
        <v>1396</v>
      </c>
      <c r="G213" s="5">
        <f t="shared" si="3"/>
        <v>8.0500000000000007</v>
      </c>
      <c r="H213" t="s">
        <v>27</v>
      </c>
      <c r="I213" t="s">
        <v>28</v>
      </c>
      <c r="J213" t="s">
        <v>29</v>
      </c>
      <c r="K213" t="s">
        <v>878</v>
      </c>
      <c r="L213" t="s">
        <v>854</v>
      </c>
      <c r="M213" t="s">
        <v>1397</v>
      </c>
    </row>
    <row r="214" spans="1:13" x14ac:dyDescent="0.3">
      <c r="A214" t="s">
        <v>1398</v>
      </c>
      <c r="B214" t="s">
        <v>24</v>
      </c>
      <c r="C214" t="s">
        <v>112</v>
      </c>
      <c r="D214" t="s">
        <v>71</v>
      </c>
      <c r="E214" t="s">
        <v>52</v>
      </c>
      <c r="F214" s="4" t="s">
        <v>1036</v>
      </c>
      <c r="G214" s="5">
        <f t="shared" si="3"/>
        <v>2.9</v>
      </c>
      <c r="H214" t="s">
        <v>53</v>
      </c>
      <c r="I214" t="s">
        <v>28</v>
      </c>
      <c r="J214" t="s">
        <v>908</v>
      </c>
      <c r="K214" t="s">
        <v>21</v>
      </c>
      <c r="L214" t="s">
        <v>45</v>
      </c>
      <c r="M214" t="s">
        <v>1399</v>
      </c>
    </row>
    <row r="215" spans="1:13" x14ac:dyDescent="0.3">
      <c r="A215" t="s">
        <v>1400</v>
      </c>
      <c r="B215" t="s">
        <v>75</v>
      </c>
      <c r="C215" t="s">
        <v>321</v>
      </c>
      <c r="D215" t="s">
        <v>64</v>
      </c>
      <c r="E215" t="s">
        <v>52</v>
      </c>
      <c r="F215" s="4" t="s">
        <v>907</v>
      </c>
      <c r="G215" s="5">
        <f t="shared" si="3"/>
        <v>4.3499999999999996</v>
      </c>
      <c r="H215" t="s">
        <v>27</v>
      </c>
      <c r="I215" t="s">
        <v>28</v>
      </c>
      <c r="J215" t="s">
        <v>21</v>
      </c>
      <c r="K215" t="s">
        <v>846</v>
      </c>
      <c r="L215" t="s">
        <v>54</v>
      </c>
      <c r="M215" t="s">
        <v>1285</v>
      </c>
    </row>
    <row r="216" spans="1:13" x14ac:dyDescent="0.3">
      <c r="A216" t="s">
        <v>1401</v>
      </c>
      <c r="B216" t="s">
        <v>49</v>
      </c>
      <c r="C216" t="s">
        <v>163</v>
      </c>
      <c r="D216" t="s">
        <v>76</v>
      </c>
      <c r="E216" t="s">
        <v>77</v>
      </c>
      <c r="F216" s="4" t="s">
        <v>1402</v>
      </c>
      <c r="G216" s="5">
        <f t="shared" si="3"/>
        <v>16.2</v>
      </c>
      <c r="H216" t="s">
        <v>27</v>
      </c>
      <c r="I216" t="s">
        <v>28</v>
      </c>
      <c r="J216" t="s">
        <v>29</v>
      </c>
      <c r="K216" t="s">
        <v>45</v>
      </c>
      <c r="L216" t="s">
        <v>31</v>
      </c>
      <c r="M216" t="s">
        <v>1336</v>
      </c>
    </row>
    <row r="217" spans="1:13" x14ac:dyDescent="0.3">
      <c r="A217" t="s">
        <v>1403</v>
      </c>
      <c r="B217" t="s">
        <v>62</v>
      </c>
      <c r="C217" t="s">
        <v>109</v>
      </c>
      <c r="D217" t="s">
        <v>81</v>
      </c>
      <c r="E217" t="s">
        <v>77</v>
      </c>
      <c r="F217" s="4" t="s">
        <v>997</v>
      </c>
      <c r="G217" s="5">
        <f t="shared" si="3"/>
        <v>31.1</v>
      </c>
      <c r="H217" t="s">
        <v>27</v>
      </c>
      <c r="I217" t="s">
        <v>59</v>
      </c>
      <c r="J217" t="s">
        <v>46</v>
      </c>
      <c r="K217" t="s">
        <v>29</v>
      </c>
      <c r="L217" t="s">
        <v>20</v>
      </c>
      <c r="M217" t="s">
        <v>1404</v>
      </c>
    </row>
    <row r="218" spans="1:13" x14ac:dyDescent="0.3">
      <c r="A218" t="s">
        <v>1405</v>
      </c>
      <c r="B218" t="s">
        <v>75</v>
      </c>
      <c r="C218" t="s">
        <v>906</v>
      </c>
      <c r="D218" t="s">
        <v>64</v>
      </c>
      <c r="E218" t="s">
        <v>37</v>
      </c>
      <c r="F218" s="4" t="s">
        <v>911</v>
      </c>
      <c r="G218" s="5">
        <f t="shared" si="3"/>
        <v>14.15</v>
      </c>
      <c r="H218" t="s">
        <v>27</v>
      </c>
      <c r="I218" t="s">
        <v>28</v>
      </c>
      <c r="J218" t="s">
        <v>45</v>
      </c>
      <c r="K218" t="s">
        <v>31</v>
      </c>
      <c r="L218" t="s">
        <v>874</v>
      </c>
      <c r="M218" t="s">
        <v>1142</v>
      </c>
    </row>
    <row r="219" spans="1:13" x14ac:dyDescent="0.3">
      <c r="A219" t="s">
        <v>1406</v>
      </c>
      <c r="B219" t="s">
        <v>42</v>
      </c>
      <c r="C219" t="s">
        <v>260</v>
      </c>
      <c r="D219" t="s">
        <v>71</v>
      </c>
      <c r="E219" t="s">
        <v>52</v>
      </c>
      <c r="F219" s="4" t="s">
        <v>1247</v>
      </c>
      <c r="G219" s="5">
        <f t="shared" si="3"/>
        <v>5</v>
      </c>
      <c r="H219" t="s">
        <v>17</v>
      </c>
      <c r="I219" t="s">
        <v>28</v>
      </c>
      <c r="J219" t="s">
        <v>874</v>
      </c>
      <c r="K219" t="s">
        <v>45</v>
      </c>
      <c r="L219" t="s">
        <v>39</v>
      </c>
      <c r="M219" t="s">
        <v>1407</v>
      </c>
    </row>
    <row r="220" spans="1:13" x14ac:dyDescent="0.3">
      <c r="A220" t="s">
        <v>1408</v>
      </c>
      <c r="B220" t="s">
        <v>24</v>
      </c>
      <c r="C220" t="s">
        <v>1127</v>
      </c>
      <c r="D220" t="s">
        <v>26</v>
      </c>
      <c r="E220" t="s">
        <v>52</v>
      </c>
      <c r="F220" s="4" t="s">
        <v>1409</v>
      </c>
      <c r="G220" s="5">
        <f t="shared" si="3"/>
        <v>6.7</v>
      </c>
      <c r="H220" t="s">
        <v>27</v>
      </c>
      <c r="I220" t="s">
        <v>28</v>
      </c>
      <c r="J220" t="s">
        <v>846</v>
      </c>
      <c r="K220" t="s">
        <v>46</v>
      </c>
      <c r="L220" t="s">
        <v>874</v>
      </c>
      <c r="M220" t="s">
        <v>1142</v>
      </c>
    </row>
    <row r="221" spans="1:13" x14ac:dyDescent="0.3">
      <c r="A221" t="s">
        <v>1410</v>
      </c>
      <c r="B221" t="s">
        <v>960</v>
      </c>
      <c r="C221" t="s">
        <v>260</v>
      </c>
      <c r="D221" t="s">
        <v>44</v>
      </c>
      <c r="E221" t="s">
        <v>16</v>
      </c>
      <c r="F221" s="4" t="s">
        <v>1173</v>
      </c>
      <c r="G221" s="5">
        <f t="shared" si="3"/>
        <v>10.1</v>
      </c>
      <c r="H221" t="s">
        <v>27</v>
      </c>
      <c r="I221" t="s">
        <v>28</v>
      </c>
      <c r="J221" t="s">
        <v>20</v>
      </c>
      <c r="K221" t="s">
        <v>846</v>
      </c>
      <c r="L221" t="s">
        <v>937</v>
      </c>
      <c r="M221" t="s">
        <v>1131</v>
      </c>
    </row>
    <row r="222" spans="1:13" x14ac:dyDescent="0.3">
      <c r="A222" t="s">
        <v>1411</v>
      </c>
      <c r="B222" t="s">
        <v>42</v>
      </c>
      <c r="C222" t="s">
        <v>357</v>
      </c>
      <c r="D222" t="s">
        <v>44</v>
      </c>
      <c r="E222" t="s">
        <v>116</v>
      </c>
      <c r="F222" s="4" t="s">
        <v>888</v>
      </c>
      <c r="G222" s="5">
        <f t="shared" si="3"/>
        <v>11.2</v>
      </c>
      <c r="H222" t="s">
        <v>27</v>
      </c>
      <c r="I222" t="s">
        <v>59</v>
      </c>
      <c r="J222" t="s">
        <v>54</v>
      </c>
      <c r="K222" t="s">
        <v>39</v>
      </c>
      <c r="L222" t="s">
        <v>874</v>
      </c>
      <c r="M222" t="s">
        <v>1412</v>
      </c>
    </row>
    <row r="223" spans="1:13" x14ac:dyDescent="0.3">
      <c r="A223" t="s">
        <v>1413</v>
      </c>
      <c r="B223" t="s">
        <v>996</v>
      </c>
      <c r="C223" t="s">
        <v>139</v>
      </c>
      <c r="D223" t="s">
        <v>96</v>
      </c>
      <c r="E223" t="s">
        <v>52</v>
      </c>
      <c r="F223" s="4" t="s">
        <v>1414</v>
      </c>
      <c r="G223" s="5">
        <f t="shared" si="3"/>
        <v>7.25</v>
      </c>
      <c r="H223" t="s">
        <v>27</v>
      </c>
      <c r="I223" t="s">
        <v>59</v>
      </c>
      <c r="J223" t="s">
        <v>874</v>
      </c>
      <c r="K223" t="s">
        <v>854</v>
      </c>
      <c r="L223" t="s">
        <v>937</v>
      </c>
      <c r="M223" t="s">
        <v>1034</v>
      </c>
    </row>
    <row r="224" spans="1:13" x14ac:dyDescent="0.3">
      <c r="A224" t="s">
        <v>1415</v>
      </c>
      <c r="B224" t="s">
        <v>42</v>
      </c>
      <c r="C224" t="s">
        <v>1367</v>
      </c>
      <c r="D224" t="s">
        <v>96</v>
      </c>
      <c r="E224" t="s">
        <v>52</v>
      </c>
      <c r="F224" s="4" t="s">
        <v>980</v>
      </c>
      <c r="G224" s="5">
        <f t="shared" si="3"/>
        <v>4.3</v>
      </c>
      <c r="H224" t="s">
        <v>27</v>
      </c>
      <c r="I224" t="s">
        <v>28</v>
      </c>
      <c r="J224" t="s">
        <v>854</v>
      </c>
      <c r="K224" t="s">
        <v>45</v>
      </c>
      <c r="L224" t="s">
        <v>30</v>
      </c>
      <c r="M224" t="s">
        <v>1416</v>
      </c>
    </row>
    <row r="225" spans="1:13" x14ac:dyDescent="0.3">
      <c r="A225" t="s">
        <v>1417</v>
      </c>
      <c r="B225" t="s">
        <v>24</v>
      </c>
      <c r="C225" t="s">
        <v>1195</v>
      </c>
      <c r="D225" t="s">
        <v>64</v>
      </c>
      <c r="E225" t="s">
        <v>77</v>
      </c>
      <c r="F225" s="4" t="s">
        <v>1418</v>
      </c>
      <c r="G225" s="5">
        <f t="shared" si="3"/>
        <v>23.7</v>
      </c>
      <c r="H225" t="s">
        <v>27</v>
      </c>
      <c r="I225" t="s">
        <v>28</v>
      </c>
      <c r="J225" t="s">
        <v>908</v>
      </c>
      <c r="K225" t="s">
        <v>846</v>
      </c>
      <c r="L225" t="s">
        <v>20</v>
      </c>
      <c r="M225" t="s">
        <v>1419</v>
      </c>
    </row>
    <row r="226" spans="1:13" x14ac:dyDescent="0.3">
      <c r="A226" t="s">
        <v>1420</v>
      </c>
      <c r="B226" t="s">
        <v>13</v>
      </c>
      <c r="C226" t="s">
        <v>992</v>
      </c>
      <c r="D226" t="s">
        <v>15</v>
      </c>
      <c r="E226" t="s">
        <v>52</v>
      </c>
      <c r="F226" s="4" t="s">
        <v>1421</v>
      </c>
      <c r="G226" s="5">
        <f t="shared" si="3"/>
        <v>7.7</v>
      </c>
      <c r="H226" t="s">
        <v>27</v>
      </c>
      <c r="I226" t="s">
        <v>845</v>
      </c>
      <c r="J226" t="s">
        <v>21</v>
      </c>
      <c r="K226" t="s">
        <v>29</v>
      </c>
      <c r="L226" t="s">
        <v>54</v>
      </c>
      <c r="M226" t="s">
        <v>1037</v>
      </c>
    </row>
    <row r="227" spans="1:13" x14ac:dyDescent="0.3">
      <c r="A227" t="s">
        <v>1422</v>
      </c>
      <c r="B227" t="s">
        <v>24</v>
      </c>
      <c r="C227" t="s">
        <v>80</v>
      </c>
      <c r="D227" t="s">
        <v>64</v>
      </c>
      <c r="E227" t="s">
        <v>16</v>
      </c>
      <c r="F227" s="4" t="s">
        <v>1421</v>
      </c>
      <c r="G227" s="5">
        <f t="shared" si="3"/>
        <v>7.7</v>
      </c>
      <c r="H227" t="s">
        <v>27</v>
      </c>
      <c r="I227" t="s">
        <v>845</v>
      </c>
      <c r="J227" t="s">
        <v>39</v>
      </c>
      <c r="K227" t="s">
        <v>908</v>
      </c>
      <c r="L227" t="s">
        <v>846</v>
      </c>
      <c r="M227" t="s">
        <v>1077</v>
      </c>
    </row>
    <row r="228" spans="1:13" x14ac:dyDescent="0.3">
      <c r="A228" t="s">
        <v>1423</v>
      </c>
      <c r="B228" t="s">
        <v>49</v>
      </c>
      <c r="C228" t="s">
        <v>919</v>
      </c>
      <c r="D228" t="s">
        <v>15</v>
      </c>
      <c r="E228" t="s">
        <v>52</v>
      </c>
      <c r="F228" s="4" t="s">
        <v>1036</v>
      </c>
      <c r="G228" s="5">
        <f t="shared" si="3"/>
        <v>2.9</v>
      </c>
      <c r="H228" t="s">
        <v>53</v>
      </c>
      <c r="I228" t="s">
        <v>28</v>
      </c>
      <c r="J228" t="s">
        <v>31</v>
      </c>
      <c r="K228" t="s">
        <v>29</v>
      </c>
      <c r="L228" t="s">
        <v>874</v>
      </c>
      <c r="M228" t="s">
        <v>1339</v>
      </c>
    </row>
    <row r="229" spans="1:13" x14ac:dyDescent="0.3">
      <c r="A229" t="s">
        <v>1424</v>
      </c>
      <c r="B229" t="s">
        <v>864</v>
      </c>
      <c r="C229" t="s">
        <v>119</v>
      </c>
      <c r="D229" t="s">
        <v>64</v>
      </c>
      <c r="E229" t="s">
        <v>116</v>
      </c>
      <c r="F229" s="4" t="s">
        <v>1425</v>
      </c>
      <c r="G229" s="5">
        <f t="shared" si="3"/>
        <v>14.95</v>
      </c>
      <c r="H229" t="s">
        <v>27</v>
      </c>
      <c r="I229" t="s">
        <v>28</v>
      </c>
      <c r="J229" t="s">
        <v>29</v>
      </c>
      <c r="K229" t="s">
        <v>878</v>
      </c>
      <c r="L229" t="s">
        <v>39</v>
      </c>
      <c r="M229" t="s">
        <v>1399</v>
      </c>
    </row>
    <row r="230" spans="1:13" x14ac:dyDescent="0.3">
      <c r="A230" t="s">
        <v>1426</v>
      </c>
      <c r="B230" t="s">
        <v>24</v>
      </c>
      <c r="C230" t="s">
        <v>87</v>
      </c>
      <c r="D230" t="s">
        <v>15</v>
      </c>
      <c r="E230" t="s">
        <v>52</v>
      </c>
      <c r="F230" s="4" t="s">
        <v>1427</v>
      </c>
      <c r="G230" s="5">
        <f t="shared" si="3"/>
        <v>5.85</v>
      </c>
      <c r="H230" t="s">
        <v>27</v>
      </c>
      <c r="I230" t="s">
        <v>28</v>
      </c>
      <c r="J230" t="s">
        <v>846</v>
      </c>
      <c r="K230" t="s">
        <v>21</v>
      </c>
      <c r="L230" t="s">
        <v>937</v>
      </c>
      <c r="M230" t="s">
        <v>1122</v>
      </c>
    </row>
    <row r="231" spans="1:13" x14ac:dyDescent="0.3">
      <c r="A231" t="s">
        <v>1428</v>
      </c>
      <c r="B231" t="s">
        <v>960</v>
      </c>
      <c r="C231" t="s">
        <v>205</v>
      </c>
      <c r="D231" t="s">
        <v>15</v>
      </c>
      <c r="E231" t="s">
        <v>52</v>
      </c>
      <c r="F231" s="4" t="s">
        <v>873</v>
      </c>
      <c r="G231" s="5">
        <f t="shared" si="3"/>
        <v>7.55</v>
      </c>
      <c r="H231" t="s">
        <v>27</v>
      </c>
      <c r="I231" t="s">
        <v>59</v>
      </c>
      <c r="J231" t="s">
        <v>878</v>
      </c>
      <c r="K231" t="s">
        <v>31</v>
      </c>
      <c r="L231" t="s">
        <v>937</v>
      </c>
      <c r="M231" t="s">
        <v>1429</v>
      </c>
    </row>
    <row r="232" spans="1:13" x14ac:dyDescent="0.3">
      <c r="A232" t="s">
        <v>1430</v>
      </c>
      <c r="B232" t="s">
        <v>996</v>
      </c>
      <c r="C232" t="s">
        <v>865</v>
      </c>
      <c r="D232" t="s">
        <v>64</v>
      </c>
      <c r="E232" t="s">
        <v>37</v>
      </c>
      <c r="F232" s="4" t="s">
        <v>911</v>
      </c>
      <c r="G232" s="5">
        <f t="shared" si="3"/>
        <v>14.15</v>
      </c>
      <c r="H232" t="s">
        <v>27</v>
      </c>
      <c r="I232" t="s">
        <v>28</v>
      </c>
      <c r="J232" t="s">
        <v>20</v>
      </c>
      <c r="K232" t="s">
        <v>46</v>
      </c>
      <c r="L232" t="s">
        <v>21</v>
      </c>
      <c r="M232" t="s">
        <v>1431</v>
      </c>
    </row>
    <row r="233" spans="1:13" x14ac:dyDescent="0.3">
      <c r="A233" t="s">
        <v>1432</v>
      </c>
      <c r="B233" t="s">
        <v>62</v>
      </c>
      <c r="C233" t="s">
        <v>899</v>
      </c>
      <c r="D233" t="s">
        <v>44</v>
      </c>
      <c r="E233" t="s">
        <v>77</v>
      </c>
      <c r="F233" s="4" t="s">
        <v>1433</v>
      </c>
      <c r="G233" s="5">
        <f t="shared" si="3"/>
        <v>27.5</v>
      </c>
      <c r="H233" t="s">
        <v>27</v>
      </c>
      <c r="I233" t="s">
        <v>28</v>
      </c>
      <c r="J233" t="s">
        <v>874</v>
      </c>
      <c r="K233" t="s">
        <v>46</v>
      </c>
      <c r="L233" t="s">
        <v>20</v>
      </c>
      <c r="M233" t="s">
        <v>1324</v>
      </c>
    </row>
    <row r="234" spans="1:13" x14ac:dyDescent="0.3">
      <c r="A234" t="s">
        <v>1434</v>
      </c>
      <c r="B234" t="s">
        <v>852</v>
      </c>
      <c r="C234" t="s">
        <v>214</v>
      </c>
      <c r="D234" t="s">
        <v>44</v>
      </c>
      <c r="E234" t="s">
        <v>16</v>
      </c>
      <c r="F234" s="4" t="s">
        <v>1133</v>
      </c>
      <c r="G234" s="5">
        <f t="shared" si="3"/>
        <v>8.85</v>
      </c>
      <c r="H234" t="s">
        <v>27</v>
      </c>
      <c r="I234" t="s">
        <v>59</v>
      </c>
      <c r="J234" t="s">
        <v>20</v>
      </c>
      <c r="K234" t="s">
        <v>854</v>
      </c>
      <c r="L234" t="s">
        <v>29</v>
      </c>
      <c r="M234" t="s">
        <v>1435</v>
      </c>
    </row>
    <row r="235" spans="1:13" x14ac:dyDescent="0.3">
      <c r="A235" t="s">
        <v>1436</v>
      </c>
      <c r="B235" t="s">
        <v>960</v>
      </c>
      <c r="C235" t="s">
        <v>106</v>
      </c>
      <c r="D235" t="s">
        <v>51</v>
      </c>
      <c r="E235" t="s">
        <v>37</v>
      </c>
      <c r="F235" s="4" t="s">
        <v>1437</v>
      </c>
      <c r="G235" s="5">
        <f t="shared" si="3"/>
        <v>15.4</v>
      </c>
      <c r="H235" t="s">
        <v>27</v>
      </c>
      <c r="I235" t="s">
        <v>845</v>
      </c>
      <c r="J235" t="s">
        <v>874</v>
      </c>
      <c r="K235" t="s">
        <v>846</v>
      </c>
      <c r="L235" t="s">
        <v>45</v>
      </c>
      <c r="M235" t="s">
        <v>1305</v>
      </c>
    </row>
    <row r="236" spans="1:13" x14ac:dyDescent="0.3">
      <c r="A236" t="s">
        <v>1438</v>
      </c>
      <c r="B236" t="s">
        <v>24</v>
      </c>
      <c r="C236" t="s">
        <v>865</v>
      </c>
      <c r="D236" t="s">
        <v>71</v>
      </c>
      <c r="E236" t="s">
        <v>52</v>
      </c>
      <c r="F236" s="4" t="s">
        <v>1439</v>
      </c>
      <c r="G236" s="5">
        <f t="shared" si="3"/>
        <v>2.85</v>
      </c>
      <c r="H236" t="s">
        <v>53</v>
      </c>
      <c r="I236" t="s">
        <v>28</v>
      </c>
      <c r="J236" t="s">
        <v>45</v>
      </c>
      <c r="K236" t="s">
        <v>39</v>
      </c>
      <c r="L236" t="s">
        <v>908</v>
      </c>
      <c r="M236" t="s">
        <v>958</v>
      </c>
    </row>
    <row r="237" spans="1:13" x14ac:dyDescent="0.3">
      <c r="A237" t="s">
        <v>1440</v>
      </c>
      <c r="B237" t="s">
        <v>75</v>
      </c>
      <c r="C237" t="s">
        <v>119</v>
      </c>
      <c r="D237" t="s">
        <v>36</v>
      </c>
      <c r="E237" t="s">
        <v>77</v>
      </c>
      <c r="F237" s="4" t="s">
        <v>1441</v>
      </c>
      <c r="G237" s="5">
        <f t="shared" si="3"/>
        <v>18.2</v>
      </c>
      <c r="H237" t="s">
        <v>27</v>
      </c>
      <c r="I237" t="s">
        <v>28</v>
      </c>
      <c r="J237" t="s">
        <v>878</v>
      </c>
      <c r="K237" t="s">
        <v>54</v>
      </c>
      <c r="L237" t="s">
        <v>45</v>
      </c>
      <c r="M237" t="s">
        <v>1189</v>
      </c>
    </row>
    <row r="238" spans="1:13" x14ac:dyDescent="0.3">
      <c r="A238" t="s">
        <v>1442</v>
      </c>
      <c r="B238" t="s">
        <v>42</v>
      </c>
      <c r="C238" t="s">
        <v>25</v>
      </c>
      <c r="D238" t="s">
        <v>26</v>
      </c>
      <c r="E238" t="s">
        <v>52</v>
      </c>
      <c r="F238" s="4" t="s">
        <v>1443</v>
      </c>
      <c r="G238" s="5">
        <f t="shared" si="3"/>
        <v>7.4</v>
      </c>
      <c r="H238" t="s">
        <v>27</v>
      </c>
      <c r="I238" t="s">
        <v>845</v>
      </c>
      <c r="J238" t="s">
        <v>29</v>
      </c>
      <c r="K238" t="s">
        <v>31</v>
      </c>
      <c r="L238" t="s">
        <v>874</v>
      </c>
      <c r="M238" t="s">
        <v>1444</v>
      </c>
    </row>
    <row r="239" spans="1:13" x14ac:dyDescent="0.3">
      <c r="A239" t="s">
        <v>1445</v>
      </c>
      <c r="B239" t="s">
        <v>42</v>
      </c>
      <c r="C239" t="s">
        <v>919</v>
      </c>
      <c r="D239" t="s">
        <v>51</v>
      </c>
      <c r="E239" t="s">
        <v>116</v>
      </c>
      <c r="F239" s="4" t="s">
        <v>1133</v>
      </c>
      <c r="G239" s="5">
        <f t="shared" si="3"/>
        <v>8.85</v>
      </c>
      <c r="H239" t="s">
        <v>27</v>
      </c>
      <c r="I239" t="s">
        <v>28</v>
      </c>
      <c r="J239" t="s">
        <v>45</v>
      </c>
      <c r="K239" t="s">
        <v>54</v>
      </c>
      <c r="L239" t="s">
        <v>20</v>
      </c>
      <c r="M239" t="s">
        <v>1001</v>
      </c>
    </row>
    <row r="240" spans="1:13" x14ac:dyDescent="0.3">
      <c r="A240" t="s">
        <v>1446</v>
      </c>
      <c r="B240" t="s">
        <v>996</v>
      </c>
      <c r="C240" t="s">
        <v>268</v>
      </c>
      <c r="D240" t="s">
        <v>44</v>
      </c>
      <c r="E240" t="s">
        <v>77</v>
      </c>
      <c r="F240" s="4" t="s">
        <v>1447</v>
      </c>
      <c r="G240" s="5">
        <f t="shared" si="3"/>
        <v>20.149999999999999</v>
      </c>
      <c r="H240" t="s">
        <v>27</v>
      </c>
      <c r="I240" t="s">
        <v>28</v>
      </c>
      <c r="J240" t="s">
        <v>846</v>
      </c>
      <c r="K240" t="s">
        <v>874</v>
      </c>
      <c r="L240" t="s">
        <v>46</v>
      </c>
      <c r="M240" t="s">
        <v>1234</v>
      </c>
    </row>
    <row r="241" spans="1:13" x14ac:dyDescent="0.3">
      <c r="A241" t="s">
        <v>1448</v>
      </c>
      <c r="B241" t="s">
        <v>852</v>
      </c>
      <c r="C241" t="s">
        <v>999</v>
      </c>
      <c r="D241" t="s">
        <v>64</v>
      </c>
      <c r="E241" t="s">
        <v>116</v>
      </c>
      <c r="F241" s="4" t="s">
        <v>1350</v>
      </c>
      <c r="G241" s="5">
        <f t="shared" si="3"/>
        <v>8.4499999999999993</v>
      </c>
      <c r="H241" t="s">
        <v>27</v>
      </c>
      <c r="I241" t="s">
        <v>28</v>
      </c>
      <c r="J241" t="s">
        <v>854</v>
      </c>
      <c r="K241" t="s">
        <v>908</v>
      </c>
      <c r="L241" t="s">
        <v>30</v>
      </c>
      <c r="M241" t="s">
        <v>1449</v>
      </c>
    </row>
    <row r="242" spans="1:13" x14ac:dyDescent="0.3">
      <c r="A242" t="s">
        <v>1450</v>
      </c>
      <c r="B242" t="s">
        <v>864</v>
      </c>
      <c r="C242" t="s">
        <v>211</v>
      </c>
      <c r="D242" t="s">
        <v>26</v>
      </c>
      <c r="E242" t="s">
        <v>52</v>
      </c>
      <c r="F242" s="4" t="s">
        <v>954</v>
      </c>
      <c r="G242" s="5">
        <f t="shared" si="3"/>
        <v>4.1500000000000004</v>
      </c>
      <c r="H242" t="s">
        <v>53</v>
      </c>
      <c r="I242" t="s">
        <v>28</v>
      </c>
      <c r="J242" t="s">
        <v>31</v>
      </c>
      <c r="K242" t="s">
        <v>878</v>
      </c>
      <c r="L242" t="s">
        <v>21</v>
      </c>
      <c r="M242" t="s">
        <v>1451</v>
      </c>
    </row>
    <row r="243" spans="1:13" x14ac:dyDescent="0.3">
      <c r="A243" t="s">
        <v>1452</v>
      </c>
      <c r="B243" t="s">
        <v>24</v>
      </c>
      <c r="C243" t="s">
        <v>14</v>
      </c>
      <c r="D243" t="s">
        <v>96</v>
      </c>
      <c r="E243" t="s">
        <v>52</v>
      </c>
      <c r="F243" s="4" t="s">
        <v>950</v>
      </c>
      <c r="G243" s="5">
        <f t="shared" si="3"/>
        <v>4.5999999999999996</v>
      </c>
      <c r="H243" t="s">
        <v>27</v>
      </c>
      <c r="I243" t="s">
        <v>845</v>
      </c>
      <c r="J243" t="s">
        <v>46</v>
      </c>
      <c r="K243" t="s">
        <v>45</v>
      </c>
      <c r="L243" t="s">
        <v>39</v>
      </c>
      <c r="M243" t="s">
        <v>1285</v>
      </c>
    </row>
    <row r="244" spans="1:13" x14ac:dyDescent="0.3">
      <c r="A244" t="s">
        <v>1453</v>
      </c>
      <c r="B244" t="s">
        <v>42</v>
      </c>
      <c r="C244" t="s">
        <v>214</v>
      </c>
      <c r="D244" t="s">
        <v>64</v>
      </c>
      <c r="E244" t="s">
        <v>77</v>
      </c>
      <c r="F244" s="4" t="s">
        <v>1454</v>
      </c>
      <c r="G244" s="5">
        <f t="shared" si="3"/>
        <v>29.6</v>
      </c>
      <c r="H244" t="s">
        <v>27</v>
      </c>
      <c r="I244" t="s">
        <v>59</v>
      </c>
      <c r="J244" t="s">
        <v>29</v>
      </c>
      <c r="K244" t="s">
        <v>854</v>
      </c>
      <c r="L244" t="s">
        <v>46</v>
      </c>
      <c r="M244" t="s">
        <v>1166</v>
      </c>
    </row>
    <row r="245" spans="1:13" x14ac:dyDescent="0.3">
      <c r="A245" t="s">
        <v>1455</v>
      </c>
      <c r="B245" t="s">
        <v>42</v>
      </c>
      <c r="C245" t="s">
        <v>35</v>
      </c>
      <c r="D245" t="s">
        <v>96</v>
      </c>
      <c r="E245" t="s">
        <v>52</v>
      </c>
      <c r="F245" s="4" t="s">
        <v>968</v>
      </c>
      <c r="G245" s="5">
        <f t="shared" si="3"/>
        <v>3.9</v>
      </c>
      <c r="H245" t="s">
        <v>53</v>
      </c>
      <c r="I245" t="s">
        <v>28</v>
      </c>
      <c r="J245" t="s">
        <v>20</v>
      </c>
      <c r="K245" t="s">
        <v>908</v>
      </c>
      <c r="L245" t="s">
        <v>854</v>
      </c>
      <c r="M245" t="s">
        <v>901</v>
      </c>
    </row>
    <row r="246" spans="1:13" x14ac:dyDescent="0.3">
      <c r="A246" t="s">
        <v>1456</v>
      </c>
      <c r="B246" t="s">
        <v>852</v>
      </c>
      <c r="C246" t="s">
        <v>109</v>
      </c>
      <c r="D246" t="s">
        <v>36</v>
      </c>
      <c r="E246" t="s">
        <v>37</v>
      </c>
      <c r="F246" s="4" t="s">
        <v>1457</v>
      </c>
      <c r="G246" s="5">
        <f t="shared" si="3"/>
        <v>19</v>
      </c>
      <c r="H246" t="s">
        <v>27</v>
      </c>
      <c r="I246" t="s">
        <v>59</v>
      </c>
      <c r="J246" t="s">
        <v>31</v>
      </c>
      <c r="K246" t="s">
        <v>46</v>
      </c>
      <c r="L246" t="s">
        <v>20</v>
      </c>
      <c r="M246" t="s">
        <v>1231</v>
      </c>
    </row>
    <row r="247" spans="1:13" x14ac:dyDescent="0.3">
      <c r="A247" t="s">
        <v>1458</v>
      </c>
      <c r="B247" t="s">
        <v>49</v>
      </c>
      <c r="C247" t="s">
        <v>205</v>
      </c>
      <c r="D247" t="s">
        <v>26</v>
      </c>
      <c r="E247" t="s">
        <v>52</v>
      </c>
      <c r="F247" s="4" t="s">
        <v>1459</v>
      </c>
      <c r="G247" s="5">
        <f t="shared" si="3"/>
        <v>6.1</v>
      </c>
      <c r="H247" t="s">
        <v>27</v>
      </c>
      <c r="I247" t="s">
        <v>59</v>
      </c>
      <c r="J247" t="s">
        <v>54</v>
      </c>
      <c r="K247" t="s">
        <v>846</v>
      </c>
      <c r="L247" t="s">
        <v>31</v>
      </c>
      <c r="M247" t="s">
        <v>1193</v>
      </c>
    </row>
    <row r="248" spans="1:13" x14ac:dyDescent="0.3">
      <c r="A248" t="s">
        <v>1460</v>
      </c>
      <c r="B248" t="s">
        <v>864</v>
      </c>
      <c r="C248" t="s">
        <v>80</v>
      </c>
      <c r="D248" t="s">
        <v>15</v>
      </c>
      <c r="E248" t="s">
        <v>16</v>
      </c>
      <c r="F248" s="4" t="s">
        <v>1461</v>
      </c>
      <c r="G248" s="5">
        <f t="shared" si="3"/>
        <v>9.6999999999999993</v>
      </c>
      <c r="H248" t="s">
        <v>17</v>
      </c>
      <c r="I248" t="s">
        <v>845</v>
      </c>
      <c r="J248" t="s">
        <v>846</v>
      </c>
      <c r="K248" t="s">
        <v>908</v>
      </c>
      <c r="L248" t="s">
        <v>45</v>
      </c>
      <c r="M248" t="s">
        <v>915</v>
      </c>
    </row>
    <row r="249" spans="1:13" x14ac:dyDescent="0.3">
      <c r="A249" t="s">
        <v>1462</v>
      </c>
      <c r="B249" t="s">
        <v>42</v>
      </c>
      <c r="C249" t="s">
        <v>899</v>
      </c>
      <c r="D249" t="s">
        <v>96</v>
      </c>
      <c r="E249" t="s">
        <v>52</v>
      </c>
      <c r="F249" s="4" t="s">
        <v>1463</v>
      </c>
      <c r="G249" s="5">
        <f t="shared" si="3"/>
        <v>4.2</v>
      </c>
      <c r="H249" t="s">
        <v>27</v>
      </c>
      <c r="I249" t="s">
        <v>28</v>
      </c>
      <c r="J249" t="s">
        <v>908</v>
      </c>
      <c r="K249" t="s">
        <v>874</v>
      </c>
      <c r="L249" t="s">
        <v>20</v>
      </c>
      <c r="M249" t="s">
        <v>1305</v>
      </c>
    </row>
    <row r="250" spans="1:13" x14ac:dyDescent="0.3">
      <c r="A250" t="s">
        <v>1464</v>
      </c>
      <c r="B250" t="s">
        <v>62</v>
      </c>
      <c r="C250" t="s">
        <v>530</v>
      </c>
      <c r="D250" t="s">
        <v>44</v>
      </c>
      <c r="E250" t="s">
        <v>16</v>
      </c>
      <c r="F250" s="4" t="s">
        <v>1465</v>
      </c>
      <c r="G250" s="5">
        <f t="shared" si="3"/>
        <v>10.8</v>
      </c>
      <c r="H250" t="s">
        <v>17</v>
      </c>
      <c r="I250" t="s">
        <v>28</v>
      </c>
      <c r="J250" t="s">
        <v>45</v>
      </c>
      <c r="K250" t="s">
        <v>846</v>
      </c>
      <c r="L250" t="s">
        <v>20</v>
      </c>
      <c r="M250" t="s">
        <v>1466</v>
      </c>
    </row>
    <row r="251" spans="1:13" x14ac:dyDescent="0.3">
      <c r="A251" t="s">
        <v>1467</v>
      </c>
      <c r="B251" t="s">
        <v>996</v>
      </c>
      <c r="C251" t="s">
        <v>25</v>
      </c>
      <c r="D251" t="s">
        <v>44</v>
      </c>
      <c r="E251" t="s">
        <v>16</v>
      </c>
      <c r="F251" s="4" t="s">
        <v>1290</v>
      </c>
      <c r="G251" s="5">
        <f t="shared" si="3"/>
        <v>7.85</v>
      </c>
      <c r="H251" t="s">
        <v>27</v>
      </c>
      <c r="I251" t="s">
        <v>59</v>
      </c>
      <c r="J251" t="s">
        <v>846</v>
      </c>
      <c r="K251" t="s">
        <v>29</v>
      </c>
      <c r="L251" t="s">
        <v>874</v>
      </c>
      <c r="M251" t="s">
        <v>1468</v>
      </c>
    </row>
    <row r="252" spans="1:13" x14ac:dyDescent="0.3">
      <c r="A252" t="s">
        <v>1469</v>
      </c>
      <c r="B252" t="s">
        <v>13</v>
      </c>
      <c r="C252" t="s">
        <v>63</v>
      </c>
      <c r="D252" t="s">
        <v>15</v>
      </c>
      <c r="E252" t="s">
        <v>37</v>
      </c>
      <c r="F252" s="4" t="s">
        <v>1284</v>
      </c>
      <c r="G252" s="5">
        <f t="shared" si="3"/>
        <v>13.95</v>
      </c>
      <c r="H252" t="s">
        <v>27</v>
      </c>
      <c r="I252" t="s">
        <v>59</v>
      </c>
      <c r="J252" t="s">
        <v>846</v>
      </c>
      <c r="K252" t="s">
        <v>908</v>
      </c>
      <c r="L252" t="s">
        <v>21</v>
      </c>
      <c r="M252" t="s">
        <v>962</v>
      </c>
    </row>
    <row r="253" spans="1:13" x14ac:dyDescent="0.3">
      <c r="A253" t="s">
        <v>1470</v>
      </c>
      <c r="B253" t="s">
        <v>864</v>
      </c>
      <c r="C253" t="s">
        <v>281</v>
      </c>
      <c r="D253" t="s">
        <v>36</v>
      </c>
      <c r="E253" t="s">
        <v>37</v>
      </c>
      <c r="F253" s="4" t="s">
        <v>1471</v>
      </c>
      <c r="G253" s="5">
        <f t="shared" si="3"/>
        <v>14.5</v>
      </c>
      <c r="H253" t="s">
        <v>17</v>
      </c>
      <c r="I253" t="s">
        <v>28</v>
      </c>
      <c r="J253" t="s">
        <v>854</v>
      </c>
      <c r="K253" t="s">
        <v>31</v>
      </c>
      <c r="L253" t="s">
        <v>846</v>
      </c>
      <c r="M253" t="s">
        <v>1472</v>
      </c>
    </row>
    <row r="254" spans="1:13" x14ac:dyDescent="0.3">
      <c r="A254" t="s">
        <v>1473</v>
      </c>
      <c r="B254" t="s">
        <v>864</v>
      </c>
      <c r="C254" t="s">
        <v>992</v>
      </c>
      <c r="D254" t="s">
        <v>81</v>
      </c>
      <c r="E254" t="s">
        <v>116</v>
      </c>
      <c r="F254" s="4" t="s">
        <v>1474</v>
      </c>
      <c r="G254" s="5">
        <f t="shared" si="3"/>
        <v>12.1</v>
      </c>
      <c r="H254" t="s">
        <v>27</v>
      </c>
      <c r="I254" t="s">
        <v>28</v>
      </c>
      <c r="J254" t="s">
        <v>878</v>
      </c>
      <c r="K254" t="s">
        <v>21</v>
      </c>
      <c r="L254" t="s">
        <v>846</v>
      </c>
      <c r="M254" t="s">
        <v>1475</v>
      </c>
    </row>
    <row r="255" spans="1:13" x14ac:dyDescent="0.3">
      <c r="A255" t="s">
        <v>1476</v>
      </c>
      <c r="B255" t="s">
        <v>864</v>
      </c>
      <c r="C255" t="s">
        <v>50</v>
      </c>
      <c r="D255" t="s">
        <v>71</v>
      </c>
      <c r="E255" t="s">
        <v>116</v>
      </c>
      <c r="F255" s="4" t="s">
        <v>1477</v>
      </c>
      <c r="G255" s="5">
        <f t="shared" si="3"/>
        <v>16.45</v>
      </c>
      <c r="H255" t="s">
        <v>27</v>
      </c>
      <c r="I255" t="s">
        <v>845</v>
      </c>
      <c r="J255" t="s">
        <v>54</v>
      </c>
      <c r="K255" t="s">
        <v>45</v>
      </c>
      <c r="L255" t="s">
        <v>874</v>
      </c>
      <c r="M255" t="s">
        <v>1198</v>
      </c>
    </row>
    <row r="256" spans="1:13" x14ac:dyDescent="0.3">
      <c r="A256" t="s">
        <v>1478</v>
      </c>
      <c r="B256" t="s">
        <v>62</v>
      </c>
      <c r="C256" t="s">
        <v>152</v>
      </c>
      <c r="D256" t="s">
        <v>26</v>
      </c>
      <c r="E256" t="s">
        <v>77</v>
      </c>
      <c r="F256" s="4" t="s">
        <v>1479</v>
      </c>
      <c r="G256" s="5">
        <f t="shared" si="3"/>
        <v>33.4</v>
      </c>
      <c r="H256" t="s">
        <v>17</v>
      </c>
      <c r="I256" t="s">
        <v>28</v>
      </c>
      <c r="J256" t="s">
        <v>29</v>
      </c>
      <c r="K256" t="s">
        <v>846</v>
      </c>
      <c r="L256" t="s">
        <v>30</v>
      </c>
      <c r="M256" t="s">
        <v>1480</v>
      </c>
    </row>
    <row r="257" spans="1:13" x14ac:dyDescent="0.3">
      <c r="A257" t="s">
        <v>1481</v>
      </c>
      <c r="B257" t="s">
        <v>996</v>
      </c>
      <c r="C257" t="s">
        <v>953</v>
      </c>
      <c r="D257" t="s">
        <v>64</v>
      </c>
      <c r="E257" t="s">
        <v>77</v>
      </c>
      <c r="F257" s="4" t="s">
        <v>1482</v>
      </c>
      <c r="G257" s="5">
        <f t="shared" si="3"/>
        <v>20.100000000000001</v>
      </c>
      <c r="H257" t="s">
        <v>27</v>
      </c>
      <c r="I257" t="s">
        <v>28</v>
      </c>
      <c r="J257" t="s">
        <v>20</v>
      </c>
      <c r="K257" t="s">
        <v>39</v>
      </c>
      <c r="L257" t="s">
        <v>846</v>
      </c>
      <c r="M257" t="s">
        <v>1122</v>
      </c>
    </row>
    <row r="258" spans="1:13" x14ac:dyDescent="0.3">
      <c r="A258" t="s">
        <v>1483</v>
      </c>
      <c r="B258" t="s">
        <v>49</v>
      </c>
      <c r="C258" t="s">
        <v>179</v>
      </c>
      <c r="D258" t="s">
        <v>44</v>
      </c>
      <c r="E258" t="s">
        <v>116</v>
      </c>
      <c r="F258" s="4" t="s">
        <v>1465</v>
      </c>
      <c r="G258" s="5">
        <f t="shared" ref="G258:G321" si="4">F258/100000</f>
        <v>10.8</v>
      </c>
      <c r="H258" t="s">
        <v>27</v>
      </c>
      <c r="I258" t="s">
        <v>845</v>
      </c>
      <c r="J258" t="s">
        <v>45</v>
      </c>
      <c r="K258" t="s">
        <v>31</v>
      </c>
      <c r="L258" t="s">
        <v>878</v>
      </c>
      <c r="M258" t="s">
        <v>1184</v>
      </c>
    </row>
    <row r="259" spans="1:13" x14ac:dyDescent="0.3">
      <c r="A259" t="s">
        <v>1484</v>
      </c>
      <c r="B259" t="s">
        <v>864</v>
      </c>
      <c r="C259" t="s">
        <v>109</v>
      </c>
      <c r="D259" t="s">
        <v>26</v>
      </c>
      <c r="E259" t="s">
        <v>52</v>
      </c>
      <c r="F259" s="4" t="s">
        <v>1485</v>
      </c>
      <c r="G259" s="5">
        <f t="shared" si="4"/>
        <v>4</v>
      </c>
      <c r="H259" t="s">
        <v>53</v>
      </c>
      <c r="I259" t="s">
        <v>845</v>
      </c>
      <c r="J259" t="s">
        <v>31</v>
      </c>
      <c r="K259" t="s">
        <v>21</v>
      </c>
      <c r="L259" t="s">
        <v>54</v>
      </c>
      <c r="M259" t="s">
        <v>1486</v>
      </c>
    </row>
    <row r="260" spans="1:13" x14ac:dyDescent="0.3">
      <c r="A260" t="s">
        <v>1487</v>
      </c>
      <c r="B260" t="s">
        <v>864</v>
      </c>
      <c r="C260" t="s">
        <v>1367</v>
      </c>
      <c r="D260" t="s">
        <v>64</v>
      </c>
      <c r="E260" t="s">
        <v>77</v>
      </c>
      <c r="F260" s="4" t="s">
        <v>1488</v>
      </c>
      <c r="G260" s="5">
        <f t="shared" si="4"/>
        <v>33.85</v>
      </c>
      <c r="H260" t="s">
        <v>27</v>
      </c>
      <c r="I260" t="s">
        <v>28</v>
      </c>
      <c r="J260" t="s">
        <v>45</v>
      </c>
      <c r="K260" t="s">
        <v>21</v>
      </c>
      <c r="L260" t="s">
        <v>31</v>
      </c>
      <c r="M260" t="s">
        <v>981</v>
      </c>
    </row>
    <row r="261" spans="1:13" x14ac:dyDescent="0.3">
      <c r="A261" t="s">
        <v>1489</v>
      </c>
      <c r="B261" t="s">
        <v>864</v>
      </c>
      <c r="C261" t="s">
        <v>548</v>
      </c>
      <c r="D261" t="s">
        <v>36</v>
      </c>
      <c r="E261" t="s">
        <v>116</v>
      </c>
      <c r="F261" s="4" t="s">
        <v>1490</v>
      </c>
      <c r="G261" s="5">
        <f t="shared" si="4"/>
        <v>17</v>
      </c>
      <c r="H261" t="s">
        <v>27</v>
      </c>
      <c r="I261" t="s">
        <v>28</v>
      </c>
      <c r="J261" t="s">
        <v>31</v>
      </c>
      <c r="K261" t="s">
        <v>54</v>
      </c>
      <c r="L261" t="s">
        <v>20</v>
      </c>
      <c r="M261" t="s">
        <v>1391</v>
      </c>
    </row>
    <row r="262" spans="1:13" x14ac:dyDescent="0.3">
      <c r="A262" t="s">
        <v>1491</v>
      </c>
      <c r="B262" t="s">
        <v>24</v>
      </c>
      <c r="C262" t="s">
        <v>191</v>
      </c>
      <c r="D262" t="s">
        <v>15</v>
      </c>
      <c r="E262" t="s">
        <v>16</v>
      </c>
      <c r="F262" s="4" t="s">
        <v>1492</v>
      </c>
      <c r="G262" s="5">
        <f t="shared" si="4"/>
        <v>6.45</v>
      </c>
      <c r="H262" t="s">
        <v>27</v>
      </c>
      <c r="I262" t="s">
        <v>59</v>
      </c>
      <c r="J262" t="s">
        <v>20</v>
      </c>
      <c r="K262" t="s">
        <v>45</v>
      </c>
      <c r="L262" t="s">
        <v>54</v>
      </c>
      <c r="M262" t="s">
        <v>1493</v>
      </c>
    </row>
    <row r="263" spans="1:13" x14ac:dyDescent="0.3">
      <c r="A263" t="s">
        <v>1494</v>
      </c>
      <c r="B263" t="s">
        <v>24</v>
      </c>
      <c r="C263" t="s">
        <v>109</v>
      </c>
      <c r="D263" t="s">
        <v>71</v>
      </c>
      <c r="E263" t="s">
        <v>37</v>
      </c>
      <c r="F263" s="4" t="s">
        <v>1495</v>
      </c>
      <c r="G263" s="5">
        <f t="shared" si="4"/>
        <v>16.3</v>
      </c>
      <c r="H263" t="s">
        <v>27</v>
      </c>
      <c r="I263" t="s">
        <v>59</v>
      </c>
      <c r="J263" t="s">
        <v>29</v>
      </c>
      <c r="K263" t="s">
        <v>937</v>
      </c>
      <c r="L263" t="s">
        <v>31</v>
      </c>
      <c r="M263" t="s">
        <v>978</v>
      </c>
    </row>
    <row r="264" spans="1:13" x14ac:dyDescent="0.3">
      <c r="A264" t="s">
        <v>1496</v>
      </c>
      <c r="B264" t="s">
        <v>75</v>
      </c>
      <c r="C264" t="s">
        <v>999</v>
      </c>
      <c r="D264" t="s">
        <v>96</v>
      </c>
      <c r="E264" t="s">
        <v>37</v>
      </c>
      <c r="F264" s="4" t="s">
        <v>1497</v>
      </c>
      <c r="G264" s="5">
        <f t="shared" si="4"/>
        <v>20.9</v>
      </c>
      <c r="H264" t="s">
        <v>27</v>
      </c>
      <c r="I264" t="s">
        <v>28</v>
      </c>
      <c r="J264" t="s">
        <v>21</v>
      </c>
      <c r="K264" t="s">
        <v>878</v>
      </c>
      <c r="L264" t="s">
        <v>39</v>
      </c>
      <c r="M264" t="s">
        <v>1498</v>
      </c>
    </row>
    <row r="265" spans="1:13" x14ac:dyDescent="0.3">
      <c r="A265" t="s">
        <v>1499</v>
      </c>
      <c r="B265" t="s">
        <v>75</v>
      </c>
      <c r="C265" t="s">
        <v>109</v>
      </c>
      <c r="D265" t="s">
        <v>36</v>
      </c>
      <c r="E265" t="s">
        <v>116</v>
      </c>
      <c r="F265" s="4" t="s">
        <v>1500</v>
      </c>
      <c r="G265" s="5">
        <f t="shared" si="4"/>
        <v>9</v>
      </c>
      <c r="H265" t="s">
        <v>27</v>
      </c>
      <c r="I265" t="s">
        <v>28</v>
      </c>
      <c r="J265" t="s">
        <v>30</v>
      </c>
      <c r="K265" t="s">
        <v>46</v>
      </c>
      <c r="L265" t="s">
        <v>39</v>
      </c>
      <c r="M265" t="s">
        <v>862</v>
      </c>
    </row>
    <row r="266" spans="1:13" x14ac:dyDescent="0.3">
      <c r="A266" t="s">
        <v>1501</v>
      </c>
      <c r="B266" t="s">
        <v>864</v>
      </c>
      <c r="C266" t="s">
        <v>305</v>
      </c>
      <c r="D266" t="s">
        <v>64</v>
      </c>
      <c r="E266" t="s">
        <v>77</v>
      </c>
      <c r="F266" s="4" t="s">
        <v>1502</v>
      </c>
      <c r="G266" s="5">
        <f t="shared" si="4"/>
        <v>16</v>
      </c>
      <c r="H266" t="s">
        <v>27</v>
      </c>
      <c r="I266" t="s">
        <v>28</v>
      </c>
      <c r="J266" t="s">
        <v>21</v>
      </c>
      <c r="K266" t="s">
        <v>45</v>
      </c>
      <c r="L266" t="s">
        <v>937</v>
      </c>
      <c r="M266" t="s">
        <v>1498</v>
      </c>
    </row>
    <row r="267" spans="1:13" x14ac:dyDescent="0.3">
      <c r="A267" t="s">
        <v>1503</v>
      </c>
      <c r="B267" t="s">
        <v>24</v>
      </c>
      <c r="C267" t="s">
        <v>205</v>
      </c>
      <c r="D267" t="s">
        <v>26</v>
      </c>
      <c r="E267" t="s">
        <v>52</v>
      </c>
      <c r="F267" s="4" t="s">
        <v>1504</v>
      </c>
      <c r="G267" s="5">
        <f t="shared" si="4"/>
        <v>4.95</v>
      </c>
      <c r="H267" t="s">
        <v>53</v>
      </c>
      <c r="I267" t="s">
        <v>28</v>
      </c>
      <c r="J267" t="s">
        <v>854</v>
      </c>
      <c r="K267" t="s">
        <v>908</v>
      </c>
      <c r="L267" t="s">
        <v>874</v>
      </c>
      <c r="M267" t="s">
        <v>1169</v>
      </c>
    </row>
    <row r="268" spans="1:13" x14ac:dyDescent="0.3">
      <c r="A268" t="s">
        <v>1505</v>
      </c>
      <c r="B268" t="s">
        <v>852</v>
      </c>
      <c r="C268" t="s">
        <v>389</v>
      </c>
      <c r="D268" t="s">
        <v>76</v>
      </c>
      <c r="E268" t="s">
        <v>116</v>
      </c>
      <c r="F268" s="4" t="s">
        <v>1154</v>
      </c>
      <c r="G268" s="5">
        <f t="shared" si="4"/>
        <v>9.6</v>
      </c>
      <c r="H268" t="s">
        <v>27</v>
      </c>
      <c r="I268" t="s">
        <v>28</v>
      </c>
      <c r="J268" t="s">
        <v>908</v>
      </c>
      <c r="K268" t="s">
        <v>30</v>
      </c>
      <c r="L268" t="s">
        <v>39</v>
      </c>
      <c r="M268" t="s">
        <v>1486</v>
      </c>
    </row>
    <row r="269" spans="1:13" x14ac:dyDescent="0.3">
      <c r="A269" t="s">
        <v>1506</v>
      </c>
      <c r="B269" t="s">
        <v>62</v>
      </c>
      <c r="C269" t="s">
        <v>63</v>
      </c>
      <c r="D269" t="s">
        <v>81</v>
      </c>
      <c r="E269" t="s">
        <v>116</v>
      </c>
      <c r="F269" s="4" t="s">
        <v>1507</v>
      </c>
      <c r="G269" s="5">
        <f t="shared" si="4"/>
        <v>9.65</v>
      </c>
      <c r="H269" t="s">
        <v>27</v>
      </c>
      <c r="I269" t="s">
        <v>28</v>
      </c>
      <c r="J269" t="s">
        <v>30</v>
      </c>
      <c r="K269" t="s">
        <v>39</v>
      </c>
      <c r="L269" t="s">
        <v>20</v>
      </c>
      <c r="M269" t="s">
        <v>1508</v>
      </c>
    </row>
    <row r="270" spans="1:13" x14ac:dyDescent="0.3">
      <c r="A270" t="s">
        <v>1509</v>
      </c>
      <c r="B270" t="s">
        <v>960</v>
      </c>
      <c r="C270" t="s">
        <v>283</v>
      </c>
      <c r="D270" t="s">
        <v>64</v>
      </c>
      <c r="E270" t="s">
        <v>52</v>
      </c>
      <c r="F270" s="4" t="s">
        <v>971</v>
      </c>
      <c r="G270" s="5">
        <f t="shared" si="4"/>
        <v>6.9</v>
      </c>
      <c r="H270" t="s">
        <v>27</v>
      </c>
      <c r="I270" t="s">
        <v>28</v>
      </c>
      <c r="J270" t="s">
        <v>846</v>
      </c>
      <c r="K270" t="s">
        <v>937</v>
      </c>
      <c r="L270" t="s">
        <v>46</v>
      </c>
      <c r="M270" t="s">
        <v>1238</v>
      </c>
    </row>
    <row r="271" spans="1:13" x14ac:dyDescent="0.3">
      <c r="A271" t="s">
        <v>1510</v>
      </c>
      <c r="B271" t="s">
        <v>62</v>
      </c>
      <c r="C271" t="s">
        <v>1278</v>
      </c>
      <c r="D271" t="s">
        <v>96</v>
      </c>
      <c r="E271" t="s">
        <v>16</v>
      </c>
      <c r="F271" s="4" t="s">
        <v>1511</v>
      </c>
      <c r="G271" s="5">
        <f t="shared" si="4"/>
        <v>10.5</v>
      </c>
      <c r="H271" t="s">
        <v>27</v>
      </c>
      <c r="I271" t="s">
        <v>59</v>
      </c>
      <c r="J271" t="s">
        <v>30</v>
      </c>
      <c r="K271" t="s">
        <v>20</v>
      </c>
      <c r="L271" t="s">
        <v>878</v>
      </c>
      <c r="M271" t="s">
        <v>987</v>
      </c>
    </row>
    <row r="272" spans="1:13" x14ac:dyDescent="0.3">
      <c r="A272" t="s">
        <v>1512</v>
      </c>
      <c r="B272" t="s">
        <v>24</v>
      </c>
      <c r="C272" t="s">
        <v>283</v>
      </c>
      <c r="D272" t="s">
        <v>36</v>
      </c>
      <c r="E272" t="s">
        <v>116</v>
      </c>
      <c r="F272" s="4" t="s">
        <v>1513</v>
      </c>
      <c r="G272" s="5">
        <f t="shared" si="4"/>
        <v>8.15</v>
      </c>
      <c r="H272" t="s">
        <v>27</v>
      </c>
      <c r="I272" t="s">
        <v>28</v>
      </c>
      <c r="J272" t="s">
        <v>937</v>
      </c>
      <c r="K272" t="s">
        <v>54</v>
      </c>
      <c r="L272" t="s">
        <v>45</v>
      </c>
      <c r="M272" t="s">
        <v>1514</v>
      </c>
    </row>
    <row r="273" spans="1:13" x14ac:dyDescent="0.3">
      <c r="A273" t="s">
        <v>1515</v>
      </c>
      <c r="B273" t="s">
        <v>960</v>
      </c>
      <c r="C273" t="s">
        <v>260</v>
      </c>
      <c r="D273" t="s">
        <v>76</v>
      </c>
      <c r="E273" t="s">
        <v>37</v>
      </c>
      <c r="F273" s="4" t="s">
        <v>858</v>
      </c>
      <c r="G273" s="5">
        <f t="shared" si="4"/>
        <v>10.95</v>
      </c>
      <c r="H273" t="s">
        <v>27</v>
      </c>
      <c r="I273" t="s">
        <v>845</v>
      </c>
      <c r="J273" t="s">
        <v>937</v>
      </c>
      <c r="K273" t="s">
        <v>878</v>
      </c>
      <c r="L273" t="s">
        <v>874</v>
      </c>
      <c r="M273" t="s">
        <v>1359</v>
      </c>
    </row>
    <row r="274" spans="1:13" x14ac:dyDescent="0.3">
      <c r="A274" t="s">
        <v>1516</v>
      </c>
      <c r="B274" t="s">
        <v>49</v>
      </c>
      <c r="C274" t="s">
        <v>50</v>
      </c>
      <c r="D274" t="s">
        <v>64</v>
      </c>
      <c r="E274" t="s">
        <v>116</v>
      </c>
      <c r="F274" s="4" t="s">
        <v>1517</v>
      </c>
      <c r="G274" s="5">
        <f t="shared" si="4"/>
        <v>15.7</v>
      </c>
      <c r="H274" t="s">
        <v>27</v>
      </c>
      <c r="I274" t="s">
        <v>28</v>
      </c>
      <c r="J274" t="s">
        <v>878</v>
      </c>
      <c r="K274" t="s">
        <v>31</v>
      </c>
      <c r="L274" t="s">
        <v>846</v>
      </c>
      <c r="M274" t="s">
        <v>1090</v>
      </c>
    </row>
    <row r="275" spans="1:13" x14ac:dyDescent="0.3">
      <c r="A275" t="s">
        <v>1518</v>
      </c>
      <c r="B275" t="s">
        <v>42</v>
      </c>
      <c r="C275" t="s">
        <v>87</v>
      </c>
      <c r="D275" t="s">
        <v>96</v>
      </c>
      <c r="E275" t="s">
        <v>16</v>
      </c>
      <c r="F275" s="4" t="s">
        <v>1519</v>
      </c>
      <c r="G275" s="5">
        <f t="shared" si="4"/>
        <v>7.75</v>
      </c>
      <c r="H275" t="s">
        <v>27</v>
      </c>
      <c r="I275" t="s">
        <v>28</v>
      </c>
      <c r="J275" t="s">
        <v>20</v>
      </c>
      <c r="K275" t="s">
        <v>854</v>
      </c>
      <c r="L275" t="s">
        <v>39</v>
      </c>
      <c r="M275" t="s">
        <v>1520</v>
      </c>
    </row>
    <row r="276" spans="1:13" x14ac:dyDescent="0.3">
      <c r="A276" t="s">
        <v>1521</v>
      </c>
      <c r="B276" t="s">
        <v>852</v>
      </c>
      <c r="C276" t="s">
        <v>80</v>
      </c>
      <c r="D276" t="s">
        <v>36</v>
      </c>
      <c r="E276" t="s">
        <v>116</v>
      </c>
      <c r="F276" s="4" t="s">
        <v>1522</v>
      </c>
      <c r="G276" s="5">
        <f t="shared" si="4"/>
        <v>17.350000000000001</v>
      </c>
      <c r="H276" t="s">
        <v>27</v>
      </c>
      <c r="I276" t="s">
        <v>845</v>
      </c>
      <c r="J276" t="s">
        <v>908</v>
      </c>
      <c r="K276" t="s">
        <v>20</v>
      </c>
      <c r="L276" t="s">
        <v>39</v>
      </c>
      <c r="M276" t="s">
        <v>1305</v>
      </c>
    </row>
    <row r="277" spans="1:13" x14ac:dyDescent="0.3">
      <c r="A277" t="s">
        <v>1523</v>
      </c>
      <c r="B277" t="s">
        <v>42</v>
      </c>
      <c r="C277" t="s">
        <v>211</v>
      </c>
      <c r="D277" t="s">
        <v>15</v>
      </c>
      <c r="E277" t="s">
        <v>37</v>
      </c>
      <c r="F277" s="4" t="s">
        <v>1524</v>
      </c>
      <c r="G277" s="5">
        <f t="shared" si="4"/>
        <v>13.65</v>
      </c>
      <c r="H277" t="s">
        <v>27</v>
      </c>
      <c r="I277" t="s">
        <v>28</v>
      </c>
      <c r="J277" t="s">
        <v>45</v>
      </c>
      <c r="K277" t="s">
        <v>874</v>
      </c>
      <c r="L277" t="s">
        <v>854</v>
      </c>
      <c r="M277" t="s">
        <v>1525</v>
      </c>
    </row>
    <row r="278" spans="1:13" x14ac:dyDescent="0.3">
      <c r="A278" t="s">
        <v>1526</v>
      </c>
      <c r="B278" t="s">
        <v>49</v>
      </c>
      <c r="C278" t="s">
        <v>99</v>
      </c>
      <c r="D278" t="s">
        <v>36</v>
      </c>
      <c r="E278" t="s">
        <v>16</v>
      </c>
      <c r="F278" s="4" t="s">
        <v>1527</v>
      </c>
      <c r="G278" s="5">
        <f t="shared" si="4"/>
        <v>6.75</v>
      </c>
      <c r="H278" t="s">
        <v>17</v>
      </c>
      <c r="I278" t="s">
        <v>845</v>
      </c>
      <c r="J278" t="s">
        <v>45</v>
      </c>
      <c r="K278" t="s">
        <v>54</v>
      </c>
      <c r="L278" t="s">
        <v>878</v>
      </c>
      <c r="M278" t="s">
        <v>1142</v>
      </c>
    </row>
    <row r="279" spans="1:13" x14ac:dyDescent="0.3">
      <c r="A279" t="s">
        <v>1528</v>
      </c>
      <c r="B279" t="s">
        <v>852</v>
      </c>
      <c r="C279" t="s">
        <v>1320</v>
      </c>
      <c r="D279" t="s">
        <v>51</v>
      </c>
      <c r="E279" t="s">
        <v>77</v>
      </c>
      <c r="F279" s="4" t="s">
        <v>1529</v>
      </c>
      <c r="G279" s="5">
        <f t="shared" si="4"/>
        <v>31.45</v>
      </c>
      <c r="H279" t="s">
        <v>27</v>
      </c>
      <c r="I279" t="s">
        <v>59</v>
      </c>
      <c r="J279" t="s">
        <v>46</v>
      </c>
      <c r="K279" t="s">
        <v>31</v>
      </c>
      <c r="L279" t="s">
        <v>39</v>
      </c>
      <c r="M279" t="s">
        <v>1530</v>
      </c>
    </row>
    <row r="280" spans="1:13" x14ac:dyDescent="0.3">
      <c r="A280" t="s">
        <v>1531</v>
      </c>
      <c r="B280" t="s">
        <v>960</v>
      </c>
      <c r="C280" t="s">
        <v>214</v>
      </c>
      <c r="D280" t="s">
        <v>26</v>
      </c>
      <c r="E280" t="s">
        <v>16</v>
      </c>
      <c r="F280" s="4" t="s">
        <v>1092</v>
      </c>
      <c r="G280" s="5">
        <f t="shared" si="4"/>
        <v>6.4</v>
      </c>
      <c r="H280" t="s">
        <v>27</v>
      </c>
      <c r="I280" t="s">
        <v>28</v>
      </c>
      <c r="J280" t="s">
        <v>878</v>
      </c>
      <c r="K280" t="s">
        <v>46</v>
      </c>
      <c r="L280" t="s">
        <v>29</v>
      </c>
      <c r="M280" t="s">
        <v>1532</v>
      </c>
    </row>
    <row r="281" spans="1:13" x14ac:dyDescent="0.3">
      <c r="A281" t="s">
        <v>1533</v>
      </c>
      <c r="B281" t="s">
        <v>960</v>
      </c>
      <c r="C281" t="s">
        <v>63</v>
      </c>
      <c r="D281" t="s">
        <v>51</v>
      </c>
      <c r="E281" t="s">
        <v>116</v>
      </c>
      <c r="F281" s="4" t="s">
        <v>1000</v>
      </c>
      <c r="G281" s="5">
        <f t="shared" si="4"/>
        <v>14.05</v>
      </c>
      <c r="H281" t="s">
        <v>27</v>
      </c>
      <c r="I281" t="s">
        <v>845</v>
      </c>
      <c r="J281" t="s">
        <v>39</v>
      </c>
      <c r="K281" t="s">
        <v>937</v>
      </c>
      <c r="L281" t="s">
        <v>45</v>
      </c>
      <c r="M281" t="s">
        <v>1077</v>
      </c>
    </row>
    <row r="282" spans="1:13" x14ac:dyDescent="0.3">
      <c r="A282" t="s">
        <v>1534</v>
      </c>
      <c r="B282" t="s">
        <v>49</v>
      </c>
      <c r="C282" t="s">
        <v>87</v>
      </c>
      <c r="D282" t="s">
        <v>26</v>
      </c>
      <c r="E282" t="s">
        <v>37</v>
      </c>
      <c r="F282" s="4" t="s">
        <v>1495</v>
      </c>
      <c r="G282" s="5">
        <f t="shared" si="4"/>
        <v>16.3</v>
      </c>
      <c r="H282" t="s">
        <v>27</v>
      </c>
      <c r="I282" t="s">
        <v>28</v>
      </c>
      <c r="J282" t="s">
        <v>854</v>
      </c>
      <c r="K282" t="s">
        <v>31</v>
      </c>
      <c r="L282" t="s">
        <v>30</v>
      </c>
      <c r="M282" t="s">
        <v>889</v>
      </c>
    </row>
    <row r="283" spans="1:13" x14ac:dyDescent="0.3">
      <c r="A283" t="s">
        <v>1535</v>
      </c>
      <c r="B283" t="s">
        <v>49</v>
      </c>
      <c r="C283" t="s">
        <v>205</v>
      </c>
      <c r="D283" t="s">
        <v>71</v>
      </c>
      <c r="E283" t="s">
        <v>52</v>
      </c>
      <c r="F283" s="4" t="s">
        <v>873</v>
      </c>
      <c r="G283" s="5">
        <f t="shared" si="4"/>
        <v>7.55</v>
      </c>
      <c r="H283" t="s">
        <v>27</v>
      </c>
      <c r="I283" t="s">
        <v>28</v>
      </c>
      <c r="J283" t="s">
        <v>878</v>
      </c>
      <c r="K283" t="s">
        <v>54</v>
      </c>
      <c r="L283" t="s">
        <v>30</v>
      </c>
      <c r="M283" t="s">
        <v>1158</v>
      </c>
    </row>
    <row r="284" spans="1:13" x14ac:dyDescent="0.3">
      <c r="A284" t="s">
        <v>1536</v>
      </c>
      <c r="B284" t="s">
        <v>62</v>
      </c>
      <c r="C284" t="s">
        <v>123</v>
      </c>
      <c r="D284" t="s">
        <v>76</v>
      </c>
      <c r="E284" t="s">
        <v>52</v>
      </c>
      <c r="F284" s="4" t="s">
        <v>1098</v>
      </c>
      <c r="G284" s="5">
        <f t="shared" si="4"/>
        <v>4.0999999999999996</v>
      </c>
      <c r="H284" t="s">
        <v>53</v>
      </c>
      <c r="I284" t="s">
        <v>59</v>
      </c>
      <c r="J284" t="s">
        <v>20</v>
      </c>
      <c r="K284" t="s">
        <v>846</v>
      </c>
      <c r="L284" t="s">
        <v>29</v>
      </c>
      <c r="M284" t="s">
        <v>1468</v>
      </c>
    </row>
    <row r="285" spans="1:13" x14ac:dyDescent="0.3">
      <c r="A285" t="s">
        <v>1537</v>
      </c>
      <c r="B285" t="s">
        <v>960</v>
      </c>
      <c r="C285" t="s">
        <v>441</v>
      </c>
      <c r="D285" t="s">
        <v>15</v>
      </c>
      <c r="E285" t="s">
        <v>16</v>
      </c>
      <c r="F285" s="4" t="s">
        <v>1290</v>
      </c>
      <c r="G285" s="5">
        <f t="shared" si="4"/>
        <v>7.85</v>
      </c>
      <c r="H285" t="s">
        <v>27</v>
      </c>
      <c r="I285" t="s">
        <v>845</v>
      </c>
      <c r="J285" t="s">
        <v>937</v>
      </c>
      <c r="K285" t="s">
        <v>46</v>
      </c>
      <c r="L285" t="s">
        <v>846</v>
      </c>
      <c r="M285" t="s">
        <v>1300</v>
      </c>
    </row>
    <row r="286" spans="1:13" x14ac:dyDescent="0.3">
      <c r="A286" t="s">
        <v>1538</v>
      </c>
      <c r="B286" t="s">
        <v>960</v>
      </c>
      <c r="C286" t="s">
        <v>953</v>
      </c>
      <c r="D286" t="s">
        <v>71</v>
      </c>
      <c r="E286" t="s">
        <v>116</v>
      </c>
      <c r="F286" s="4" t="s">
        <v>1539</v>
      </c>
      <c r="G286" s="5">
        <f t="shared" si="4"/>
        <v>9.3000000000000007</v>
      </c>
      <c r="H286" t="s">
        <v>17</v>
      </c>
      <c r="I286" t="s">
        <v>28</v>
      </c>
      <c r="J286" t="s">
        <v>30</v>
      </c>
      <c r="K286" t="s">
        <v>39</v>
      </c>
      <c r="L286" t="s">
        <v>46</v>
      </c>
      <c r="M286" t="s">
        <v>1131</v>
      </c>
    </row>
    <row r="287" spans="1:13" x14ac:dyDescent="0.3">
      <c r="A287" t="s">
        <v>1540</v>
      </c>
      <c r="B287" t="s">
        <v>960</v>
      </c>
      <c r="C287" t="s">
        <v>992</v>
      </c>
      <c r="D287" t="s">
        <v>76</v>
      </c>
      <c r="E287" t="s">
        <v>16</v>
      </c>
      <c r="F287" s="4" t="s">
        <v>1541</v>
      </c>
      <c r="G287" s="5">
        <f t="shared" si="4"/>
        <v>9.75</v>
      </c>
      <c r="H287" t="s">
        <v>27</v>
      </c>
      <c r="I287" t="s">
        <v>28</v>
      </c>
      <c r="J287" t="s">
        <v>937</v>
      </c>
      <c r="K287" t="s">
        <v>45</v>
      </c>
      <c r="L287" t="s">
        <v>46</v>
      </c>
      <c r="M287" t="s">
        <v>1542</v>
      </c>
    </row>
    <row r="288" spans="1:13" x14ac:dyDescent="0.3">
      <c r="A288" t="s">
        <v>1543</v>
      </c>
      <c r="B288" t="s">
        <v>864</v>
      </c>
      <c r="C288" t="s">
        <v>1127</v>
      </c>
      <c r="D288" t="s">
        <v>26</v>
      </c>
      <c r="E288" t="s">
        <v>52</v>
      </c>
      <c r="F288" s="4" t="s">
        <v>1061</v>
      </c>
      <c r="G288" s="5">
        <f t="shared" si="4"/>
        <v>4.05</v>
      </c>
      <c r="H288" t="s">
        <v>53</v>
      </c>
      <c r="I288" t="s">
        <v>845</v>
      </c>
      <c r="J288" t="s">
        <v>30</v>
      </c>
      <c r="K288" t="s">
        <v>937</v>
      </c>
      <c r="L288" t="s">
        <v>21</v>
      </c>
      <c r="M288" t="s">
        <v>1280</v>
      </c>
    </row>
    <row r="289" spans="1:13" x14ac:dyDescent="0.3">
      <c r="A289" t="s">
        <v>1544</v>
      </c>
      <c r="B289" t="s">
        <v>996</v>
      </c>
      <c r="C289" t="s">
        <v>125</v>
      </c>
      <c r="D289" t="s">
        <v>96</v>
      </c>
      <c r="E289" t="s">
        <v>52</v>
      </c>
      <c r="F289" s="4" t="s">
        <v>1545</v>
      </c>
      <c r="G289" s="5">
        <f t="shared" si="4"/>
        <v>7.65</v>
      </c>
      <c r="H289" t="s">
        <v>27</v>
      </c>
      <c r="I289" t="s">
        <v>845</v>
      </c>
      <c r="J289" t="s">
        <v>39</v>
      </c>
      <c r="K289" t="s">
        <v>854</v>
      </c>
      <c r="L289" t="s">
        <v>31</v>
      </c>
      <c r="M289" t="s">
        <v>904</v>
      </c>
    </row>
    <row r="290" spans="1:13" x14ac:dyDescent="0.3">
      <c r="A290" t="s">
        <v>1546</v>
      </c>
      <c r="B290" t="s">
        <v>75</v>
      </c>
      <c r="C290" t="s">
        <v>1367</v>
      </c>
      <c r="D290" t="s">
        <v>26</v>
      </c>
      <c r="E290" t="s">
        <v>116</v>
      </c>
      <c r="F290" s="4" t="s">
        <v>1547</v>
      </c>
      <c r="G290" s="5">
        <f t="shared" si="4"/>
        <v>14.3</v>
      </c>
      <c r="H290" t="s">
        <v>27</v>
      </c>
      <c r="I290" t="s">
        <v>28</v>
      </c>
      <c r="J290" t="s">
        <v>30</v>
      </c>
      <c r="K290" t="s">
        <v>846</v>
      </c>
      <c r="L290" t="s">
        <v>31</v>
      </c>
      <c r="M290" t="s">
        <v>1548</v>
      </c>
    </row>
    <row r="291" spans="1:13" x14ac:dyDescent="0.3">
      <c r="A291" t="s">
        <v>1549</v>
      </c>
      <c r="B291" t="s">
        <v>49</v>
      </c>
      <c r="C291" t="s">
        <v>14</v>
      </c>
      <c r="D291" t="s">
        <v>96</v>
      </c>
      <c r="E291" t="s">
        <v>16</v>
      </c>
      <c r="F291" s="4" t="s">
        <v>1385</v>
      </c>
      <c r="G291" s="5">
        <f t="shared" si="4"/>
        <v>6.55</v>
      </c>
      <c r="H291" t="s">
        <v>27</v>
      </c>
      <c r="I291" t="s">
        <v>845</v>
      </c>
      <c r="J291" t="s">
        <v>31</v>
      </c>
      <c r="K291" t="s">
        <v>21</v>
      </c>
      <c r="L291" t="s">
        <v>846</v>
      </c>
      <c r="M291" t="s">
        <v>1108</v>
      </c>
    </row>
    <row r="292" spans="1:13" x14ac:dyDescent="0.3">
      <c r="A292" t="s">
        <v>1550</v>
      </c>
      <c r="B292" t="s">
        <v>75</v>
      </c>
      <c r="C292" t="s">
        <v>441</v>
      </c>
      <c r="D292" t="s">
        <v>15</v>
      </c>
      <c r="E292" t="s">
        <v>37</v>
      </c>
      <c r="F292" s="4" t="s">
        <v>1551</v>
      </c>
      <c r="G292" s="5">
        <f t="shared" si="4"/>
        <v>11.05</v>
      </c>
      <c r="H292" t="s">
        <v>27</v>
      </c>
      <c r="I292" t="s">
        <v>28</v>
      </c>
      <c r="J292" t="s">
        <v>31</v>
      </c>
      <c r="K292" t="s">
        <v>54</v>
      </c>
      <c r="L292" t="s">
        <v>874</v>
      </c>
      <c r="M292" t="s">
        <v>1074</v>
      </c>
    </row>
    <row r="293" spans="1:13" x14ac:dyDescent="0.3">
      <c r="A293" t="s">
        <v>1552</v>
      </c>
      <c r="B293" t="s">
        <v>62</v>
      </c>
      <c r="C293" t="s">
        <v>899</v>
      </c>
      <c r="D293" t="s">
        <v>64</v>
      </c>
      <c r="E293" t="s">
        <v>116</v>
      </c>
      <c r="F293" s="4" t="s">
        <v>1553</v>
      </c>
      <c r="G293" s="5">
        <f t="shared" si="4"/>
        <v>15.25</v>
      </c>
      <c r="H293" t="s">
        <v>27</v>
      </c>
      <c r="I293" t="s">
        <v>28</v>
      </c>
      <c r="J293" t="s">
        <v>20</v>
      </c>
      <c r="K293" t="s">
        <v>54</v>
      </c>
      <c r="L293" t="s">
        <v>878</v>
      </c>
      <c r="M293" t="s">
        <v>1200</v>
      </c>
    </row>
    <row r="294" spans="1:13" x14ac:dyDescent="0.3">
      <c r="A294" t="s">
        <v>1554</v>
      </c>
      <c r="B294" t="s">
        <v>24</v>
      </c>
      <c r="C294" t="s">
        <v>214</v>
      </c>
      <c r="D294" t="s">
        <v>51</v>
      </c>
      <c r="E294" t="s">
        <v>37</v>
      </c>
      <c r="F294" s="4" t="s">
        <v>1555</v>
      </c>
      <c r="G294" s="5">
        <f t="shared" si="4"/>
        <v>19.3</v>
      </c>
      <c r="H294" t="s">
        <v>27</v>
      </c>
      <c r="I294" t="s">
        <v>845</v>
      </c>
      <c r="J294" t="s">
        <v>39</v>
      </c>
      <c r="K294" t="s">
        <v>878</v>
      </c>
      <c r="L294" t="s">
        <v>20</v>
      </c>
      <c r="M294" t="s">
        <v>1174</v>
      </c>
    </row>
    <row r="295" spans="1:13" x14ac:dyDescent="0.3">
      <c r="A295" t="s">
        <v>1556</v>
      </c>
      <c r="B295" t="s">
        <v>996</v>
      </c>
      <c r="C295" t="s">
        <v>191</v>
      </c>
      <c r="D295" t="s">
        <v>36</v>
      </c>
      <c r="E295" t="s">
        <v>116</v>
      </c>
      <c r="F295" s="4" t="s">
        <v>1557</v>
      </c>
      <c r="G295" s="5">
        <f t="shared" si="4"/>
        <v>8.5</v>
      </c>
      <c r="H295" t="s">
        <v>27</v>
      </c>
      <c r="I295" t="s">
        <v>28</v>
      </c>
      <c r="J295" t="s">
        <v>39</v>
      </c>
      <c r="K295" t="s">
        <v>874</v>
      </c>
      <c r="L295" t="s">
        <v>31</v>
      </c>
      <c r="M295" t="s">
        <v>1508</v>
      </c>
    </row>
    <row r="296" spans="1:13" x14ac:dyDescent="0.3">
      <c r="A296" t="s">
        <v>1558</v>
      </c>
      <c r="B296" t="s">
        <v>996</v>
      </c>
      <c r="C296" t="s">
        <v>152</v>
      </c>
      <c r="D296" t="s">
        <v>26</v>
      </c>
      <c r="E296" t="s">
        <v>37</v>
      </c>
      <c r="F296" s="4" t="s">
        <v>1026</v>
      </c>
      <c r="G296" s="5">
        <f t="shared" si="4"/>
        <v>17.600000000000001</v>
      </c>
      <c r="H296" t="s">
        <v>17</v>
      </c>
      <c r="I296" t="s">
        <v>59</v>
      </c>
      <c r="J296" t="s">
        <v>20</v>
      </c>
      <c r="K296" t="s">
        <v>46</v>
      </c>
      <c r="L296" t="s">
        <v>937</v>
      </c>
      <c r="M296" t="s">
        <v>1150</v>
      </c>
    </row>
    <row r="297" spans="1:13" x14ac:dyDescent="0.3">
      <c r="A297" t="s">
        <v>1559</v>
      </c>
      <c r="B297" t="s">
        <v>62</v>
      </c>
      <c r="C297" t="s">
        <v>321</v>
      </c>
      <c r="D297" t="s">
        <v>36</v>
      </c>
      <c r="E297" t="s">
        <v>52</v>
      </c>
      <c r="F297" s="4" t="s">
        <v>1560</v>
      </c>
      <c r="G297" s="5">
        <f t="shared" si="4"/>
        <v>2.25</v>
      </c>
      <c r="H297" t="s">
        <v>53</v>
      </c>
      <c r="I297" t="s">
        <v>28</v>
      </c>
      <c r="J297" t="s">
        <v>20</v>
      </c>
      <c r="K297" t="s">
        <v>854</v>
      </c>
      <c r="L297" t="s">
        <v>874</v>
      </c>
      <c r="M297" t="s">
        <v>1561</v>
      </c>
    </row>
    <row r="298" spans="1:13" x14ac:dyDescent="0.3">
      <c r="A298" t="s">
        <v>1562</v>
      </c>
      <c r="B298" t="s">
        <v>49</v>
      </c>
      <c r="C298" t="s">
        <v>288</v>
      </c>
      <c r="D298" t="s">
        <v>51</v>
      </c>
      <c r="E298" t="s">
        <v>52</v>
      </c>
      <c r="F298" s="4" t="s">
        <v>1439</v>
      </c>
      <c r="G298" s="5">
        <f t="shared" si="4"/>
        <v>2.85</v>
      </c>
      <c r="H298" t="s">
        <v>53</v>
      </c>
      <c r="I298" t="s">
        <v>59</v>
      </c>
      <c r="J298" t="s">
        <v>878</v>
      </c>
      <c r="K298" t="s">
        <v>21</v>
      </c>
      <c r="L298" t="s">
        <v>908</v>
      </c>
      <c r="M298" t="s">
        <v>1548</v>
      </c>
    </row>
    <row r="299" spans="1:13" x14ac:dyDescent="0.3">
      <c r="A299" t="s">
        <v>1563</v>
      </c>
      <c r="B299" t="s">
        <v>852</v>
      </c>
      <c r="C299" t="s">
        <v>63</v>
      </c>
      <c r="D299" t="s">
        <v>81</v>
      </c>
      <c r="E299" t="s">
        <v>77</v>
      </c>
      <c r="F299" s="4" t="s">
        <v>1564</v>
      </c>
      <c r="G299" s="5">
        <f t="shared" si="4"/>
        <v>44.5</v>
      </c>
      <c r="H299" t="s">
        <v>27</v>
      </c>
      <c r="I299" t="s">
        <v>845</v>
      </c>
      <c r="J299" t="s">
        <v>46</v>
      </c>
      <c r="K299" t="s">
        <v>45</v>
      </c>
      <c r="L299" t="s">
        <v>54</v>
      </c>
      <c r="M299" t="s">
        <v>855</v>
      </c>
    </row>
    <row r="300" spans="1:13" x14ac:dyDescent="0.3">
      <c r="A300" t="s">
        <v>1565</v>
      </c>
      <c r="B300" t="s">
        <v>864</v>
      </c>
      <c r="C300" t="s">
        <v>321</v>
      </c>
      <c r="D300" t="s">
        <v>81</v>
      </c>
      <c r="E300" t="s">
        <v>77</v>
      </c>
      <c r="F300" s="4" t="s">
        <v>1566</v>
      </c>
      <c r="G300" s="5">
        <f t="shared" si="4"/>
        <v>26.5</v>
      </c>
      <c r="H300" t="s">
        <v>27</v>
      </c>
      <c r="I300" t="s">
        <v>28</v>
      </c>
      <c r="J300" t="s">
        <v>54</v>
      </c>
      <c r="K300" t="s">
        <v>846</v>
      </c>
      <c r="L300" t="s">
        <v>21</v>
      </c>
      <c r="M300" t="s">
        <v>1468</v>
      </c>
    </row>
    <row r="301" spans="1:13" x14ac:dyDescent="0.3">
      <c r="A301" t="s">
        <v>1567</v>
      </c>
      <c r="B301" t="s">
        <v>75</v>
      </c>
      <c r="C301" t="s">
        <v>211</v>
      </c>
      <c r="D301" t="s">
        <v>44</v>
      </c>
      <c r="E301" t="s">
        <v>77</v>
      </c>
      <c r="F301" s="4" t="s">
        <v>1568</v>
      </c>
      <c r="G301" s="5">
        <f t="shared" si="4"/>
        <v>40.200000000000003</v>
      </c>
      <c r="H301" t="s">
        <v>27</v>
      </c>
      <c r="I301" t="s">
        <v>28</v>
      </c>
      <c r="J301" t="s">
        <v>39</v>
      </c>
      <c r="K301" t="s">
        <v>29</v>
      </c>
      <c r="L301" t="s">
        <v>45</v>
      </c>
      <c r="M301" t="s">
        <v>1569</v>
      </c>
    </row>
    <row r="302" spans="1:13" x14ac:dyDescent="0.3">
      <c r="A302" t="s">
        <v>1570</v>
      </c>
      <c r="B302" t="s">
        <v>49</v>
      </c>
      <c r="C302" t="s">
        <v>93</v>
      </c>
      <c r="D302" t="s">
        <v>15</v>
      </c>
      <c r="E302" t="s">
        <v>77</v>
      </c>
      <c r="F302" s="4" t="s">
        <v>920</v>
      </c>
      <c r="G302" s="5">
        <f t="shared" si="4"/>
        <v>17.25</v>
      </c>
      <c r="H302" t="s">
        <v>27</v>
      </c>
      <c r="I302" t="s">
        <v>28</v>
      </c>
      <c r="J302" t="s">
        <v>54</v>
      </c>
      <c r="K302" t="s">
        <v>45</v>
      </c>
      <c r="L302" t="s">
        <v>21</v>
      </c>
      <c r="M302" t="s">
        <v>934</v>
      </c>
    </row>
    <row r="303" spans="1:13" x14ac:dyDescent="0.3">
      <c r="A303" t="s">
        <v>1571</v>
      </c>
      <c r="B303" t="s">
        <v>24</v>
      </c>
      <c r="C303" t="s">
        <v>152</v>
      </c>
      <c r="D303" t="s">
        <v>76</v>
      </c>
      <c r="E303" t="s">
        <v>77</v>
      </c>
      <c r="F303" s="4" t="s">
        <v>1572</v>
      </c>
      <c r="G303" s="5">
        <f t="shared" si="4"/>
        <v>40.25</v>
      </c>
      <c r="H303" t="s">
        <v>27</v>
      </c>
      <c r="I303" t="s">
        <v>28</v>
      </c>
      <c r="J303" t="s">
        <v>908</v>
      </c>
      <c r="K303" t="s">
        <v>20</v>
      </c>
      <c r="L303" t="s">
        <v>39</v>
      </c>
      <c r="M303" t="s">
        <v>934</v>
      </c>
    </row>
    <row r="304" spans="1:13" x14ac:dyDescent="0.3">
      <c r="A304" t="s">
        <v>1573</v>
      </c>
      <c r="B304" t="s">
        <v>864</v>
      </c>
      <c r="C304" t="s">
        <v>109</v>
      </c>
      <c r="D304" t="s">
        <v>96</v>
      </c>
      <c r="E304" t="s">
        <v>52</v>
      </c>
      <c r="F304" s="4" t="s">
        <v>1348</v>
      </c>
      <c r="G304" s="5">
        <f t="shared" si="4"/>
        <v>3.85</v>
      </c>
      <c r="H304" t="s">
        <v>17</v>
      </c>
      <c r="I304" t="s">
        <v>845</v>
      </c>
      <c r="J304" t="s">
        <v>908</v>
      </c>
      <c r="K304" t="s">
        <v>846</v>
      </c>
      <c r="L304" t="s">
        <v>21</v>
      </c>
      <c r="M304" t="s">
        <v>1024</v>
      </c>
    </row>
    <row r="305" spans="1:13" x14ac:dyDescent="0.3">
      <c r="A305" t="s">
        <v>1574</v>
      </c>
      <c r="B305" t="s">
        <v>864</v>
      </c>
      <c r="C305" t="s">
        <v>93</v>
      </c>
      <c r="D305" t="s">
        <v>81</v>
      </c>
      <c r="E305" t="s">
        <v>116</v>
      </c>
      <c r="F305" s="4" t="s">
        <v>1204</v>
      </c>
      <c r="G305" s="5">
        <f t="shared" si="4"/>
        <v>8.8000000000000007</v>
      </c>
      <c r="H305" t="s">
        <v>27</v>
      </c>
      <c r="I305" t="s">
        <v>28</v>
      </c>
      <c r="J305" t="s">
        <v>31</v>
      </c>
      <c r="K305" t="s">
        <v>846</v>
      </c>
      <c r="L305" t="s">
        <v>45</v>
      </c>
      <c r="M305" t="s">
        <v>1399</v>
      </c>
    </row>
    <row r="306" spans="1:13" x14ac:dyDescent="0.3">
      <c r="A306" t="s">
        <v>1575</v>
      </c>
      <c r="B306" t="s">
        <v>996</v>
      </c>
      <c r="C306" t="s">
        <v>857</v>
      </c>
      <c r="D306" t="s">
        <v>15</v>
      </c>
      <c r="E306" t="s">
        <v>77</v>
      </c>
      <c r="F306" s="4" t="s">
        <v>1576</v>
      </c>
      <c r="G306" s="5">
        <f t="shared" si="4"/>
        <v>18</v>
      </c>
      <c r="H306" t="s">
        <v>27</v>
      </c>
      <c r="I306" t="s">
        <v>59</v>
      </c>
      <c r="J306" t="s">
        <v>39</v>
      </c>
      <c r="K306" t="s">
        <v>20</v>
      </c>
      <c r="L306" t="s">
        <v>937</v>
      </c>
      <c r="M306" t="s">
        <v>951</v>
      </c>
    </row>
    <row r="307" spans="1:13" x14ac:dyDescent="0.3">
      <c r="A307" t="s">
        <v>1577</v>
      </c>
      <c r="B307" t="s">
        <v>996</v>
      </c>
      <c r="C307" t="s">
        <v>288</v>
      </c>
      <c r="D307" t="s">
        <v>81</v>
      </c>
      <c r="E307" t="s">
        <v>116</v>
      </c>
      <c r="F307" s="4" t="s">
        <v>1578</v>
      </c>
      <c r="G307" s="5">
        <f t="shared" si="4"/>
        <v>10.3</v>
      </c>
      <c r="H307" t="s">
        <v>27</v>
      </c>
      <c r="I307" t="s">
        <v>28</v>
      </c>
      <c r="J307" t="s">
        <v>20</v>
      </c>
      <c r="K307" t="s">
        <v>937</v>
      </c>
      <c r="L307" t="s">
        <v>46</v>
      </c>
      <c r="M307" t="s">
        <v>1579</v>
      </c>
    </row>
    <row r="308" spans="1:13" x14ac:dyDescent="0.3">
      <c r="A308" t="s">
        <v>1580</v>
      </c>
      <c r="B308" t="s">
        <v>42</v>
      </c>
      <c r="C308" t="s">
        <v>63</v>
      </c>
      <c r="D308" t="s">
        <v>36</v>
      </c>
      <c r="E308" t="s">
        <v>52</v>
      </c>
      <c r="F308" s="4" t="s">
        <v>1581</v>
      </c>
      <c r="G308" s="5">
        <f t="shared" si="4"/>
        <v>3.55</v>
      </c>
      <c r="H308" t="s">
        <v>17</v>
      </c>
      <c r="I308" t="s">
        <v>845</v>
      </c>
      <c r="J308" t="s">
        <v>854</v>
      </c>
      <c r="K308" t="s">
        <v>46</v>
      </c>
      <c r="L308" t="s">
        <v>20</v>
      </c>
      <c r="M308" t="s">
        <v>1115</v>
      </c>
    </row>
    <row r="309" spans="1:13" x14ac:dyDescent="0.3">
      <c r="A309" t="s">
        <v>1582</v>
      </c>
      <c r="B309" t="s">
        <v>42</v>
      </c>
      <c r="C309" t="s">
        <v>899</v>
      </c>
      <c r="D309" t="s">
        <v>51</v>
      </c>
      <c r="E309" t="s">
        <v>116</v>
      </c>
      <c r="F309" s="4" t="s">
        <v>914</v>
      </c>
      <c r="G309" s="5">
        <f t="shared" si="4"/>
        <v>14.9</v>
      </c>
      <c r="H309" t="s">
        <v>17</v>
      </c>
      <c r="I309" t="s">
        <v>845</v>
      </c>
      <c r="J309" t="s">
        <v>31</v>
      </c>
      <c r="K309" t="s">
        <v>854</v>
      </c>
      <c r="L309" t="s">
        <v>20</v>
      </c>
      <c r="M309" t="s">
        <v>1583</v>
      </c>
    </row>
    <row r="310" spans="1:13" x14ac:dyDescent="0.3">
      <c r="A310" t="s">
        <v>1584</v>
      </c>
      <c r="B310" t="s">
        <v>75</v>
      </c>
      <c r="C310" t="s">
        <v>188</v>
      </c>
      <c r="D310" t="s">
        <v>44</v>
      </c>
      <c r="E310" t="s">
        <v>77</v>
      </c>
      <c r="F310" s="4" t="s">
        <v>1585</v>
      </c>
      <c r="G310" s="5">
        <f t="shared" si="4"/>
        <v>32.6</v>
      </c>
      <c r="H310" t="s">
        <v>17</v>
      </c>
      <c r="I310" t="s">
        <v>59</v>
      </c>
      <c r="J310" t="s">
        <v>31</v>
      </c>
      <c r="K310" t="s">
        <v>54</v>
      </c>
      <c r="L310" t="s">
        <v>878</v>
      </c>
      <c r="M310" t="s">
        <v>847</v>
      </c>
    </row>
    <row r="311" spans="1:13" x14ac:dyDescent="0.3">
      <c r="A311" t="s">
        <v>1586</v>
      </c>
      <c r="B311" t="s">
        <v>75</v>
      </c>
      <c r="C311" t="s">
        <v>1367</v>
      </c>
      <c r="D311" t="s">
        <v>44</v>
      </c>
      <c r="E311" t="s">
        <v>116</v>
      </c>
      <c r="F311" s="4" t="s">
        <v>1578</v>
      </c>
      <c r="G311" s="5">
        <f t="shared" si="4"/>
        <v>10.3</v>
      </c>
      <c r="H311" t="s">
        <v>27</v>
      </c>
      <c r="I311" t="s">
        <v>28</v>
      </c>
      <c r="J311" t="s">
        <v>21</v>
      </c>
      <c r="K311" t="s">
        <v>46</v>
      </c>
      <c r="L311" t="s">
        <v>54</v>
      </c>
      <c r="M311" t="s">
        <v>1587</v>
      </c>
    </row>
    <row r="312" spans="1:13" x14ac:dyDescent="0.3">
      <c r="A312" t="s">
        <v>1588</v>
      </c>
      <c r="B312" t="s">
        <v>960</v>
      </c>
      <c r="C312" t="s">
        <v>288</v>
      </c>
      <c r="D312" t="s">
        <v>15</v>
      </c>
      <c r="E312" t="s">
        <v>16</v>
      </c>
      <c r="F312" s="4" t="s">
        <v>1578</v>
      </c>
      <c r="G312" s="5">
        <f t="shared" si="4"/>
        <v>10.3</v>
      </c>
      <c r="H312" t="s">
        <v>27</v>
      </c>
      <c r="I312" t="s">
        <v>845</v>
      </c>
      <c r="J312" t="s">
        <v>878</v>
      </c>
      <c r="K312" t="s">
        <v>29</v>
      </c>
      <c r="L312" t="s">
        <v>846</v>
      </c>
      <c r="M312" t="s">
        <v>1589</v>
      </c>
    </row>
    <row r="313" spans="1:13" x14ac:dyDescent="0.3">
      <c r="A313" t="s">
        <v>1590</v>
      </c>
      <c r="B313" t="s">
        <v>960</v>
      </c>
      <c r="C313" t="s">
        <v>271</v>
      </c>
      <c r="D313" t="s">
        <v>26</v>
      </c>
      <c r="E313" t="s">
        <v>77</v>
      </c>
      <c r="F313" s="4" t="s">
        <v>1591</v>
      </c>
      <c r="G313" s="5">
        <f t="shared" si="4"/>
        <v>33.549999999999997</v>
      </c>
      <c r="H313" t="s">
        <v>27</v>
      </c>
      <c r="I313" t="s">
        <v>845</v>
      </c>
      <c r="J313" t="s">
        <v>39</v>
      </c>
      <c r="K313" t="s">
        <v>30</v>
      </c>
      <c r="L313" t="s">
        <v>937</v>
      </c>
      <c r="M313" t="s">
        <v>1592</v>
      </c>
    </row>
    <row r="314" spans="1:13" x14ac:dyDescent="0.3">
      <c r="A314" t="s">
        <v>1593</v>
      </c>
      <c r="B314" t="s">
        <v>62</v>
      </c>
      <c r="C314" t="s">
        <v>999</v>
      </c>
      <c r="D314" t="s">
        <v>26</v>
      </c>
      <c r="E314" t="s">
        <v>52</v>
      </c>
      <c r="F314" s="4" t="s">
        <v>873</v>
      </c>
      <c r="G314" s="5">
        <f t="shared" si="4"/>
        <v>7.55</v>
      </c>
      <c r="H314" t="s">
        <v>27</v>
      </c>
      <c r="I314" t="s">
        <v>59</v>
      </c>
      <c r="J314" t="s">
        <v>31</v>
      </c>
      <c r="K314" t="s">
        <v>30</v>
      </c>
      <c r="L314" t="s">
        <v>20</v>
      </c>
      <c r="M314" t="s">
        <v>1266</v>
      </c>
    </row>
    <row r="315" spans="1:13" x14ac:dyDescent="0.3">
      <c r="A315" t="s">
        <v>1594</v>
      </c>
      <c r="B315" t="s">
        <v>852</v>
      </c>
      <c r="C315" t="s">
        <v>50</v>
      </c>
      <c r="D315" t="s">
        <v>76</v>
      </c>
      <c r="E315" t="s">
        <v>37</v>
      </c>
      <c r="F315" s="4" t="s">
        <v>1595</v>
      </c>
      <c r="G315" s="5">
        <f t="shared" si="4"/>
        <v>12.4</v>
      </c>
      <c r="H315" t="s">
        <v>27</v>
      </c>
      <c r="I315" t="s">
        <v>28</v>
      </c>
      <c r="J315" t="s">
        <v>878</v>
      </c>
      <c r="K315" t="s">
        <v>854</v>
      </c>
      <c r="L315" t="s">
        <v>29</v>
      </c>
      <c r="M315" t="s">
        <v>1596</v>
      </c>
    </row>
    <row r="316" spans="1:13" x14ac:dyDescent="0.3">
      <c r="A316" t="s">
        <v>1597</v>
      </c>
      <c r="B316" t="s">
        <v>13</v>
      </c>
      <c r="C316" t="s">
        <v>194</v>
      </c>
      <c r="D316" t="s">
        <v>15</v>
      </c>
      <c r="E316" t="s">
        <v>16</v>
      </c>
      <c r="F316" s="4" t="s">
        <v>1519</v>
      </c>
      <c r="G316" s="5">
        <f t="shared" si="4"/>
        <v>7.75</v>
      </c>
      <c r="H316" t="s">
        <v>27</v>
      </c>
      <c r="I316" t="s">
        <v>845</v>
      </c>
      <c r="J316" t="s">
        <v>45</v>
      </c>
      <c r="K316" t="s">
        <v>846</v>
      </c>
      <c r="L316" t="s">
        <v>854</v>
      </c>
      <c r="M316" t="s">
        <v>1163</v>
      </c>
    </row>
    <row r="317" spans="1:13" x14ac:dyDescent="0.3">
      <c r="A317" t="s">
        <v>1598</v>
      </c>
      <c r="B317" t="s">
        <v>852</v>
      </c>
      <c r="C317" t="s">
        <v>357</v>
      </c>
      <c r="D317" t="s">
        <v>76</v>
      </c>
      <c r="E317" t="s">
        <v>37</v>
      </c>
      <c r="F317" s="4" t="s">
        <v>1599</v>
      </c>
      <c r="G317" s="5">
        <f t="shared" si="4"/>
        <v>20.399999999999999</v>
      </c>
      <c r="H317" t="s">
        <v>27</v>
      </c>
      <c r="I317" t="s">
        <v>845</v>
      </c>
      <c r="J317" t="s">
        <v>39</v>
      </c>
      <c r="K317" t="s">
        <v>45</v>
      </c>
      <c r="L317" t="s">
        <v>31</v>
      </c>
      <c r="M317" t="s">
        <v>870</v>
      </c>
    </row>
    <row r="318" spans="1:13" x14ac:dyDescent="0.3">
      <c r="A318" t="s">
        <v>1600</v>
      </c>
      <c r="B318" t="s">
        <v>62</v>
      </c>
      <c r="C318" t="s">
        <v>530</v>
      </c>
      <c r="D318" t="s">
        <v>36</v>
      </c>
      <c r="E318" t="s">
        <v>52</v>
      </c>
      <c r="F318" s="4" t="s">
        <v>1601</v>
      </c>
      <c r="G318" s="5">
        <f t="shared" si="4"/>
        <v>2.5</v>
      </c>
      <c r="H318" t="s">
        <v>53</v>
      </c>
      <c r="I318" t="s">
        <v>28</v>
      </c>
      <c r="J318" t="s">
        <v>20</v>
      </c>
      <c r="K318" t="s">
        <v>30</v>
      </c>
      <c r="L318" t="s">
        <v>45</v>
      </c>
      <c r="M318" t="s">
        <v>1602</v>
      </c>
    </row>
    <row r="319" spans="1:13" x14ac:dyDescent="0.3">
      <c r="A319" t="s">
        <v>1603</v>
      </c>
      <c r="B319" t="s">
        <v>864</v>
      </c>
      <c r="C319" t="s">
        <v>160</v>
      </c>
      <c r="D319" t="s">
        <v>76</v>
      </c>
      <c r="E319" t="s">
        <v>77</v>
      </c>
      <c r="F319" s="4" t="s">
        <v>1604</v>
      </c>
      <c r="G319" s="5">
        <f t="shared" si="4"/>
        <v>31.85</v>
      </c>
      <c r="H319" t="s">
        <v>27</v>
      </c>
      <c r="I319" t="s">
        <v>845</v>
      </c>
      <c r="J319" t="s">
        <v>45</v>
      </c>
      <c r="K319" t="s">
        <v>878</v>
      </c>
      <c r="L319" t="s">
        <v>908</v>
      </c>
      <c r="M319" t="s">
        <v>1404</v>
      </c>
    </row>
    <row r="320" spans="1:13" x14ac:dyDescent="0.3">
      <c r="A320" t="s">
        <v>1605</v>
      </c>
      <c r="B320" t="s">
        <v>864</v>
      </c>
      <c r="C320" t="s">
        <v>906</v>
      </c>
      <c r="D320" t="s">
        <v>15</v>
      </c>
      <c r="E320" t="s">
        <v>77</v>
      </c>
      <c r="F320" s="4" t="s">
        <v>1606</v>
      </c>
      <c r="G320" s="5">
        <f t="shared" si="4"/>
        <v>30.65</v>
      </c>
      <c r="H320" t="s">
        <v>27</v>
      </c>
      <c r="I320" t="s">
        <v>28</v>
      </c>
      <c r="J320" t="s">
        <v>29</v>
      </c>
      <c r="K320" t="s">
        <v>31</v>
      </c>
      <c r="L320" t="s">
        <v>45</v>
      </c>
      <c r="M320" t="s">
        <v>1607</v>
      </c>
    </row>
    <row r="321" spans="1:13" x14ac:dyDescent="0.3">
      <c r="A321" t="s">
        <v>1608</v>
      </c>
      <c r="B321" t="s">
        <v>62</v>
      </c>
      <c r="C321" t="s">
        <v>1278</v>
      </c>
      <c r="D321" t="s">
        <v>44</v>
      </c>
      <c r="E321" t="s">
        <v>37</v>
      </c>
      <c r="F321" s="4" t="s">
        <v>1609</v>
      </c>
      <c r="G321" s="5">
        <f t="shared" si="4"/>
        <v>18.899999999999999</v>
      </c>
      <c r="H321" t="s">
        <v>17</v>
      </c>
      <c r="I321" t="s">
        <v>28</v>
      </c>
      <c r="J321" t="s">
        <v>20</v>
      </c>
      <c r="K321" t="s">
        <v>45</v>
      </c>
      <c r="L321" t="s">
        <v>31</v>
      </c>
      <c r="M321" t="s">
        <v>1316</v>
      </c>
    </row>
    <row r="322" spans="1:13" x14ac:dyDescent="0.3">
      <c r="A322" t="s">
        <v>1610</v>
      </c>
      <c r="B322" t="s">
        <v>42</v>
      </c>
      <c r="C322" t="s">
        <v>268</v>
      </c>
      <c r="D322" t="s">
        <v>71</v>
      </c>
      <c r="E322" t="s">
        <v>116</v>
      </c>
      <c r="F322" s="4" t="s">
        <v>1611</v>
      </c>
      <c r="G322" s="5">
        <f t="shared" ref="G322:G385" si="5">F322/100000</f>
        <v>11.4</v>
      </c>
      <c r="H322" t="s">
        <v>17</v>
      </c>
      <c r="I322" t="s">
        <v>845</v>
      </c>
      <c r="J322" t="s">
        <v>29</v>
      </c>
      <c r="K322" t="s">
        <v>45</v>
      </c>
      <c r="L322" t="s">
        <v>854</v>
      </c>
      <c r="M322" t="s">
        <v>1166</v>
      </c>
    </row>
    <row r="323" spans="1:13" x14ac:dyDescent="0.3">
      <c r="A323" t="s">
        <v>1612</v>
      </c>
      <c r="B323" t="s">
        <v>75</v>
      </c>
      <c r="C323" t="s">
        <v>887</v>
      </c>
      <c r="D323" t="s">
        <v>71</v>
      </c>
      <c r="E323" t="s">
        <v>37</v>
      </c>
      <c r="F323" s="4" t="s">
        <v>1613</v>
      </c>
      <c r="G323" s="5">
        <f t="shared" si="5"/>
        <v>21.45</v>
      </c>
      <c r="H323" t="s">
        <v>27</v>
      </c>
      <c r="I323" t="s">
        <v>845</v>
      </c>
      <c r="J323" t="s">
        <v>29</v>
      </c>
      <c r="K323" t="s">
        <v>45</v>
      </c>
      <c r="L323" t="s">
        <v>46</v>
      </c>
      <c r="M323" t="s">
        <v>1093</v>
      </c>
    </row>
    <row r="324" spans="1:13" x14ac:dyDescent="0.3">
      <c r="A324" t="s">
        <v>1614</v>
      </c>
      <c r="B324" t="s">
        <v>42</v>
      </c>
      <c r="C324" t="s">
        <v>1320</v>
      </c>
      <c r="D324" t="s">
        <v>81</v>
      </c>
      <c r="E324" t="s">
        <v>16</v>
      </c>
      <c r="F324" s="4" t="s">
        <v>1133</v>
      </c>
      <c r="G324" s="5">
        <f t="shared" si="5"/>
        <v>8.85</v>
      </c>
      <c r="H324" t="s">
        <v>27</v>
      </c>
      <c r="I324" t="s">
        <v>28</v>
      </c>
      <c r="J324" t="s">
        <v>908</v>
      </c>
      <c r="K324" t="s">
        <v>45</v>
      </c>
      <c r="L324" t="s">
        <v>21</v>
      </c>
      <c r="M324" t="s">
        <v>1266</v>
      </c>
    </row>
    <row r="325" spans="1:13" x14ac:dyDescent="0.3">
      <c r="A325" t="s">
        <v>1615</v>
      </c>
      <c r="B325" t="s">
        <v>13</v>
      </c>
      <c r="C325" t="s">
        <v>80</v>
      </c>
      <c r="D325" t="s">
        <v>71</v>
      </c>
      <c r="E325" t="s">
        <v>16</v>
      </c>
      <c r="F325" s="4" t="s">
        <v>1385</v>
      </c>
      <c r="G325" s="5">
        <f t="shared" si="5"/>
        <v>6.55</v>
      </c>
      <c r="H325" t="s">
        <v>27</v>
      </c>
      <c r="I325" t="s">
        <v>28</v>
      </c>
      <c r="J325" t="s">
        <v>846</v>
      </c>
      <c r="K325" t="s">
        <v>937</v>
      </c>
      <c r="L325" t="s">
        <v>54</v>
      </c>
      <c r="M325" t="s">
        <v>1616</v>
      </c>
    </row>
    <row r="326" spans="1:13" x14ac:dyDescent="0.3">
      <c r="A326" t="s">
        <v>1617</v>
      </c>
      <c r="B326" t="s">
        <v>996</v>
      </c>
      <c r="C326" t="s">
        <v>906</v>
      </c>
      <c r="D326" t="s">
        <v>96</v>
      </c>
      <c r="E326" t="s">
        <v>116</v>
      </c>
      <c r="F326" s="4" t="s">
        <v>1173</v>
      </c>
      <c r="G326" s="5">
        <f t="shared" si="5"/>
        <v>10.1</v>
      </c>
      <c r="H326" t="s">
        <v>27</v>
      </c>
      <c r="I326" t="s">
        <v>28</v>
      </c>
      <c r="J326" t="s">
        <v>45</v>
      </c>
      <c r="K326" t="s">
        <v>20</v>
      </c>
      <c r="L326" t="s">
        <v>39</v>
      </c>
      <c r="M326" t="s">
        <v>990</v>
      </c>
    </row>
    <row r="327" spans="1:13" x14ac:dyDescent="0.3">
      <c r="A327" t="s">
        <v>1618</v>
      </c>
      <c r="B327" t="s">
        <v>13</v>
      </c>
      <c r="C327" t="s">
        <v>389</v>
      </c>
      <c r="D327" t="s">
        <v>71</v>
      </c>
      <c r="E327" t="s">
        <v>16</v>
      </c>
      <c r="F327" s="4" t="s">
        <v>1619</v>
      </c>
      <c r="G327" s="5">
        <f t="shared" si="5"/>
        <v>9.1</v>
      </c>
      <c r="H327" t="s">
        <v>27</v>
      </c>
      <c r="I327" t="s">
        <v>28</v>
      </c>
      <c r="J327" t="s">
        <v>29</v>
      </c>
      <c r="K327" t="s">
        <v>937</v>
      </c>
      <c r="L327" t="s">
        <v>54</v>
      </c>
      <c r="M327" t="s">
        <v>1620</v>
      </c>
    </row>
    <row r="328" spans="1:13" x14ac:dyDescent="0.3">
      <c r="A328" t="s">
        <v>1621</v>
      </c>
      <c r="B328" t="s">
        <v>75</v>
      </c>
      <c r="C328" t="s">
        <v>1195</v>
      </c>
      <c r="D328" t="s">
        <v>15</v>
      </c>
      <c r="E328" t="s">
        <v>37</v>
      </c>
      <c r="F328" s="4" t="s">
        <v>1622</v>
      </c>
      <c r="G328" s="5">
        <f t="shared" si="5"/>
        <v>20.3</v>
      </c>
      <c r="H328" t="s">
        <v>27</v>
      </c>
      <c r="I328" t="s">
        <v>59</v>
      </c>
      <c r="J328" t="s">
        <v>54</v>
      </c>
      <c r="K328" t="s">
        <v>45</v>
      </c>
      <c r="L328" t="s">
        <v>878</v>
      </c>
      <c r="M328" t="s">
        <v>1416</v>
      </c>
    </row>
    <row r="329" spans="1:13" x14ac:dyDescent="0.3">
      <c r="A329" t="s">
        <v>1623</v>
      </c>
      <c r="B329" t="s">
        <v>62</v>
      </c>
      <c r="C329" t="s">
        <v>242</v>
      </c>
      <c r="D329" t="s">
        <v>44</v>
      </c>
      <c r="E329" t="s">
        <v>116</v>
      </c>
      <c r="F329" s="4" t="s">
        <v>1502</v>
      </c>
      <c r="G329" s="5">
        <f t="shared" si="5"/>
        <v>16</v>
      </c>
      <c r="H329" t="s">
        <v>27</v>
      </c>
      <c r="I329" t="s">
        <v>59</v>
      </c>
      <c r="J329" t="s">
        <v>846</v>
      </c>
      <c r="K329" t="s">
        <v>20</v>
      </c>
      <c r="L329" t="s">
        <v>29</v>
      </c>
      <c r="M329" t="s">
        <v>987</v>
      </c>
    </row>
    <row r="330" spans="1:13" x14ac:dyDescent="0.3">
      <c r="A330" t="s">
        <v>1624</v>
      </c>
      <c r="B330" t="s">
        <v>42</v>
      </c>
      <c r="C330" t="s">
        <v>899</v>
      </c>
      <c r="D330" t="s">
        <v>71</v>
      </c>
      <c r="E330" t="s">
        <v>52</v>
      </c>
      <c r="F330" s="4" t="s">
        <v>1625</v>
      </c>
      <c r="G330" s="5">
        <f t="shared" si="5"/>
        <v>3.2</v>
      </c>
      <c r="H330" t="s">
        <v>53</v>
      </c>
      <c r="I330" t="s">
        <v>28</v>
      </c>
      <c r="J330" t="s">
        <v>39</v>
      </c>
      <c r="K330" t="s">
        <v>874</v>
      </c>
      <c r="L330" t="s">
        <v>937</v>
      </c>
      <c r="M330" t="s">
        <v>1626</v>
      </c>
    </row>
    <row r="331" spans="1:13" x14ac:dyDescent="0.3">
      <c r="A331" t="s">
        <v>1627</v>
      </c>
      <c r="B331" t="s">
        <v>13</v>
      </c>
      <c r="C331" t="s">
        <v>1032</v>
      </c>
      <c r="D331" t="s">
        <v>26</v>
      </c>
      <c r="E331" t="s">
        <v>52</v>
      </c>
      <c r="F331" s="4" t="s">
        <v>1628</v>
      </c>
      <c r="G331" s="5">
        <f t="shared" si="5"/>
        <v>3.45</v>
      </c>
      <c r="H331" t="s">
        <v>53</v>
      </c>
      <c r="I331" t="s">
        <v>845</v>
      </c>
      <c r="J331" t="s">
        <v>54</v>
      </c>
      <c r="K331" t="s">
        <v>846</v>
      </c>
      <c r="L331" t="s">
        <v>21</v>
      </c>
      <c r="M331" t="s">
        <v>1327</v>
      </c>
    </row>
    <row r="332" spans="1:13" x14ac:dyDescent="0.3">
      <c r="A332" t="s">
        <v>1629</v>
      </c>
      <c r="B332" t="s">
        <v>13</v>
      </c>
      <c r="C332" t="s">
        <v>321</v>
      </c>
      <c r="D332" t="s">
        <v>76</v>
      </c>
      <c r="E332" t="s">
        <v>116</v>
      </c>
      <c r="F332" s="4" t="s">
        <v>1630</v>
      </c>
      <c r="G332" s="5">
        <f t="shared" si="5"/>
        <v>12.45</v>
      </c>
      <c r="H332" t="s">
        <v>27</v>
      </c>
      <c r="I332" t="s">
        <v>28</v>
      </c>
      <c r="J332" t="s">
        <v>21</v>
      </c>
      <c r="K332" t="s">
        <v>46</v>
      </c>
      <c r="L332" t="s">
        <v>878</v>
      </c>
      <c r="M332" t="s">
        <v>1631</v>
      </c>
    </row>
    <row r="333" spans="1:13" x14ac:dyDescent="0.3">
      <c r="A333" t="s">
        <v>1632</v>
      </c>
      <c r="B333" t="s">
        <v>62</v>
      </c>
      <c r="C333" t="s">
        <v>112</v>
      </c>
      <c r="D333" t="s">
        <v>26</v>
      </c>
      <c r="E333" t="s">
        <v>37</v>
      </c>
      <c r="F333" s="4" t="s">
        <v>1474</v>
      </c>
      <c r="G333" s="5">
        <f t="shared" si="5"/>
        <v>12.1</v>
      </c>
      <c r="H333" t="s">
        <v>27</v>
      </c>
      <c r="I333" t="s">
        <v>845</v>
      </c>
      <c r="J333" t="s">
        <v>30</v>
      </c>
      <c r="K333" t="s">
        <v>46</v>
      </c>
      <c r="L333" t="s">
        <v>20</v>
      </c>
      <c r="M333" t="s">
        <v>1302</v>
      </c>
    </row>
    <row r="334" spans="1:13" x14ac:dyDescent="0.3">
      <c r="A334" t="s">
        <v>1633</v>
      </c>
      <c r="B334" t="s">
        <v>864</v>
      </c>
      <c r="C334" t="s">
        <v>260</v>
      </c>
      <c r="D334" t="s">
        <v>26</v>
      </c>
      <c r="E334" t="s">
        <v>116</v>
      </c>
      <c r="F334" s="4" t="s">
        <v>1634</v>
      </c>
      <c r="G334" s="5">
        <f t="shared" si="5"/>
        <v>15.5</v>
      </c>
      <c r="H334" t="s">
        <v>27</v>
      </c>
      <c r="I334" t="s">
        <v>28</v>
      </c>
      <c r="J334" t="s">
        <v>21</v>
      </c>
      <c r="K334" t="s">
        <v>45</v>
      </c>
      <c r="L334" t="s">
        <v>846</v>
      </c>
      <c r="M334" t="s">
        <v>1207</v>
      </c>
    </row>
    <row r="335" spans="1:13" x14ac:dyDescent="0.3">
      <c r="A335" t="s">
        <v>1635</v>
      </c>
      <c r="B335" t="s">
        <v>24</v>
      </c>
      <c r="C335" t="s">
        <v>63</v>
      </c>
      <c r="D335" t="s">
        <v>36</v>
      </c>
      <c r="E335" t="s">
        <v>52</v>
      </c>
      <c r="F335" s="4" t="s">
        <v>1348</v>
      </c>
      <c r="G335" s="5">
        <f t="shared" si="5"/>
        <v>3.85</v>
      </c>
      <c r="H335" t="s">
        <v>53</v>
      </c>
      <c r="I335" t="s">
        <v>28</v>
      </c>
      <c r="J335" t="s">
        <v>846</v>
      </c>
      <c r="K335" t="s">
        <v>908</v>
      </c>
      <c r="L335" t="s">
        <v>874</v>
      </c>
      <c r="M335" t="s">
        <v>1636</v>
      </c>
    </row>
    <row r="336" spans="1:13" x14ac:dyDescent="0.3">
      <c r="A336" t="s">
        <v>1637</v>
      </c>
      <c r="B336" t="s">
        <v>24</v>
      </c>
      <c r="C336" t="s">
        <v>123</v>
      </c>
      <c r="D336" t="s">
        <v>51</v>
      </c>
      <c r="E336" t="s">
        <v>37</v>
      </c>
      <c r="F336" s="4" t="s">
        <v>1638</v>
      </c>
      <c r="G336" s="5">
        <f t="shared" si="5"/>
        <v>21.1</v>
      </c>
      <c r="H336" t="s">
        <v>27</v>
      </c>
      <c r="I336" t="s">
        <v>59</v>
      </c>
      <c r="J336" t="s">
        <v>46</v>
      </c>
      <c r="K336" t="s">
        <v>31</v>
      </c>
      <c r="L336" t="s">
        <v>39</v>
      </c>
      <c r="M336" t="s">
        <v>1636</v>
      </c>
    </row>
    <row r="337" spans="1:13" x14ac:dyDescent="0.3">
      <c r="A337" t="s">
        <v>1639</v>
      </c>
      <c r="B337" t="s">
        <v>24</v>
      </c>
      <c r="C337" t="s">
        <v>63</v>
      </c>
      <c r="D337" t="s">
        <v>26</v>
      </c>
      <c r="E337" t="s">
        <v>16</v>
      </c>
      <c r="F337" s="4" t="s">
        <v>1640</v>
      </c>
      <c r="G337" s="5">
        <f t="shared" si="5"/>
        <v>5.6</v>
      </c>
      <c r="H337" t="s">
        <v>27</v>
      </c>
      <c r="I337" t="s">
        <v>845</v>
      </c>
      <c r="J337" t="s">
        <v>31</v>
      </c>
      <c r="K337" t="s">
        <v>908</v>
      </c>
      <c r="L337" t="s">
        <v>846</v>
      </c>
      <c r="M337" t="s">
        <v>1181</v>
      </c>
    </row>
    <row r="338" spans="1:13" x14ac:dyDescent="0.3">
      <c r="A338" t="s">
        <v>1641</v>
      </c>
      <c r="B338" t="s">
        <v>42</v>
      </c>
      <c r="C338" t="s">
        <v>887</v>
      </c>
      <c r="D338" t="s">
        <v>51</v>
      </c>
      <c r="E338" t="s">
        <v>116</v>
      </c>
      <c r="F338" s="4" t="s">
        <v>1331</v>
      </c>
      <c r="G338" s="5">
        <f t="shared" si="5"/>
        <v>11.6</v>
      </c>
      <c r="H338" t="s">
        <v>27</v>
      </c>
      <c r="I338" t="s">
        <v>845</v>
      </c>
      <c r="J338" t="s">
        <v>846</v>
      </c>
      <c r="K338" t="s">
        <v>854</v>
      </c>
      <c r="L338" t="s">
        <v>874</v>
      </c>
      <c r="M338" t="s">
        <v>1280</v>
      </c>
    </row>
    <row r="339" spans="1:13" x14ac:dyDescent="0.3">
      <c r="A339" t="s">
        <v>1642</v>
      </c>
      <c r="B339" t="s">
        <v>960</v>
      </c>
      <c r="C339" t="s">
        <v>334</v>
      </c>
      <c r="D339" t="s">
        <v>64</v>
      </c>
      <c r="E339" t="s">
        <v>52</v>
      </c>
      <c r="F339" s="4" t="s">
        <v>1356</v>
      </c>
      <c r="G339" s="5">
        <f t="shared" si="5"/>
        <v>4.8</v>
      </c>
      <c r="H339" t="s">
        <v>27</v>
      </c>
      <c r="I339" t="s">
        <v>59</v>
      </c>
      <c r="J339" t="s">
        <v>937</v>
      </c>
      <c r="K339" t="s">
        <v>878</v>
      </c>
      <c r="L339" t="s">
        <v>20</v>
      </c>
      <c r="M339" t="s">
        <v>1643</v>
      </c>
    </row>
    <row r="340" spans="1:13" x14ac:dyDescent="0.3">
      <c r="A340" t="s">
        <v>1644</v>
      </c>
      <c r="B340" t="s">
        <v>75</v>
      </c>
      <c r="C340" t="s">
        <v>242</v>
      </c>
      <c r="D340" t="s">
        <v>51</v>
      </c>
      <c r="E340" t="s">
        <v>16</v>
      </c>
      <c r="F340" s="4" t="s">
        <v>1645</v>
      </c>
      <c r="G340" s="5">
        <f t="shared" si="5"/>
        <v>9.5</v>
      </c>
      <c r="H340" t="s">
        <v>27</v>
      </c>
      <c r="I340" t="s">
        <v>845</v>
      </c>
      <c r="J340" t="s">
        <v>45</v>
      </c>
      <c r="K340" t="s">
        <v>54</v>
      </c>
      <c r="L340" t="s">
        <v>874</v>
      </c>
      <c r="M340" t="s">
        <v>969</v>
      </c>
    </row>
    <row r="341" spans="1:13" x14ac:dyDescent="0.3">
      <c r="A341" t="s">
        <v>1646</v>
      </c>
      <c r="B341" t="s">
        <v>864</v>
      </c>
      <c r="C341" t="s">
        <v>655</v>
      </c>
      <c r="D341" t="s">
        <v>76</v>
      </c>
      <c r="E341" t="s">
        <v>37</v>
      </c>
      <c r="F341" s="4" t="s">
        <v>1070</v>
      </c>
      <c r="G341" s="5">
        <f t="shared" si="5"/>
        <v>10.25</v>
      </c>
      <c r="H341" t="s">
        <v>27</v>
      </c>
      <c r="I341" t="s">
        <v>845</v>
      </c>
      <c r="J341" t="s">
        <v>878</v>
      </c>
      <c r="K341" t="s">
        <v>39</v>
      </c>
      <c r="L341" t="s">
        <v>30</v>
      </c>
      <c r="M341" t="s">
        <v>892</v>
      </c>
    </row>
    <row r="342" spans="1:13" x14ac:dyDescent="0.3">
      <c r="A342" t="s">
        <v>1647</v>
      </c>
      <c r="B342" t="s">
        <v>13</v>
      </c>
      <c r="C342" t="s">
        <v>1082</v>
      </c>
      <c r="D342" t="s">
        <v>44</v>
      </c>
      <c r="E342" t="s">
        <v>16</v>
      </c>
      <c r="F342" s="4" t="s">
        <v>1385</v>
      </c>
      <c r="G342" s="5">
        <f t="shared" si="5"/>
        <v>6.55</v>
      </c>
      <c r="H342" t="s">
        <v>27</v>
      </c>
      <c r="I342" t="s">
        <v>845</v>
      </c>
      <c r="J342" t="s">
        <v>45</v>
      </c>
      <c r="K342" t="s">
        <v>878</v>
      </c>
      <c r="L342" t="s">
        <v>846</v>
      </c>
      <c r="M342" t="s">
        <v>1161</v>
      </c>
    </row>
    <row r="343" spans="1:13" x14ac:dyDescent="0.3">
      <c r="A343" t="s">
        <v>1648</v>
      </c>
      <c r="B343" t="s">
        <v>62</v>
      </c>
      <c r="C343" t="s">
        <v>237</v>
      </c>
      <c r="D343" t="s">
        <v>51</v>
      </c>
      <c r="E343" t="s">
        <v>37</v>
      </c>
      <c r="F343" s="4" t="s">
        <v>1649</v>
      </c>
      <c r="G343" s="5">
        <f t="shared" si="5"/>
        <v>16.399999999999999</v>
      </c>
      <c r="H343" t="s">
        <v>17</v>
      </c>
      <c r="I343" t="s">
        <v>28</v>
      </c>
      <c r="J343" t="s">
        <v>21</v>
      </c>
      <c r="K343" t="s">
        <v>29</v>
      </c>
      <c r="L343" t="s">
        <v>31</v>
      </c>
      <c r="M343" t="s">
        <v>889</v>
      </c>
    </row>
    <row r="344" spans="1:13" x14ac:dyDescent="0.3">
      <c r="A344" t="s">
        <v>1650</v>
      </c>
      <c r="B344" t="s">
        <v>852</v>
      </c>
      <c r="C344" t="s">
        <v>106</v>
      </c>
      <c r="D344" t="s">
        <v>44</v>
      </c>
      <c r="E344" t="s">
        <v>77</v>
      </c>
      <c r="F344" s="4" t="s">
        <v>1651</v>
      </c>
      <c r="G344" s="5">
        <f t="shared" si="5"/>
        <v>29.05</v>
      </c>
      <c r="H344" t="s">
        <v>27</v>
      </c>
      <c r="I344" t="s">
        <v>845</v>
      </c>
      <c r="J344" t="s">
        <v>46</v>
      </c>
      <c r="K344" t="s">
        <v>20</v>
      </c>
      <c r="L344" t="s">
        <v>854</v>
      </c>
      <c r="M344" t="s">
        <v>984</v>
      </c>
    </row>
    <row r="345" spans="1:13" x14ac:dyDescent="0.3">
      <c r="A345" t="s">
        <v>1652</v>
      </c>
      <c r="B345" t="s">
        <v>960</v>
      </c>
      <c r="C345" t="s">
        <v>967</v>
      </c>
      <c r="D345" t="s">
        <v>51</v>
      </c>
      <c r="E345" t="s">
        <v>37</v>
      </c>
      <c r="F345" s="4" t="s">
        <v>1331</v>
      </c>
      <c r="G345" s="5">
        <f t="shared" si="5"/>
        <v>11.6</v>
      </c>
      <c r="H345" t="s">
        <v>27</v>
      </c>
      <c r="I345" t="s">
        <v>28</v>
      </c>
      <c r="J345" t="s">
        <v>29</v>
      </c>
      <c r="K345" t="s">
        <v>45</v>
      </c>
      <c r="L345" t="s">
        <v>46</v>
      </c>
      <c r="M345" t="s">
        <v>1508</v>
      </c>
    </row>
    <row r="346" spans="1:13" x14ac:dyDescent="0.3">
      <c r="A346" t="s">
        <v>1653</v>
      </c>
      <c r="B346" t="s">
        <v>13</v>
      </c>
      <c r="C346" t="s">
        <v>906</v>
      </c>
      <c r="D346" t="s">
        <v>15</v>
      </c>
      <c r="E346" t="s">
        <v>52</v>
      </c>
      <c r="F346" s="4" t="s">
        <v>1654</v>
      </c>
      <c r="G346" s="5">
        <f t="shared" si="5"/>
        <v>2.95</v>
      </c>
      <c r="H346" t="s">
        <v>53</v>
      </c>
      <c r="I346" t="s">
        <v>28</v>
      </c>
      <c r="J346" t="s">
        <v>45</v>
      </c>
      <c r="K346" t="s">
        <v>30</v>
      </c>
      <c r="L346" t="s">
        <v>846</v>
      </c>
      <c r="M346" t="s">
        <v>1655</v>
      </c>
    </row>
    <row r="347" spans="1:13" x14ac:dyDescent="0.3">
      <c r="A347" t="s">
        <v>1656</v>
      </c>
      <c r="B347" t="s">
        <v>996</v>
      </c>
      <c r="C347" t="s">
        <v>63</v>
      </c>
      <c r="D347" t="s">
        <v>81</v>
      </c>
      <c r="E347" t="s">
        <v>37</v>
      </c>
      <c r="F347" s="4" t="s">
        <v>1578</v>
      </c>
      <c r="G347" s="5">
        <f t="shared" si="5"/>
        <v>10.3</v>
      </c>
      <c r="H347" t="s">
        <v>17</v>
      </c>
      <c r="I347" t="s">
        <v>28</v>
      </c>
      <c r="J347" t="s">
        <v>878</v>
      </c>
      <c r="K347" t="s">
        <v>39</v>
      </c>
      <c r="L347" t="s">
        <v>846</v>
      </c>
      <c r="M347" t="s">
        <v>981</v>
      </c>
    </row>
    <row r="348" spans="1:13" x14ac:dyDescent="0.3">
      <c r="A348" t="s">
        <v>1657</v>
      </c>
      <c r="B348" t="s">
        <v>75</v>
      </c>
      <c r="C348" t="s">
        <v>1082</v>
      </c>
      <c r="D348" t="s">
        <v>76</v>
      </c>
      <c r="E348" t="s">
        <v>77</v>
      </c>
      <c r="F348" s="4" t="s">
        <v>1658</v>
      </c>
      <c r="G348" s="5">
        <f t="shared" si="5"/>
        <v>38.6</v>
      </c>
      <c r="H348" t="s">
        <v>17</v>
      </c>
      <c r="I348" t="s">
        <v>845</v>
      </c>
      <c r="J348" t="s">
        <v>31</v>
      </c>
      <c r="K348" t="s">
        <v>854</v>
      </c>
      <c r="L348" t="s">
        <v>54</v>
      </c>
      <c r="M348" t="s">
        <v>1659</v>
      </c>
    </row>
    <row r="349" spans="1:13" x14ac:dyDescent="0.3">
      <c r="A349" t="s">
        <v>1660</v>
      </c>
      <c r="B349" t="s">
        <v>62</v>
      </c>
      <c r="C349" t="s">
        <v>172</v>
      </c>
      <c r="D349" t="s">
        <v>96</v>
      </c>
      <c r="E349" t="s">
        <v>37</v>
      </c>
      <c r="F349" s="4" t="s">
        <v>1661</v>
      </c>
      <c r="G349" s="5">
        <f t="shared" si="5"/>
        <v>18.600000000000001</v>
      </c>
      <c r="H349" t="s">
        <v>27</v>
      </c>
      <c r="I349" t="s">
        <v>59</v>
      </c>
      <c r="J349" t="s">
        <v>20</v>
      </c>
      <c r="K349" t="s">
        <v>45</v>
      </c>
      <c r="L349" t="s">
        <v>937</v>
      </c>
      <c r="M349" t="s">
        <v>1253</v>
      </c>
    </row>
    <row r="350" spans="1:13" x14ac:dyDescent="0.3">
      <c r="A350" t="s">
        <v>1662</v>
      </c>
      <c r="B350" t="s">
        <v>852</v>
      </c>
      <c r="C350" t="s">
        <v>357</v>
      </c>
      <c r="D350" t="s">
        <v>36</v>
      </c>
      <c r="E350" t="s">
        <v>16</v>
      </c>
      <c r="F350" s="4" t="s">
        <v>1663</v>
      </c>
      <c r="G350" s="5">
        <f t="shared" si="5"/>
        <v>8</v>
      </c>
      <c r="H350" t="s">
        <v>27</v>
      </c>
      <c r="I350" t="s">
        <v>28</v>
      </c>
      <c r="J350" t="s">
        <v>908</v>
      </c>
      <c r="K350" t="s">
        <v>937</v>
      </c>
      <c r="L350" t="s">
        <v>20</v>
      </c>
      <c r="M350" t="s">
        <v>1569</v>
      </c>
    </row>
    <row r="351" spans="1:13" x14ac:dyDescent="0.3">
      <c r="A351" t="s">
        <v>1664</v>
      </c>
      <c r="B351" t="s">
        <v>852</v>
      </c>
      <c r="C351" t="s">
        <v>548</v>
      </c>
      <c r="D351" t="s">
        <v>76</v>
      </c>
      <c r="E351" t="s">
        <v>77</v>
      </c>
      <c r="F351" s="4" t="s">
        <v>1665</v>
      </c>
      <c r="G351" s="5">
        <f t="shared" si="5"/>
        <v>30.7</v>
      </c>
      <c r="H351" t="s">
        <v>27</v>
      </c>
      <c r="I351" t="s">
        <v>28</v>
      </c>
      <c r="J351" t="s">
        <v>29</v>
      </c>
      <c r="K351" t="s">
        <v>874</v>
      </c>
      <c r="L351" t="s">
        <v>937</v>
      </c>
      <c r="M351" t="s">
        <v>1316</v>
      </c>
    </row>
    <row r="352" spans="1:13" x14ac:dyDescent="0.3">
      <c r="A352" t="s">
        <v>1666</v>
      </c>
      <c r="B352" t="s">
        <v>49</v>
      </c>
      <c r="C352" t="s">
        <v>99</v>
      </c>
      <c r="D352" t="s">
        <v>71</v>
      </c>
      <c r="E352" t="s">
        <v>77</v>
      </c>
      <c r="F352" s="4" t="s">
        <v>1667</v>
      </c>
      <c r="G352" s="5">
        <f t="shared" si="5"/>
        <v>23.25</v>
      </c>
      <c r="H352" t="s">
        <v>27</v>
      </c>
      <c r="I352" t="s">
        <v>845</v>
      </c>
      <c r="J352" t="s">
        <v>908</v>
      </c>
      <c r="K352" t="s">
        <v>31</v>
      </c>
      <c r="L352" t="s">
        <v>21</v>
      </c>
      <c r="M352" t="s">
        <v>1548</v>
      </c>
    </row>
    <row r="353" spans="1:13" x14ac:dyDescent="0.3">
      <c r="A353" t="s">
        <v>1668</v>
      </c>
      <c r="B353" t="s">
        <v>24</v>
      </c>
      <c r="C353" t="s">
        <v>967</v>
      </c>
      <c r="D353" t="s">
        <v>96</v>
      </c>
      <c r="E353" t="s">
        <v>52</v>
      </c>
      <c r="F353" s="4" t="s">
        <v>1669</v>
      </c>
      <c r="G353" s="5">
        <f t="shared" si="5"/>
        <v>4.55</v>
      </c>
      <c r="H353" t="s">
        <v>53</v>
      </c>
      <c r="I353" t="s">
        <v>845</v>
      </c>
      <c r="J353" t="s">
        <v>908</v>
      </c>
      <c r="K353" t="s">
        <v>29</v>
      </c>
      <c r="L353" t="s">
        <v>20</v>
      </c>
      <c r="M353" t="s">
        <v>1670</v>
      </c>
    </row>
    <row r="354" spans="1:13" x14ac:dyDescent="0.3">
      <c r="A354" t="s">
        <v>1671</v>
      </c>
      <c r="B354" t="s">
        <v>24</v>
      </c>
      <c r="C354" t="s">
        <v>87</v>
      </c>
      <c r="D354" t="s">
        <v>96</v>
      </c>
      <c r="E354" t="s">
        <v>116</v>
      </c>
      <c r="F354" s="4" t="s">
        <v>1045</v>
      </c>
      <c r="G354" s="5">
        <f t="shared" si="5"/>
        <v>11.8</v>
      </c>
      <c r="H354" t="s">
        <v>17</v>
      </c>
      <c r="I354" t="s">
        <v>59</v>
      </c>
      <c r="J354" t="s">
        <v>45</v>
      </c>
      <c r="K354" t="s">
        <v>31</v>
      </c>
      <c r="L354" t="s">
        <v>54</v>
      </c>
      <c r="M354" t="s">
        <v>1108</v>
      </c>
    </row>
    <row r="355" spans="1:13" x14ac:dyDescent="0.3">
      <c r="A355" t="s">
        <v>1672</v>
      </c>
      <c r="B355" t="s">
        <v>42</v>
      </c>
      <c r="C355" t="s">
        <v>172</v>
      </c>
      <c r="D355" t="s">
        <v>44</v>
      </c>
      <c r="E355" t="s">
        <v>52</v>
      </c>
      <c r="F355" s="4" t="s">
        <v>1673</v>
      </c>
      <c r="G355" s="5">
        <f t="shared" si="5"/>
        <v>2.8</v>
      </c>
      <c r="H355" t="s">
        <v>53</v>
      </c>
      <c r="I355" t="s">
        <v>845</v>
      </c>
      <c r="J355" t="s">
        <v>31</v>
      </c>
      <c r="K355" t="s">
        <v>854</v>
      </c>
      <c r="L355" t="s">
        <v>874</v>
      </c>
      <c r="M355" t="s">
        <v>1386</v>
      </c>
    </row>
    <row r="356" spans="1:13" x14ac:dyDescent="0.3">
      <c r="A356" t="s">
        <v>1674</v>
      </c>
      <c r="B356" t="s">
        <v>75</v>
      </c>
      <c r="C356" t="s">
        <v>400</v>
      </c>
      <c r="D356" t="s">
        <v>26</v>
      </c>
      <c r="E356" t="s">
        <v>52</v>
      </c>
      <c r="F356" s="4" t="s">
        <v>1675</v>
      </c>
      <c r="G356" s="5">
        <f t="shared" si="5"/>
        <v>4.4000000000000004</v>
      </c>
      <c r="H356" t="s">
        <v>27</v>
      </c>
      <c r="I356" t="s">
        <v>845</v>
      </c>
      <c r="J356" t="s">
        <v>45</v>
      </c>
      <c r="K356" t="s">
        <v>31</v>
      </c>
      <c r="L356" t="s">
        <v>846</v>
      </c>
      <c r="M356" t="s">
        <v>1569</v>
      </c>
    </row>
    <row r="357" spans="1:13" x14ac:dyDescent="0.3">
      <c r="A357" t="s">
        <v>1676</v>
      </c>
      <c r="B357" t="s">
        <v>49</v>
      </c>
      <c r="C357" t="s">
        <v>179</v>
      </c>
      <c r="D357" t="s">
        <v>15</v>
      </c>
      <c r="E357" t="s">
        <v>16</v>
      </c>
      <c r="F357" s="4" t="s">
        <v>1372</v>
      </c>
      <c r="G357" s="5">
        <f t="shared" si="5"/>
        <v>10.15</v>
      </c>
      <c r="H357" t="s">
        <v>27</v>
      </c>
      <c r="I357" t="s">
        <v>28</v>
      </c>
      <c r="J357" t="s">
        <v>21</v>
      </c>
      <c r="K357" t="s">
        <v>54</v>
      </c>
      <c r="L357" t="s">
        <v>846</v>
      </c>
      <c r="M357" t="s">
        <v>1027</v>
      </c>
    </row>
    <row r="358" spans="1:13" x14ac:dyDescent="0.3">
      <c r="A358" t="s">
        <v>1677</v>
      </c>
      <c r="B358" t="s">
        <v>24</v>
      </c>
      <c r="C358" t="s">
        <v>99</v>
      </c>
      <c r="D358" t="s">
        <v>26</v>
      </c>
      <c r="E358" t="s">
        <v>16</v>
      </c>
      <c r="F358" s="4" t="s">
        <v>891</v>
      </c>
      <c r="G358" s="5">
        <f t="shared" si="5"/>
        <v>7.5</v>
      </c>
      <c r="H358" t="s">
        <v>17</v>
      </c>
      <c r="I358" t="s">
        <v>28</v>
      </c>
      <c r="J358" t="s">
        <v>31</v>
      </c>
      <c r="K358" t="s">
        <v>908</v>
      </c>
      <c r="L358" t="s">
        <v>46</v>
      </c>
      <c r="M358" t="s">
        <v>1048</v>
      </c>
    </row>
    <row r="359" spans="1:13" x14ac:dyDescent="0.3">
      <c r="A359" t="s">
        <v>1678</v>
      </c>
      <c r="B359" t="s">
        <v>864</v>
      </c>
      <c r="C359" t="s">
        <v>119</v>
      </c>
      <c r="D359" t="s">
        <v>26</v>
      </c>
      <c r="E359" t="s">
        <v>116</v>
      </c>
      <c r="F359" s="4" t="s">
        <v>1679</v>
      </c>
      <c r="G359" s="5">
        <f t="shared" si="5"/>
        <v>17.55</v>
      </c>
      <c r="H359" t="s">
        <v>27</v>
      </c>
      <c r="I359" t="s">
        <v>845</v>
      </c>
      <c r="J359" t="s">
        <v>21</v>
      </c>
      <c r="K359" t="s">
        <v>878</v>
      </c>
      <c r="L359" t="s">
        <v>45</v>
      </c>
      <c r="M359" t="s">
        <v>1342</v>
      </c>
    </row>
    <row r="360" spans="1:13" x14ac:dyDescent="0.3">
      <c r="A360" t="s">
        <v>1680</v>
      </c>
      <c r="B360" t="s">
        <v>960</v>
      </c>
      <c r="C360" t="s">
        <v>152</v>
      </c>
      <c r="D360" t="s">
        <v>64</v>
      </c>
      <c r="E360" t="s">
        <v>16</v>
      </c>
      <c r="F360" s="4" t="s">
        <v>1681</v>
      </c>
      <c r="G360" s="5">
        <f t="shared" si="5"/>
        <v>7.95</v>
      </c>
      <c r="H360" t="s">
        <v>27</v>
      </c>
      <c r="I360" t="s">
        <v>28</v>
      </c>
      <c r="J360" t="s">
        <v>46</v>
      </c>
      <c r="K360" t="s">
        <v>846</v>
      </c>
      <c r="L360" t="s">
        <v>29</v>
      </c>
      <c r="M360" t="s">
        <v>1219</v>
      </c>
    </row>
    <row r="361" spans="1:13" x14ac:dyDescent="0.3">
      <c r="A361" t="s">
        <v>1682</v>
      </c>
      <c r="B361" t="s">
        <v>75</v>
      </c>
      <c r="C361" t="s">
        <v>125</v>
      </c>
      <c r="D361" t="s">
        <v>96</v>
      </c>
      <c r="E361" t="s">
        <v>52</v>
      </c>
      <c r="F361" s="4" t="s">
        <v>1117</v>
      </c>
      <c r="G361" s="5">
        <f t="shared" si="5"/>
        <v>3.8</v>
      </c>
      <c r="H361" t="s">
        <v>53</v>
      </c>
      <c r="I361" t="s">
        <v>845</v>
      </c>
      <c r="J361" t="s">
        <v>30</v>
      </c>
      <c r="K361" t="s">
        <v>854</v>
      </c>
      <c r="L361" t="s">
        <v>31</v>
      </c>
      <c r="M361" t="s">
        <v>1659</v>
      </c>
    </row>
    <row r="362" spans="1:13" x14ac:dyDescent="0.3">
      <c r="A362" t="s">
        <v>1683</v>
      </c>
      <c r="B362" t="s">
        <v>864</v>
      </c>
      <c r="C362" t="s">
        <v>242</v>
      </c>
      <c r="D362" t="s">
        <v>64</v>
      </c>
      <c r="E362" t="s">
        <v>116</v>
      </c>
      <c r="F362" s="4" t="s">
        <v>1524</v>
      </c>
      <c r="G362" s="5">
        <f t="shared" si="5"/>
        <v>13.65</v>
      </c>
      <c r="H362" t="s">
        <v>27</v>
      </c>
      <c r="I362" t="s">
        <v>28</v>
      </c>
      <c r="J362" t="s">
        <v>45</v>
      </c>
      <c r="K362" t="s">
        <v>54</v>
      </c>
      <c r="L362" t="s">
        <v>39</v>
      </c>
      <c r="M362" t="s">
        <v>1241</v>
      </c>
    </row>
    <row r="363" spans="1:13" x14ac:dyDescent="0.3">
      <c r="A363" t="s">
        <v>1684</v>
      </c>
      <c r="B363" t="s">
        <v>996</v>
      </c>
      <c r="C363" t="s">
        <v>25</v>
      </c>
      <c r="D363" t="s">
        <v>64</v>
      </c>
      <c r="E363" t="s">
        <v>16</v>
      </c>
      <c r="F363" s="4" t="s">
        <v>1086</v>
      </c>
      <c r="G363" s="5">
        <f t="shared" si="5"/>
        <v>6.15</v>
      </c>
      <c r="H363" t="s">
        <v>27</v>
      </c>
      <c r="I363" t="s">
        <v>28</v>
      </c>
      <c r="J363" t="s">
        <v>874</v>
      </c>
      <c r="K363" t="s">
        <v>46</v>
      </c>
      <c r="L363" t="s">
        <v>937</v>
      </c>
      <c r="M363" t="s">
        <v>1071</v>
      </c>
    </row>
    <row r="364" spans="1:13" x14ac:dyDescent="0.3">
      <c r="A364" t="s">
        <v>1685</v>
      </c>
      <c r="B364" t="s">
        <v>864</v>
      </c>
      <c r="C364" t="s">
        <v>152</v>
      </c>
      <c r="D364" t="s">
        <v>76</v>
      </c>
      <c r="E364" t="s">
        <v>52</v>
      </c>
      <c r="F364" s="4" t="s">
        <v>1427</v>
      </c>
      <c r="G364" s="5">
        <f t="shared" si="5"/>
        <v>5.85</v>
      </c>
      <c r="H364" t="s">
        <v>27</v>
      </c>
      <c r="I364" t="s">
        <v>28</v>
      </c>
      <c r="J364" t="s">
        <v>29</v>
      </c>
      <c r="K364" t="s">
        <v>878</v>
      </c>
      <c r="L364" t="s">
        <v>846</v>
      </c>
      <c r="M364" t="s">
        <v>945</v>
      </c>
    </row>
    <row r="365" spans="1:13" x14ac:dyDescent="0.3">
      <c r="A365" t="s">
        <v>1686</v>
      </c>
      <c r="B365" t="s">
        <v>24</v>
      </c>
      <c r="C365" t="s">
        <v>237</v>
      </c>
      <c r="D365" t="s">
        <v>81</v>
      </c>
      <c r="E365" t="s">
        <v>52</v>
      </c>
      <c r="F365" s="4" t="s">
        <v>1687</v>
      </c>
      <c r="G365" s="5">
        <f t="shared" si="5"/>
        <v>2.7</v>
      </c>
      <c r="H365" t="s">
        <v>53</v>
      </c>
      <c r="I365" t="s">
        <v>845</v>
      </c>
      <c r="J365" t="s">
        <v>45</v>
      </c>
      <c r="K365" t="s">
        <v>908</v>
      </c>
      <c r="L365" t="s">
        <v>46</v>
      </c>
      <c r="M365" t="s">
        <v>1688</v>
      </c>
    </row>
    <row r="366" spans="1:13" x14ac:dyDescent="0.3">
      <c r="A366" t="s">
        <v>1689</v>
      </c>
      <c r="B366" t="s">
        <v>42</v>
      </c>
      <c r="C366" t="s">
        <v>25</v>
      </c>
      <c r="D366" t="s">
        <v>96</v>
      </c>
      <c r="E366" t="s">
        <v>77</v>
      </c>
      <c r="F366" s="4" t="s">
        <v>1690</v>
      </c>
      <c r="G366" s="5">
        <f t="shared" si="5"/>
        <v>39.200000000000003</v>
      </c>
      <c r="H366" t="s">
        <v>27</v>
      </c>
      <c r="I366" t="s">
        <v>28</v>
      </c>
      <c r="J366" t="s">
        <v>29</v>
      </c>
      <c r="K366" t="s">
        <v>45</v>
      </c>
      <c r="L366" t="s">
        <v>46</v>
      </c>
      <c r="M366" t="s">
        <v>1027</v>
      </c>
    </row>
    <row r="367" spans="1:13" x14ac:dyDescent="0.3">
      <c r="A367" t="s">
        <v>1691</v>
      </c>
      <c r="B367" t="s">
        <v>75</v>
      </c>
      <c r="C367" t="s">
        <v>119</v>
      </c>
      <c r="D367" t="s">
        <v>76</v>
      </c>
      <c r="E367" t="s">
        <v>16</v>
      </c>
      <c r="F367" s="4" t="s">
        <v>1385</v>
      </c>
      <c r="G367" s="5">
        <f t="shared" si="5"/>
        <v>6.55</v>
      </c>
      <c r="H367" t="s">
        <v>27</v>
      </c>
      <c r="I367" t="s">
        <v>59</v>
      </c>
      <c r="J367" t="s">
        <v>30</v>
      </c>
      <c r="K367" t="s">
        <v>45</v>
      </c>
      <c r="L367" t="s">
        <v>31</v>
      </c>
      <c r="M367" t="s">
        <v>1006</v>
      </c>
    </row>
    <row r="368" spans="1:13" x14ac:dyDescent="0.3">
      <c r="A368" t="s">
        <v>1692</v>
      </c>
      <c r="B368" t="s">
        <v>49</v>
      </c>
      <c r="C368" t="s">
        <v>1195</v>
      </c>
      <c r="D368" t="s">
        <v>36</v>
      </c>
      <c r="E368" t="s">
        <v>16</v>
      </c>
      <c r="F368" s="4" t="s">
        <v>1326</v>
      </c>
      <c r="G368" s="5">
        <f t="shared" si="5"/>
        <v>5.4</v>
      </c>
      <c r="H368" t="s">
        <v>27</v>
      </c>
      <c r="I368" t="s">
        <v>28</v>
      </c>
      <c r="J368" t="s">
        <v>39</v>
      </c>
      <c r="K368" t="s">
        <v>45</v>
      </c>
      <c r="L368" t="s">
        <v>54</v>
      </c>
      <c r="M368" t="s">
        <v>1131</v>
      </c>
    </row>
    <row r="369" spans="1:13" x14ac:dyDescent="0.3">
      <c r="A369" t="s">
        <v>1693</v>
      </c>
      <c r="B369" t="s">
        <v>49</v>
      </c>
      <c r="C369" t="s">
        <v>899</v>
      </c>
      <c r="D369" t="s">
        <v>44</v>
      </c>
      <c r="E369" t="s">
        <v>116</v>
      </c>
      <c r="F369" s="4" t="s">
        <v>1350</v>
      </c>
      <c r="G369" s="5">
        <f t="shared" si="5"/>
        <v>8.4499999999999993</v>
      </c>
      <c r="H369" t="s">
        <v>27</v>
      </c>
      <c r="I369" t="s">
        <v>59</v>
      </c>
      <c r="J369" t="s">
        <v>46</v>
      </c>
      <c r="K369" t="s">
        <v>45</v>
      </c>
      <c r="L369" t="s">
        <v>20</v>
      </c>
      <c r="M369" t="s">
        <v>1305</v>
      </c>
    </row>
    <row r="370" spans="1:13" x14ac:dyDescent="0.3">
      <c r="A370" t="s">
        <v>1694</v>
      </c>
      <c r="B370" t="s">
        <v>960</v>
      </c>
      <c r="C370" t="s">
        <v>689</v>
      </c>
      <c r="D370" t="s">
        <v>51</v>
      </c>
      <c r="E370" t="s">
        <v>52</v>
      </c>
      <c r="F370" s="4" t="s">
        <v>1695</v>
      </c>
      <c r="G370" s="5">
        <f t="shared" si="5"/>
        <v>5.3</v>
      </c>
      <c r="H370" t="s">
        <v>27</v>
      </c>
      <c r="I370" t="s">
        <v>28</v>
      </c>
      <c r="J370" t="s">
        <v>846</v>
      </c>
      <c r="K370" t="s">
        <v>20</v>
      </c>
      <c r="L370" t="s">
        <v>45</v>
      </c>
      <c r="M370" t="s">
        <v>1280</v>
      </c>
    </row>
    <row r="371" spans="1:13" x14ac:dyDescent="0.3">
      <c r="A371" t="s">
        <v>1696</v>
      </c>
      <c r="B371" t="s">
        <v>13</v>
      </c>
      <c r="C371" t="s">
        <v>188</v>
      </c>
      <c r="D371" t="s">
        <v>15</v>
      </c>
      <c r="E371" t="s">
        <v>52</v>
      </c>
      <c r="F371" s="4" t="s">
        <v>869</v>
      </c>
      <c r="G371" s="5">
        <f t="shared" si="5"/>
        <v>7.2</v>
      </c>
      <c r="H371" t="s">
        <v>27</v>
      </c>
      <c r="I371" t="s">
        <v>59</v>
      </c>
      <c r="J371" t="s">
        <v>878</v>
      </c>
      <c r="K371" t="s">
        <v>908</v>
      </c>
      <c r="L371" t="s">
        <v>45</v>
      </c>
      <c r="M371" t="s">
        <v>1532</v>
      </c>
    </row>
    <row r="372" spans="1:13" x14ac:dyDescent="0.3">
      <c r="A372" t="s">
        <v>1697</v>
      </c>
      <c r="B372" t="s">
        <v>49</v>
      </c>
      <c r="C372" t="s">
        <v>237</v>
      </c>
      <c r="D372" t="s">
        <v>96</v>
      </c>
      <c r="E372" t="s">
        <v>37</v>
      </c>
      <c r="F372" s="4" t="s">
        <v>903</v>
      </c>
      <c r="G372" s="5">
        <f t="shared" si="5"/>
        <v>14.45</v>
      </c>
      <c r="H372" t="s">
        <v>27</v>
      </c>
      <c r="I372" t="s">
        <v>845</v>
      </c>
      <c r="J372" t="s">
        <v>908</v>
      </c>
      <c r="K372" t="s">
        <v>874</v>
      </c>
      <c r="L372" t="s">
        <v>54</v>
      </c>
      <c r="M372" t="s">
        <v>1274</v>
      </c>
    </row>
    <row r="373" spans="1:13" x14ac:dyDescent="0.3">
      <c r="A373" t="s">
        <v>1698</v>
      </c>
      <c r="B373" t="s">
        <v>13</v>
      </c>
      <c r="C373" t="s">
        <v>865</v>
      </c>
      <c r="D373" t="s">
        <v>15</v>
      </c>
      <c r="E373" t="s">
        <v>37</v>
      </c>
      <c r="F373" s="4" t="s">
        <v>1393</v>
      </c>
      <c r="G373" s="5">
        <f t="shared" si="5"/>
        <v>12.2</v>
      </c>
      <c r="H373" t="s">
        <v>27</v>
      </c>
      <c r="I373" t="s">
        <v>28</v>
      </c>
      <c r="J373" t="s">
        <v>46</v>
      </c>
      <c r="K373" t="s">
        <v>878</v>
      </c>
      <c r="L373" t="s">
        <v>39</v>
      </c>
      <c r="M373" t="s">
        <v>1631</v>
      </c>
    </row>
    <row r="374" spans="1:13" x14ac:dyDescent="0.3">
      <c r="A374" t="s">
        <v>1699</v>
      </c>
      <c r="B374" t="s">
        <v>960</v>
      </c>
      <c r="C374" t="s">
        <v>887</v>
      </c>
      <c r="D374" t="s">
        <v>76</v>
      </c>
      <c r="E374" t="s">
        <v>37</v>
      </c>
      <c r="F374" s="4" t="s">
        <v>1341</v>
      </c>
      <c r="G374" s="5">
        <f t="shared" si="5"/>
        <v>14.25</v>
      </c>
      <c r="H374" t="s">
        <v>27</v>
      </c>
      <c r="I374" t="s">
        <v>845</v>
      </c>
      <c r="J374" t="s">
        <v>45</v>
      </c>
      <c r="K374" t="s">
        <v>21</v>
      </c>
      <c r="L374" t="s">
        <v>54</v>
      </c>
      <c r="M374" t="s">
        <v>1030</v>
      </c>
    </row>
    <row r="375" spans="1:13" x14ac:dyDescent="0.3">
      <c r="A375" t="s">
        <v>1700</v>
      </c>
      <c r="B375" t="s">
        <v>49</v>
      </c>
      <c r="C375" t="s">
        <v>217</v>
      </c>
      <c r="D375" t="s">
        <v>51</v>
      </c>
      <c r="E375" t="s">
        <v>16</v>
      </c>
      <c r="F375" s="4" t="s">
        <v>1701</v>
      </c>
      <c r="G375" s="5">
        <f t="shared" si="5"/>
        <v>9.1999999999999993</v>
      </c>
      <c r="H375" t="s">
        <v>17</v>
      </c>
      <c r="I375" t="s">
        <v>28</v>
      </c>
      <c r="J375" t="s">
        <v>30</v>
      </c>
      <c r="K375" t="s">
        <v>874</v>
      </c>
      <c r="L375" t="s">
        <v>20</v>
      </c>
      <c r="M375" t="s">
        <v>1702</v>
      </c>
    </row>
    <row r="376" spans="1:13" x14ac:dyDescent="0.3">
      <c r="A376" t="s">
        <v>1703</v>
      </c>
      <c r="B376" t="s">
        <v>996</v>
      </c>
      <c r="C376" t="s">
        <v>80</v>
      </c>
      <c r="D376" t="s">
        <v>15</v>
      </c>
      <c r="E376" t="s">
        <v>77</v>
      </c>
      <c r="F376" s="4" t="s">
        <v>1704</v>
      </c>
      <c r="G376" s="5">
        <f t="shared" si="5"/>
        <v>43.95</v>
      </c>
      <c r="H376" t="s">
        <v>27</v>
      </c>
      <c r="I376" t="s">
        <v>845</v>
      </c>
      <c r="J376" t="s">
        <v>46</v>
      </c>
      <c r="K376" t="s">
        <v>874</v>
      </c>
      <c r="L376" t="s">
        <v>846</v>
      </c>
      <c r="M376" t="s">
        <v>978</v>
      </c>
    </row>
    <row r="377" spans="1:13" x14ac:dyDescent="0.3">
      <c r="A377" t="s">
        <v>1705</v>
      </c>
      <c r="B377" t="s">
        <v>13</v>
      </c>
      <c r="C377" t="s">
        <v>389</v>
      </c>
      <c r="D377" t="s">
        <v>51</v>
      </c>
      <c r="E377" t="s">
        <v>52</v>
      </c>
      <c r="F377" s="4" t="s">
        <v>1409</v>
      </c>
      <c r="G377" s="5">
        <f t="shared" si="5"/>
        <v>6.7</v>
      </c>
      <c r="H377" t="s">
        <v>27</v>
      </c>
      <c r="I377" t="s">
        <v>845</v>
      </c>
      <c r="J377" t="s">
        <v>878</v>
      </c>
      <c r="K377" t="s">
        <v>46</v>
      </c>
      <c r="L377" t="s">
        <v>874</v>
      </c>
      <c r="M377" t="s">
        <v>934</v>
      </c>
    </row>
    <row r="378" spans="1:13" x14ac:dyDescent="0.3">
      <c r="A378" t="s">
        <v>1706</v>
      </c>
      <c r="B378" t="s">
        <v>864</v>
      </c>
      <c r="C378" t="s">
        <v>530</v>
      </c>
      <c r="D378" t="s">
        <v>64</v>
      </c>
      <c r="E378" t="s">
        <v>37</v>
      </c>
      <c r="F378" s="4" t="s">
        <v>1707</v>
      </c>
      <c r="G378" s="5">
        <f t="shared" si="5"/>
        <v>16.5</v>
      </c>
      <c r="H378" t="s">
        <v>17</v>
      </c>
      <c r="I378" t="s">
        <v>28</v>
      </c>
      <c r="J378" t="s">
        <v>937</v>
      </c>
      <c r="K378" t="s">
        <v>908</v>
      </c>
      <c r="L378" t="s">
        <v>39</v>
      </c>
      <c r="M378" t="s">
        <v>1115</v>
      </c>
    </row>
    <row r="379" spans="1:13" x14ac:dyDescent="0.3">
      <c r="A379" t="s">
        <v>1708</v>
      </c>
      <c r="B379" t="s">
        <v>24</v>
      </c>
      <c r="C379" t="s">
        <v>242</v>
      </c>
      <c r="D379" t="s">
        <v>15</v>
      </c>
      <c r="E379" t="s">
        <v>37</v>
      </c>
      <c r="F379" s="4" t="s">
        <v>1228</v>
      </c>
      <c r="G379" s="5">
        <f t="shared" si="5"/>
        <v>17.95</v>
      </c>
      <c r="H379" t="s">
        <v>27</v>
      </c>
      <c r="I379" t="s">
        <v>845</v>
      </c>
      <c r="J379" t="s">
        <v>54</v>
      </c>
      <c r="K379" t="s">
        <v>39</v>
      </c>
      <c r="L379" t="s">
        <v>45</v>
      </c>
      <c r="M379" t="s">
        <v>1412</v>
      </c>
    </row>
    <row r="380" spans="1:13" x14ac:dyDescent="0.3">
      <c r="A380" t="s">
        <v>1709</v>
      </c>
      <c r="B380" t="s">
        <v>49</v>
      </c>
      <c r="C380" t="s">
        <v>899</v>
      </c>
      <c r="D380" t="s">
        <v>81</v>
      </c>
      <c r="E380" t="s">
        <v>16</v>
      </c>
      <c r="F380" s="4" t="s">
        <v>1396</v>
      </c>
      <c r="G380" s="5">
        <f t="shared" si="5"/>
        <v>8.0500000000000007</v>
      </c>
      <c r="H380" t="s">
        <v>27</v>
      </c>
      <c r="I380" t="s">
        <v>59</v>
      </c>
      <c r="J380" t="s">
        <v>854</v>
      </c>
      <c r="K380" t="s">
        <v>31</v>
      </c>
      <c r="L380" t="s">
        <v>878</v>
      </c>
      <c r="M380" t="s">
        <v>1147</v>
      </c>
    </row>
    <row r="381" spans="1:13" x14ac:dyDescent="0.3">
      <c r="A381" t="s">
        <v>1710</v>
      </c>
      <c r="B381" t="s">
        <v>24</v>
      </c>
      <c r="C381" t="s">
        <v>283</v>
      </c>
      <c r="D381" t="s">
        <v>76</v>
      </c>
      <c r="E381" t="s">
        <v>52</v>
      </c>
      <c r="F381" s="4" t="s">
        <v>1039</v>
      </c>
      <c r="G381" s="5">
        <f t="shared" si="5"/>
        <v>3.1</v>
      </c>
      <c r="H381" t="s">
        <v>53</v>
      </c>
      <c r="I381" t="s">
        <v>28</v>
      </c>
      <c r="J381" t="s">
        <v>46</v>
      </c>
      <c r="K381" t="s">
        <v>45</v>
      </c>
      <c r="L381" t="s">
        <v>20</v>
      </c>
      <c r="M381" t="s">
        <v>1711</v>
      </c>
    </row>
    <row r="382" spans="1:13" x14ac:dyDescent="0.3">
      <c r="A382" t="s">
        <v>1712</v>
      </c>
      <c r="B382" t="s">
        <v>49</v>
      </c>
      <c r="C382" t="s">
        <v>899</v>
      </c>
      <c r="D382" t="s">
        <v>64</v>
      </c>
      <c r="E382" t="s">
        <v>16</v>
      </c>
      <c r="F382" s="4" t="s">
        <v>1414</v>
      </c>
      <c r="G382" s="5">
        <f t="shared" si="5"/>
        <v>7.25</v>
      </c>
      <c r="H382" t="s">
        <v>27</v>
      </c>
      <c r="I382" t="s">
        <v>59</v>
      </c>
      <c r="J382" t="s">
        <v>846</v>
      </c>
      <c r="K382" t="s">
        <v>21</v>
      </c>
      <c r="L382" t="s">
        <v>908</v>
      </c>
      <c r="M382" t="s">
        <v>1713</v>
      </c>
    </row>
    <row r="383" spans="1:13" x14ac:dyDescent="0.3">
      <c r="A383" t="s">
        <v>1714</v>
      </c>
      <c r="B383" t="s">
        <v>996</v>
      </c>
      <c r="C383" t="s">
        <v>80</v>
      </c>
      <c r="D383" t="s">
        <v>15</v>
      </c>
      <c r="E383" t="s">
        <v>37</v>
      </c>
      <c r="F383" s="4" t="s">
        <v>1715</v>
      </c>
      <c r="G383" s="5">
        <f t="shared" si="5"/>
        <v>20</v>
      </c>
      <c r="H383" t="s">
        <v>17</v>
      </c>
      <c r="I383" t="s">
        <v>59</v>
      </c>
      <c r="J383" t="s">
        <v>878</v>
      </c>
      <c r="K383" t="s">
        <v>854</v>
      </c>
      <c r="L383" t="s">
        <v>908</v>
      </c>
      <c r="M383" t="s">
        <v>1602</v>
      </c>
    </row>
    <row r="384" spans="1:13" x14ac:dyDescent="0.3">
      <c r="A384" t="s">
        <v>1716</v>
      </c>
      <c r="B384" t="s">
        <v>960</v>
      </c>
      <c r="C384" t="s">
        <v>123</v>
      </c>
      <c r="D384" t="s">
        <v>81</v>
      </c>
      <c r="E384" t="s">
        <v>37</v>
      </c>
      <c r="F384" s="4" t="s">
        <v>933</v>
      </c>
      <c r="G384" s="5">
        <f t="shared" si="5"/>
        <v>19.25</v>
      </c>
      <c r="H384" t="s">
        <v>27</v>
      </c>
      <c r="I384" t="s">
        <v>28</v>
      </c>
      <c r="J384" t="s">
        <v>39</v>
      </c>
      <c r="K384" t="s">
        <v>846</v>
      </c>
      <c r="L384" t="s">
        <v>29</v>
      </c>
      <c r="M384" t="s">
        <v>1713</v>
      </c>
    </row>
    <row r="385" spans="1:13" x14ac:dyDescent="0.3">
      <c r="A385" t="s">
        <v>1717</v>
      </c>
      <c r="B385" t="s">
        <v>75</v>
      </c>
      <c r="C385" t="s">
        <v>999</v>
      </c>
      <c r="D385" t="s">
        <v>76</v>
      </c>
      <c r="E385" t="s">
        <v>16</v>
      </c>
      <c r="F385" s="4" t="s">
        <v>1718</v>
      </c>
      <c r="G385" s="5">
        <f t="shared" si="5"/>
        <v>8.6999999999999993</v>
      </c>
      <c r="H385" t="s">
        <v>27</v>
      </c>
      <c r="I385" t="s">
        <v>28</v>
      </c>
      <c r="J385" t="s">
        <v>854</v>
      </c>
      <c r="K385" t="s">
        <v>21</v>
      </c>
      <c r="L385" t="s">
        <v>874</v>
      </c>
      <c r="M385" t="s">
        <v>1295</v>
      </c>
    </row>
    <row r="386" spans="1:13" x14ac:dyDescent="0.3">
      <c r="A386" t="s">
        <v>1719</v>
      </c>
      <c r="B386" t="s">
        <v>42</v>
      </c>
      <c r="C386" t="s">
        <v>689</v>
      </c>
      <c r="D386" t="s">
        <v>44</v>
      </c>
      <c r="E386" t="s">
        <v>116</v>
      </c>
      <c r="F386" s="4" t="s">
        <v>1513</v>
      </c>
      <c r="G386" s="5">
        <f t="shared" ref="G386:G449" si="6">F386/100000</f>
        <v>8.15</v>
      </c>
      <c r="H386" t="s">
        <v>27</v>
      </c>
      <c r="I386" t="s">
        <v>28</v>
      </c>
      <c r="J386" t="s">
        <v>46</v>
      </c>
      <c r="K386" t="s">
        <v>29</v>
      </c>
      <c r="L386" t="s">
        <v>20</v>
      </c>
      <c r="M386" t="s">
        <v>1720</v>
      </c>
    </row>
    <row r="387" spans="1:13" x14ac:dyDescent="0.3">
      <c r="A387" t="s">
        <v>1721</v>
      </c>
      <c r="B387" t="s">
        <v>852</v>
      </c>
      <c r="C387" t="s">
        <v>172</v>
      </c>
      <c r="D387" t="s">
        <v>51</v>
      </c>
      <c r="E387" t="s">
        <v>52</v>
      </c>
      <c r="F387" s="4" t="s">
        <v>1722</v>
      </c>
      <c r="G387" s="5">
        <f t="shared" si="6"/>
        <v>3.5</v>
      </c>
      <c r="H387" t="s">
        <v>17</v>
      </c>
      <c r="I387" t="s">
        <v>845</v>
      </c>
      <c r="J387" t="s">
        <v>21</v>
      </c>
      <c r="K387" t="s">
        <v>937</v>
      </c>
      <c r="L387" t="s">
        <v>20</v>
      </c>
      <c r="M387" t="s">
        <v>1444</v>
      </c>
    </row>
    <row r="388" spans="1:13" x14ac:dyDescent="0.3">
      <c r="A388" t="s">
        <v>1723</v>
      </c>
      <c r="B388" t="s">
        <v>13</v>
      </c>
      <c r="C388" t="s">
        <v>172</v>
      </c>
      <c r="D388" t="s">
        <v>76</v>
      </c>
      <c r="E388" t="s">
        <v>52</v>
      </c>
      <c r="F388" s="4" t="s">
        <v>1724</v>
      </c>
      <c r="G388" s="5">
        <f t="shared" si="6"/>
        <v>5.55</v>
      </c>
      <c r="H388" t="s">
        <v>27</v>
      </c>
      <c r="I388" t="s">
        <v>28</v>
      </c>
      <c r="J388" t="s">
        <v>878</v>
      </c>
      <c r="K388" t="s">
        <v>31</v>
      </c>
      <c r="L388" t="s">
        <v>54</v>
      </c>
      <c r="M388" t="s">
        <v>1147</v>
      </c>
    </row>
    <row r="389" spans="1:13" x14ac:dyDescent="0.3">
      <c r="A389" t="s">
        <v>1725</v>
      </c>
      <c r="B389" t="s">
        <v>62</v>
      </c>
      <c r="C389" t="s">
        <v>305</v>
      </c>
      <c r="D389" t="s">
        <v>76</v>
      </c>
      <c r="E389" t="s">
        <v>52</v>
      </c>
      <c r="F389" s="4" t="s">
        <v>1353</v>
      </c>
      <c r="G389" s="5">
        <f t="shared" si="6"/>
        <v>6.05</v>
      </c>
      <c r="H389" t="s">
        <v>27</v>
      </c>
      <c r="I389" t="s">
        <v>28</v>
      </c>
      <c r="J389" t="s">
        <v>46</v>
      </c>
      <c r="K389" t="s">
        <v>39</v>
      </c>
      <c r="L389" t="s">
        <v>874</v>
      </c>
      <c r="M389" t="s">
        <v>1419</v>
      </c>
    </row>
    <row r="390" spans="1:13" x14ac:dyDescent="0.3">
      <c r="A390" t="s">
        <v>1726</v>
      </c>
      <c r="B390" t="s">
        <v>24</v>
      </c>
      <c r="C390" t="s">
        <v>1278</v>
      </c>
      <c r="D390" t="s">
        <v>96</v>
      </c>
      <c r="E390" t="s">
        <v>116</v>
      </c>
      <c r="F390" s="4" t="s">
        <v>1202</v>
      </c>
      <c r="G390" s="5">
        <f t="shared" si="6"/>
        <v>15.55</v>
      </c>
      <c r="H390" t="s">
        <v>27</v>
      </c>
      <c r="I390" t="s">
        <v>59</v>
      </c>
      <c r="J390" t="s">
        <v>45</v>
      </c>
      <c r="K390" t="s">
        <v>908</v>
      </c>
      <c r="L390" t="s">
        <v>46</v>
      </c>
      <c r="M390" t="s">
        <v>1727</v>
      </c>
    </row>
    <row r="391" spans="1:13" x14ac:dyDescent="0.3">
      <c r="A391" t="s">
        <v>1728</v>
      </c>
      <c r="B391" t="s">
        <v>13</v>
      </c>
      <c r="C391" t="s">
        <v>90</v>
      </c>
      <c r="D391" t="s">
        <v>36</v>
      </c>
      <c r="E391" t="s">
        <v>116</v>
      </c>
      <c r="F391" s="4" t="s">
        <v>1729</v>
      </c>
      <c r="G391" s="5">
        <f t="shared" si="6"/>
        <v>17.3</v>
      </c>
      <c r="H391" t="s">
        <v>27</v>
      </c>
      <c r="I391" t="s">
        <v>28</v>
      </c>
      <c r="J391" t="s">
        <v>54</v>
      </c>
      <c r="K391" t="s">
        <v>45</v>
      </c>
      <c r="L391" t="s">
        <v>874</v>
      </c>
      <c r="M391" t="s">
        <v>1295</v>
      </c>
    </row>
    <row r="392" spans="1:13" x14ac:dyDescent="0.3">
      <c r="A392" t="s">
        <v>1730</v>
      </c>
      <c r="B392" t="s">
        <v>75</v>
      </c>
      <c r="C392" t="s">
        <v>400</v>
      </c>
      <c r="D392" t="s">
        <v>51</v>
      </c>
      <c r="E392" t="s">
        <v>77</v>
      </c>
      <c r="F392" s="4" t="s">
        <v>1731</v>
      </c>
      <c r="G392" s="5">
        <f t="shared" si="6"/>
        <v>36.450000000000003</v>
      </c>
      <c r="H392" t="s">
        <v>27</v>
      </c>
      <c r="I392" t="s">
        <v>28</v>
      </c>
      <c r="J392" t="s">
        <v>20</v>
      </c>
      <c r="K392" t="s">
        <v>45</v>
      </c>
      <c r="L392" t="s">
        <v>31</v>
      </c>
      <c r="M392" t="s">
        <v>1732</v>
      </c>
    </row>
    <row r="393" spans="1:13" x14ac:dyDescent="0.3">
      <c r="A393" t="s">
        <v>1733</v>
      </c>
      <c r="B393" t="s">
        <v>49</v>
      </c>
      <c r="C393" t="s">
        <v>887</v>
      </c>
      <c r="D393" t="s">
        <v>44</v>
      </c>
      <c r="E393" t="s">
        <v>116</v>
      </c>
      <c r="F393" s="4" t="s">
        <v>1734</v>
      </c>
      <c r="G393" s="5">
        <f t="shared" si="6"/>
        <v>13.25</v>
      </c>
      <c r="H393" t="s">
        <v>27</v>
      </c>
      <c r="I393" t="s">
        <v>845</v>
      </c>
      <c r="J393" t="s">
        <v>45</v>
      </c>
      <c r="K393" t="s">
        <v>21</v>
      </c>
      <c r="L393" t="s">
        <v>54</v>
      </c>
      <c r="M393" t="s">
        <v>1735</v>
      </c>
    </row>
    <row r="394" spans="1:13" x14ac:dyDescent="0.3">
      <c r="A394" t="s">
        <v>1736</v>
      </c>
      <c r="B394" t="s">
        <v>42</v>
      </c>
      <c r="C394" t="s">
        <v>63</v>
      </c>
      <c r="D394" t="s">
        <v>51</v>
      </c>
      <c r="E394" t="s">
        <v>37</v>
      </c>
      <c r="F394" s="4" t="s">
        <v>884</v>
      </c>
      <c r="G394" s="5">
        <f t="shared" si="6"/>
        <v>21.05</v>
      </c>
      <c r="H394" t="s">
        <v>27</v>
      </c>
      <c r="I394" t="s">
        <v>845</v>
      </c>
      <c r="J394" t="s">
        <v>31</v>
      </c>
      <c r="K394" t="s">
        <v>54</v>
      </c>
      <c r="L394" t="s">
        <v>29</v>
      </c>
      <c r="M394" t="s">
        <v>1737</v>
      </c>
    </row>
    <row r="395" spans="1:13" x14ac:dyDescent="0.3">
      <c r="A395" t="s">
        <v>1738</v>
      </c>
      <c r="B395" t="s">
        <v>42</v>
      </c>
      <c r="C395" t="s">
        <v>357</v>
      </c>
      <c r="D395" t="s">
        <v>26</v>
      </c>
      <c r="E395" t="s">
        <v>52</v>
      </c>
      <c r="F395" s="4" t="s">
        <v>1739</v>
      </c>
      <c r="G395" s="5">
        <f t="shared" si="6"/>
        <v>5.45</v>
      </c>
      <c r="H395" t="s">
        <v>27</v>
      </c>
      <c r="I395" t="s">
        <v>28</v>
      </c>
      <c r="J395" t="s">
        <v>46</v>
      </c>
      <c r="K395" t="s">
        <v>30</v>
      </c>
      <c r="L395" t="s">
        <v>20</v>
      </c>
      <c r="M395" t="s">
        <v>1027</v>
      </c>
    </row>
    <row r="396" spans="1:13" x14ac:dyDescent="0.3">
      <c r="A396" t="s">
        <v>1740</v>
      </c>
      <c r="B396" t="s">
        <v>13</v>
      </c>
      <c r="C396" t="s">
        <v>25</v>
      </c>
      <c r="D396" t="s">
        <v>26</v>
      </c>
      <c r="E396" t="s">
        <v>52</v>
      </c>
      <c r="F396" s="4" t="s">
        <v>1741</v>
      </c>
      <c r="G396" s="5">
        <f t="shared" si="6"/>
        <v>2.4</v>
      </c>
      <c r="H396" t="s">
        <v>53</v>
      </c>
      <c r="I396" t="s">
        <v>28</v>
      </c>
      <c r="J396" t="s">
        <v>854</v>
      </c>
      <c r="K396" t="s">
        <v>45</v>
      </c>
      <c r="L396" t="s">
        <v>21</v>
      </c>
      <c r="M396" t="s">
        <v>1742</v>
      </c>
    </row>
    <row r="397" spans="1:13" x14ac:dyDescent="0.3">
      <c r="A397" t="s">
        <v>1743</v>
      </c>
      <c r="B397" t="s">
        <v>75</v>
      </c>
      <c r="C397" t="s">
        <v>191</v>
      </c>
      <c r="D397" t="s">
        <v>71</v>
      </c>
      <c r="E397" t="s">
        <v>116</v>
      </c>
      <c r="F397" s="4" t="s">
        <v>1056</v>
      </c>
      <c r="G397" s="5">
        <f t="shared" si="6"/>
        <v>11.55</v>
      </c>
      <c r="H397" t="s">
        <v>27</v>
      </c>
      <c r="I397" t="s">
        <v>845</v>
      </c>
      <c r="J397" t="s">
        <v>54</v>
      </c>
      <c r="K397" t="s">
        <v>30</v>
      </c>
      <c r="L397" t="s">
        <v>21</v>
      </c>
      <c r="M397" t="s">
        <v>1435</v>
      </c>
    </row>
    <row r="398" spans="1:13" x14ac:dyDescent="0.3">
      <c r="A398" t="s">
        <v>1744</v>
      </c>
      <c r="B398" t="s">
        <v>42</v>
      </c>
      <c r="C398" t="s">
        <v>109</v>
      </c>
      <c r="D398" t="s">
        <v>81</v>
      </c>
      <c r="E398" t="s">
        <v>37</v>
      </c>
      <c r="F398" s="4" t="s">
        <v>1745</v>
      </c>
      <c r="G398" s="5">
        <f t="shared" si="6"/>
        <v>17.75</v>
      </c>
      <c r="H398" t="s">
        <v>27</v>
      </c>
      <c r="I398" t="s">
        <v>845</v>
      </c>
      <c r="J398" t="s">
        <v>29</v>
      </c>
      <c r="K398" t="s">
        <v>20</v>
      </c>
      <c r="L398" t="s">
        <v>874</v>
      </c>
      <c r="M398" t="s">
        <v>1316</v>
      </c>
    </row>
    <row r="399" spans="1:13" x14ac:dyDescent="0.3">
      <c r="A399" t="s">
        <v>1746</v>
      </c>
      <c r="B399" t="s">
        <v>62</v>
      </c>
      <c r="C399" t="s">
        <v>283</v>
      </c>
      <c r="D399" t="s">
        <v>64</v>
      </c>
      <c r="E399" t="s">
        <v>116</v>
      </c>
      <c r="F399" s="4" t="s">
        <v>1204</v>
      </c>
      <c r="G399" s="5">
        <f t="shared" si="6"/>
        <v>8.8000000000000007</v>
      </c>
      <c r="H399" t="s">
        <v>27</v>
      </c>
      <c r="I399" t="s">
        <v>845</v>
      </c>
      <c r="J399" t="s">
        <v>937</v>
      </c>
      <c r="K399" t="s">
        <v>30</v>
      </c>
      <c r="L399" t="s">
        <v>29</v>
      </c>
      <c r="M399" t="s">
        <v>1444</v>
      </c>
    </row>
    <row r="400" spans="1:13" x14ac:dyDescent="0.3">
      <c r="A400" t="s">
        <v>1747</v>
      </c>
      <c r="B400" t="s">
        <v>852</v>
      </c>
      <c r="C400" t="s">
        <v>1278</v>
      </c>
      <c r="D400" t="s">
        <v>26</v>
      </c>
      <c r="E400" t="s">
        <v>37</v>
      </c>
      <c r="F400" s="4" t="s">
        <v>1284</v>
      </c>
      <c r="G400" s="5">
        <f t="shared" si="6"/>
        <v>13.95</v>
      </c>
      <c r="H400" t="s">
        <v>27</v>
      </c>
      <c r="I400" t="s">
        <v>845</v>
      </c>
      <c r="J400" t="s">
        <v>39</v>
      </c>
      <c r="K400" t="s">
        <v>45</v>
      </c>
      <c r="L400" t="s">
        <v>854</v>
      </c>
      <c r="M400" t="s">
        <v>1234</v>
      </c>
    </row>
    <row r="401" spans="1:13" x14ac:dyDescent="0.3">
      <c r="A401" t="s">
        <v>1748</v>
      </c>
      <c r="B401" t="s">
        <v>62</v>
      </c>
      <c r="C401" t="s">
        <v>211</v>
      </c>
      <c r="D401" t="s">
        <v>64</v>
      </c>
      <c r="E401" t="s">
        <v>77</v>
      </c>
      <c r="F401" s="4" t="s">
        <v>983</v>
      </c>
      <c r="G401" s="5">
        <f t="shared" si="6"/>
        <v>21.75</v>
      </c>
      <c r="H401" t="s">
        <v>27</v>
      </c>
      <c r="I401" t="s">
        <v>59</v>
      </c>
      <c r="J401" t="s">
        <v>31</v>
      </c>
      <c r="K401" t="s">
        <v>937</v>
      </c>
      <c r="L401" t="s">
        <v>21</v>
      </c>
      <c r="M401" t="s">
        <v>1030</v>
      </c>
    </row>
    <row r="402" spans="1:13" x14ac:dyDescent="0.3">
      <c r="A402" t="s">
        <v>1749</v>
      </c>
      <c r="B402" t="s">
        <v>852</v>
      </c>
      <c r="C402" t="s">
        <v>441</v>
      </c>
      <c r="D402" t="s">
        <v>64</v>
      </c>
      <c r="E402" t="s">
        <v>16</v>
      </c>
      <c r="F402" s="4" t="s">
        <v>928</v>
      </c>
      <c r="G402" s="5">
        <f t="shared" si="6"/>
        <v>7.3</v>
      </c>
      <c r="H402" t="s">
        <v>27</v>
      </c>
      <c r="I402" t="s">
        <v>28</v>
      </c>
      <c r="J402" t="s">
        <v>908</v>
      </c>
      <c r="K402" t="s">
        <v>874</v>
      </c>
      <c r="L402" t="s">
        <v>20</v>
      </c>
      <c r="M402" t="s">
        <v>1134</v>
      </c>
    </row>
    <row r="403" spans="1:13" x14ac:dyDescent="0.3">
      <c r="A403" t="s">
        <v>1750</v>
      </c>
      <c r="B403" t="s">
        <v>960</v>
      </c>
      <c r="C403" t="s">
        <v>63</v>
      </c>
      <c r="D403" t="s">
        <v>44</v>
      </c>
      <c r="E403" t="s">
        <v>52</v>
      </c>
      <c r="F403" s="4" t="s">
        <v>1504</v>
      </c>
      <c r="G403" s="5">
        <f t="shared" si="6"/>
        <v>4.95</v>
      </c>
      <c r="H403" t="s">
        <v>27</v>
      </c>
      <c r="I403" t="s">
        <v>845</v>
      </c>
      <c r="J403" t="s">
        <v>846</v>
      </c>
      <c r="K403" t="s">
        <v>31</v>
      </c>
      <c r="L403" t="s">
        <v>45</v>
      </c>
      <c r="M403" t="s">
        <v>1713</v>
      </c>
    </row>
    <row r="404" spans="1:13" x14ac:dyDescent="0.3">
      <c r="A404" t="s">
        <v>1751</v>
      </c>
      <c r="B404" t="s">
        <v>42</v>
      </c>
      <c r="C404" t="s">
        <v>441</v>
      </c>
      <c r="D404" t="s">
        <v>96</v>
      </c>
      <c r="E404" t="s">
        <v>116</v>
      </c>
      <c r="F404" s="4" t="s">
        <v>1173</v>
      </c>
      <c r="G404" s="5">
        <f t="shared" si="6"/>
        <v>10.1</v>
      </c>
      <c r="H404" t="s">
        <v>27</v>
      </c>
      <c r="I404" t="s">
        <v>28</v>
      </c>
      <c r="J404" t="s">
        <v>20</v>
      </c>
      <c r="K404" t="s">
        <v>854</v>
      </c>
      <c r="L404" t="s">
        <v>54</v>
      </c>
      <c r="M404" t="s">
        <v>1037</v>
      </c>
    </row>
    <row r="405" spans="1:13" x14ac:dyDescent="0.3">
      <c r="A405" t="s">
        <v>1752</v>
      </c>
      <c r="B405" t="s">
        <v>75</v>
      </c>
      <c r="C405" t="s">
        <v>999</v>
      </c>
      <c r="D405" t="s">
        <v>76</v>
      </c>
      <c r="E405" t="s">
        <v>52</v>
      </c>
      <c r="F405" s="4" t="s">
        <v>1459</v>
      </c>
      <c r="G405" s="5">
        <f t="shared" si="6"/>
        <v>6.1</v>
      </c>
      <c r="H405" t="s">
        <v>27</v>
      </c>
      <c r="I405" t="s">
        <v>28</v>
      </c>
      <c r="J405" t="s">
        <v>21</v>
      </c>
      <c r="K405" t="s">
        <v>20</v>
      </c>
      <c r="L405" t="s">
        <v>45</v>
      </c>
      <c r="M405" t="s">
        <v>1274</v>
      </c>
    </row>
    <row r="406" spans="1:13" x14ac:dyDescent="0.3">
      <c r="A406" t="s">
        <v>1753</v>
      </c>
      <c r="B406" t="s">
        <v>49</v>
      </c>
      <c r="C406" t="s">
        <v>334</v>
      </c>
      <c r="D406" t="s">
        <v>96</v>
      </c>
      <c r="E406" t="s">
        <v>16</v>
      </c>
      <c r="F406" s="4" t="s">
        <v>1279</v>
      </c>
      <c r="G406" s="5">
        <f t="shared" si="6"/>
        <v>10.55</v>
      </c>
      <c r="H406" t="s">
        <v>27</v>
      </c>
      <c r="I406" t="s">
        <v>845</v>
      </c>
      <c r="J406" t="s">
        <v>878</v>
      </c>
      <c r="K406" t="s">
        <v>39</v>
      </c>
      <c r="L406" t="s">
        <v>846</v>
      </c>
      <c r="M406" t="s">
        <v>1561</v>
      </c>
    </row>
    <row r="407" spans="1:13" x14ac:dyDescent="0.3">
      <c r="A407" t="s">
        <v>1754</v>
      </c>
      <c r="B407" t="s">
        <v>62</v>
      </c>
      <c r="C407" t="s">
        <v>655</v>
      </c>
      <c r="D407" t="s">
        <v>15</v>
      </c>
      <c r="E407" t="s">
        <v>37</v>
      </c>
      <c r="F407" s="4" t="s">
        <v>1202</v>
      </c>
      <c r="G407" s="5">
        <f t="shared" si="6"/>
        <v>15.55</v>
      </c>
      <c r="H407" t="s">
        <v>27</v>
      </c>
      <c r="I407" t="s">
        <v>28</v>
      </c>
      <c r="J407" t="s">
        <v>30</v>
      </c>
      <c r="K407" t="s">
        <v>937</v>
      </c>
      <c r="L407" t="s">
        <v>878</v>
      </c>
      <c r="M407" t="s">
        <v>1309</v>
      </c>
    </row>
    <row r="408" spans="1:13" x14ac:dyDescent="0.3">
      <c r="A408" t="s">
        <v>1755</v>
      </c>
      <c r="B408" t="s">
        <v>852</v>
      </c>
      <c r="C408" t="s">
        <v>1127</v>
      </c>
      <c r="D408" t="s">
        <v>51</v>
      </c>
      <c r="E408" t="s">
        <v>52</v>
      </c>
      <c r="F408" s="4" t="s">
        <v>1335</v>
      </c>
      <c r="G408" s="5">
        <f t="shared" si="6"/>
        <v>6.85</v>
      </c>
      <c r="H408" t="s">
        <v>27</v>
      </c>
      <c r="I408" t="s">
        <v>845</v>
      </c>
      <c r="J408" t="s">
        <v>29</v>
      </c>
      <c r="K408" t="s">
        <v>854</v>
      </c>
      <c r="L408" t="s">
        <v>39</v>
      </c>
      <c r="M408" t="s">
        <v>1145</v>
      </c>
    </row>
    <row r="409" spans="1:13" x14ac:dyDescent="0.3">
      <c r="A409" t="s">
        <v>1756</v>
      </c>
      <c r="B409" t="s">
        <v>42</v>
      </c>
      <c r="C409" t="s">
        <v>119</v>
      </c>
      <c r="D409" t="s">
        <v>81</v>
      </c>
      <c r="E409" t="s">
        <v>77</v>
      </c>
      <c r="F409" s="4" t="s">
        <v>1757</v>
      </c>
      <c r="G409" s="5">
        <f t="shared" si="6"/>
        <v>26.25</v>
      </c>
      <c r="H409" t="s">
        <v>27</v>
      </c>
      <c r="I409" t="s">
        <v>28</v>
      </c>
      <c r="J409" t="s">
        <v>39</v>
      </c>
      <c r="K409" t="s">
        <v>31</v>
      </c>
      <c r="L409" t="s">
        <v>20</v>
      </c>
      <c r="M409" t="s">
        <v>912</v>
      </c>
    </row>
    <row r="410" spans="1:13" x14ac:dyDescent="0.3">
      <c r="A410" t="s">
        <v>1758</v>
      </c>
      <c r="B410" t="s">
        <v>62</v>
      </c>
      <c r="C410" t="s">
        <v>106</v>
      </c>
      <c r="D410" t="s">
        <v>96</v>
      </c>
      <c r="E410" t="s">
        <v>77</v>
      </c>
      <c r="F410" s="4" t="s">
        <v>1759</v>
      </c>
      <c r="G410" s="5">
        <f t="shared" si="6"/>
        <v>34.299999999999997</v>
      </c>
      <c r="H410" t="s">
        <v>17</v>
      </c>
      <c r="I410" t="s">
        <v>28</v>
      </c>
      <c r="J410" t="s">
        <v>846</v>
      </c>
      <c r="K410" t="s">
        <v>21</v>
      </c>
      <c r="L410" t="s">
        <v>30</v>
      </c>
      <c r="M410" t="s">
        <v>1018</v>
      </c>
    </row>
    <row r="411" spans="1:13" x14ac:dyDescent="0.3">
      <c r="A411" t="s">
        <v>1760</v>
      </c>
      <c r="B411" t="s">
        <v>49</v>
      </c>
      <c r="C411" t="s">
        <v>271</v>
      </c>
      <c r="D411" t="s">
        <v>96</v>
      </c>
      <c r="E411" t="s">
        <v>116</v>
      </c>
      <c r="F411" s="4" t="s">
        <v>1288</v>
      </c>
      <c r="G411" s="5">
        <f t="shared" si="6"/>
        <v>10.6</v>
      </c>
      <c r="H411" t="s">
        <v>27</v>
      </c>
      <c r="I411" t="s">
        <v>28</v>
      </c>
      <c r="J411" t="s">
        <v>46</v>
      </c>
      <c r="K411" t="s">
        <v>45</v>
      </c>
      <c r="L411" t="s">
        <v>846</v>
      </c>
      <c r="M411" t="s">
        <v>1365</v>
      </c>
    </row>
    <row r="412" spans="1:13" x14ac:dyDescent="0.3">
      <c r="A412" t="s">
        <v>1761</v>
      </c>
      <c r="B412" t="s">
        <v>49</v>
      </c>
      <c r="C412" t="s">
        <v>530</v>
      </c>
      <c r="D412" t="s">
        <v>36</v>
      </c>
      <c r="E412" t="s">
        <v>16</v>
      </c>
      <c r="F412" s="4" t="s">
        <v>1461</v>
      </c>
      <c r="G412" s="5">
        <f t="shared" si="6"/>
        <v>9.6999999999999993</v>
      </c>
      <c r="H412" t="s">
        <v>27</v>
      </c>
      <c r="I412" t="s">
        <v>59</v>
      </c>
      <c r="J412" t="s">
        <v>45</v>
      </c>
      <c r="K412" t="s">
        <v>20</v>
      </c>
      <c r="L412" t="s">
        <v>908</v>
      </c>
      <c r="M412" t="s">
        <v>1762</v>
      </c>
    </row>
    <row r="413" spans="1:13" x14ac:dyDescent="0.3">
      <c r="A413" t="s">
        <v>1763</v>
      </c>
      <c r="B413" t="s">
        <v>13</v>
      </c>
      <c r="C413" t="s">
        <v>999</v>
      </c>
      <c r="D413" t="s">
        <v>96</v>
      </c>
      <c r="E413" t="s">
        <v>37</v>
      </c>
      <c r="F413" s="4" t="s">
        <v>1015</v>
      </c>
      <c r="G413" s="5">
        <f t="shared" si="6"/>
        <v>11.75</v>
      </c>
      <c r="H413" t="s">
        <v>17</v>
      </c>
      <c r="I413" t="s">
        <v>28</v>
      </c>
      <c r="J413" t="s">
        <v>21</v>
      </c>
      <c r="K413" t="s">
        <v>54</v>
      </c>
      <c r="L413" t="s">
        <v>46</v>
      </c>
      <c r="M413" t="s">
        <v>1093</v>
      </c>
    </row>
    <row r="414" spans="1:13" x14ac:dyDescent="0.3">
      <c r="A414" t="s">
        <v>1764</v>
      </c>
      <c r="B414" t="s">
        <v>24</v>
      </c>
      <c r="C414" t="s">
        <v>992</v>
      </c>
      <c r="D414" t="s">
        <v>96</v>
      </c>
      <c r="E414" t="s">
        <v>16</v>
      </c>
      <c r="F414" s="4" t="s">
        <v>1443</v>
      </c>
      <c r="G414" s="5">
        <f t="shared" si="6"/>
        <v>7.4</v>
      </c>
      <c r="H414" t="s">
        <v>27</v>
      </c>
      <c r="I414" t="s">
        <v>59</v>
      </c>
      <c r="J414" t="s">
        <v>29</v>
      </c>
      <c r="K414" t="s">
        <v>45</v>
      </c>
      <c r="L414" t="s">
        <v>31</v>
      </c>
      <c r="M414" t="s">
        <v>1012</v>
      </c>
    </row>
    <row r="415" spans="1:13" x14ac:dyDescent="0.3">
      <c r="A415" t="s">
        <v>1765</v>
      </c>
      <c r="B415" t="s">
        <v>49</v>
      </c>
      <c r="C415" t="s">
        <v>906</v>
      </c>
      <c r="D415" t="s">
        <v>15</v>
      </c>
      <c r="E415" t="s">
        <v>16</v>
      </c>
      <c r="F415" s="4" t="s">
        <v>1766</v>
      </c>
      <c r="G415" s="5">
        <f t="shared" si="6"/>
        <v>6.95</v>
      </c>
      <c r="H415" t="s">
        <v>27</v>
      </c>
      <c r="I415" t="s">
        <v>59</v>
      </c>
      <c r="J415" t="s">
        <v>846</v>
      </c>
      <c r="K415" t="s">
        <v>31</v>
      </c>
      <c r="L415" t="s">
        <v>45</v>
      </c>
      <c r="M415" t="s">
        <v>1300</v>
      </c>
    </row>
    <row r="416" spans="1:13" x14ac:dyDescent="0.3">
      <c r="A416" t="s">
        <v>1767</v>
      </c>
      <c r="B416" t="s">
        <v>852</v>
      </c>
      <c r="C416" t="s">
        <v>179</v>
      </c>
      <c r="D416" t="s">
        <v>76</v>
      </c>
      <c r="E416" t="s">
        <v>37</v>
      </c>
      <c r="F416" s="4" t="s">
        <v>1249</v>
      </c>
      <c r="G416" s="5">
        <f t="shared" si="6"/>
        <v>20.45</v>
      </c>
      <c r="H416" t="s">
        <v>17</v>
      </c>
      <c r="I416" t="s">
        <v>28</v>
      </c>
      <c r="J416" t="s">
        <v>20</v>
      </c>
      <c r="K416" t="s">
        <v>29</v>
      </c>
      <c r="L416" t="s">
        <v>54</v>
      </c>
      <c r="M416" t="s">
        <v>1111</v>
      </c>
    </row>
    <row r="417" spans="1:13" x14ac:dyDescent="0.3">
      <c r="A417" t="s">
        <v>1768</v>
      </c>
      <c r="B417" t="s">
        <v>62</v>
      </c>
      <c r="C417" t="s">
        <v>295</v>
      </c>
      <c r="D417" t="s">
        <v>36</v>
      </c>
      <c r="E417" t="s">
        <v>77</v>
      </c>
      <c r="F417" s="4" t="s">
        <v>1769</v>
      </c>
      <c r="G417" s="5">
        <f t="shared" si="6"/>
        <v>19.149999999999999</v>
      </c>
      <c r="H417" t="s">
        <v>27</v>
      </c>
      <c r="I417" t="s">
        <v>28</v>
      </c>
      <c r="J417" t="s">
        <v>937</v>
      </c>
      <c r="K417" t="s">
        <v>29</v>
      </c>
      <c r="L417" t="s">
        <v>20</v>
      </c>
      <c r="M417" t="s">
        <v>1359</v>
      </c>
    </row>
    <row r="418" spans="1:13" x14ac:dyDescent="0.3">
      <c r="A418" t="s">
        <v>1770</v>
      </c>
      <c r="B418" t="s">
        <v>960</v>
      </c>
      <c r="C418" t="s">
        <v>214</v>
      </c>
      <c r="D418" t="s">
        <v>71</v>
      </c>
      <c r="E418" t="s">
        <v>52</v>
      </c>
      <c r="F418" s="4" t="s">
        <v>980</v>
      </c>
      <c r="G418" s="5">
        <f t="shared" si="6"/>
        <v>4.3</v>
      </c>
      <c r="H418" t="s">
        <v>27</v>
      </c>
      <c r="I418" t="s">
        <v>28</v>
      </c>
      <c r="J418" t="s">
        <v>46</v>
      </c>
      <c r="K418" t="s">
        <v>937</v>
      </c>
      <c r="L418" t="s">
        <v>846</v>
      </c>
      <c r="M418" t="s">
        <v>1569</v>
      </c>
    </row>
    <row r="419" spans="1:13" x14ac:dyDescent="0.3">
      <c r="A419" t="s">
        <v>1771</v>
      </c>
      <c r="B419" t="s">
        <v>864</v>
      </c>
      <c r="C419" t="s">
        <v>99</v>
      </c>
      <c r="D419" t="s">
        <v>36</v>
      </c>
      <c r="E419" t="s">
        <v>77</v>
      </c>
      <c r="F419" s="4" t="s">
        <v>1772</v>
      </c>
      <c r="G419" s="5">
        <f t="shared" si="6"/>
        <v>35.15</v>
      </c>
      <c r="H419" t="s">
        <v>27</v>
      </c>
      <c r="I419" t="s">
        <v>28</v>
      </c>
      <c r="J419" t="s">
        <v>846</v>
      </c>
      <c r="K419" t="s">
        <v>54</v>
      </c>
      <c r="L419" t="s">
        <v>21</v>
      </c>
      <c r="M419" t="s">
        <v>1155</v>
      </c>
    </row>
    <row r="420" spans="1:13" x14ac:dyDescent="0.3">
      <c r="A420" t="s">
        <v>1773</v>
      </c>
      <c r="B420" t="s">
        <v>864</v>
      </c>
      <c r="C420" t="s">
        <v>865</v>
      </c>
      <c r="D420" t="s">
        <v>26</v>
      </c>
      <c r="E420" t="s">
        <v>16</v>
      </c>
      <c r="F420" s="4" t="s">
        <v>1774</v>
      </c>
      <c r="G420" s="5">
        <f t="shared" si="6"/>
        <v>7.05</v>
      </c>
      <c r="H420" t="s">
        <v>27</v>
      </c>
      <c r="I420" t="s">
        <v>845</v>
      </c>
      <c r="J420" t="s">
        <v>846</v>
      </c>
      <c r="K420" t="s">
        <v>45</v>
      </c>
      <c r="L420" t="s">
        <v>31</v>
      </c>
      <c r="M420" t="s">
        <v>969</v>
      </c>
    </row>
    <row r="421" spans="1:13" x14ac:dyDescent="0.3">
      <c r="A421" t="s">
        <v>1775</v>
      </c>
      <c r="B421" t="s">
        <v>960</v>
      </c>
      <c r="C421" t="s">
        <v>919</v>
      </c>
      <c r="D421" t="s">
        <v>44</v>
      </c>
      <c r="E421" t="s">
        <v>52</v>
      </c>
      <c r="F421" s="4" t="s">
        <v>1427</v>
      </c>
      <c r="G421" s="5">
        <f t="shared" si="6"/>
        <v>5.85</v>
      </c>
      <c r="H421" t="s">
        <v>27</v>
      </c>
      <c r="I421" t="s">
        <v>59</v>
      </c>
      <c r="J421" t="s">
        <v>937</v>
      </c>
      <c r="K421" t="s">
        <v>30</v>
      </c>
      <c r="L421" t="s">
        <v>878</v>
      </c>
      <c r="M421" t="s">
        <v>1336</v>
      </c>
    </row>
    <row r="422" spans="1:13" x14ac:dyDescent="0.3">
      <c r="A422" t="s">
        <v>1776</v>
      </c>
      <c r="B422" t="s">
        <v>24</v>
      </c>
      <c r="C422" t="s">
        <v>1278</v>
      </c>
      <c r="D422" t="s">
        <v>26</v>
      </c>
      <c r="E422" t="s">
        <v>52</v>
      </c>
      <c r="F422" s="4" t="s">
        <v>1777</v>
      </c>
      <c r="G422" s="5">
        <f t="shared" si="6"/>
        <v>3.4</v>
      </c>
      <c r="H422" t="s">
        <v>53</v>
      </c>
      <c r="I422" t="s">
        <v>28</v>
      </c>
      <c r="J422" t="s">
        <v>46</v>
      </c>
      <c r="K422" t="s">
        <v>908</v>
      </c>
      <c r="L422" t="s">
        <v>846</v>
      </c>
      <c r="M422" t="s">
        <v>1659</v>
      </c>
    </row>
    <row r="423" spans="1:13" x14ac:dyDescent="0.3">
      <c r="A423" t="s">
        <v>1778</v>
      </c>
      <c r="B423" t="s">
        <v>42</v>
      </c>
      <c r="C423" t="s">
        <v>217</v>
      </c>
      <c r="D423" t="s">
        <v>76</v>
      </c>
      <c r="E423" t="s">
        <v>116</v>
      </c>
      <c r="F423" s="4" t="s">
        <v>1173</v>
      </c>
      <c r="G423" s="5">
        <f t="shared" si="6"/>
        <v>10.1</v>
      </c>
      <c r="H423" t="s">
        <v>27</v>
      </c>
      <c r="I423" t="s">
        <v>28</v>
      </c>
      <c r="J423" t="s">
        <v>908</v>
      </c>
      <c r="K423" t="s">
        <v>30</v>
      </c>
      <c r="L423" t="s">
        <v>29</v>
      </c>
      <c r="M423" t="s">
        <v>1779</v>
      </c>
    </row>
    <row r="424" spans="1:13" x14ac:dyDescent="0.3">
      <c r="A424" t="s">
        <v>1780</v>
      </c>
      <c r="B424" t="s">
        <v>42</v>
      </c>
      <c r="C424" t="s">
        <v>130</v>
      </c>
      <c r="D424" t="s">
        <v>76</v>
      </c>
      <c r="E424" t="s">
        <v>116</v>
      </c>
      <c r="F424" s="4" t="s">
        <v>1781</v>
      </c>
      <c r="G424" s="5">
        <f t="shared" si="6"/>
        <v>11.7</v>
      </c>
      <c r="H424" t="s">
        <v>27</v>
      </c>
      <c r="I424" t="s">
        <v>28</v>
      </c>
      <c r="J424" t="s">
        <v>29</v>
      </c>
      <c r="K424" t="s">
        <v>854</v>
      </c>
      <c r="L424" t="s">
        <v>20</v>
      </c>
      <c r="M424" t="s">
        <v>1115</v>
      </c>
    </row>
    <row r="425" spans="1:13" x14ac:dyDescent="0.3">
      <c r="A425" t="s">
        <v>1782</v>
      </c>
      <c r="B425" t="s">
        <v>852</v>
      </c>
      <c r="C425" t="s">
        <v>865</v>
      </c>
      <c r="D425" t="s">
        <v>81</v>
      </c>
      <c r="E425" t="s">
        <v>16</v>
      </c>
      <c r="F425" s="4" t="s">
        <v>1113</v>
      </c>
      <c r="G425" s="5">
        <f t="shared" si="6"/>
        <v>6.65</v>
      </c>
      <c r="H425" t="s">
        <v>27</v>
      </c>
      <c r="I425" t="s">
        <v>845</v>
      </c>
      <c r="J425" t="s">
        <v>30</v>
      </c>
      <c r="K425" t="s">
        <v>54</v>
      </c>
      <c r="L425" t="s">
        <v>45</v>
      </c>
      <c r="M425" t="s">
        <v>1670</v>
      </c>
    </row>
    <row r="426" spans="1:13" x14ac:dyDescent="0.3">
      <c r="A426" t="s">
        <v>1783</v>
      </c>
      <c r="B426" t="s">
        <v>62</v>
      </c>
      <c r="C426" t="s">
        <v>191</v>
      </c>
      <c r="D426" t="s">
        <v>96</v>
      </c>
      <c r="E426" t="s">
        <v>52</v>
      </c>
      <c r="F426" s="4" t="s">
        <v>1326</v>
      </c>
      <c r="G426" s="5">
        <f t="shared" si="6"/>
        <v>5.4</v>
      </c>
      <c r="H426" t="s">
        <v>27</v>
      </c>
      <c r="I426" t="s">
        <v>28</v>
      </c>
      <c r="J426" t="s">
        <v>30</v>
      </c>
      <c r="K426" t="s">
        <v>878</v>
      </c>
      <c r="L426" t="s">
        <v>46</v>
      </c>
      <c r="M426" t="s">
        <v>1688</v>
      </c>
    </row>
    <row r="427" spans="1:13" x14ac:dyDescent="0.3">
      <c r="A427" t="s">
        <v>1784</v>
      </c>
      <c r="B427" t="s">
        <v>49</v>
      </c>
      <c r="C427" t="s">
        <v>130</v>
      </c>
      <c r="D427" t="s">
        <v>64</v>
      </c>
      <c r="E427" t="s">
        <v>37</v>
      </c>
      <c r="F427" s="4" t="s">
        <v>1785</v>
      </c>
      <c r="G427" s="5">
        <f t="shared" si="6"/>
        <v>18.399999999999999</v>
      </c>
      <c r="H427" t="s">
        <v>27</v>
      </c>
      <c r="I427" t="s">
        <v>845</v>
      </c>
      <c r="J427" t="s">
        <v>937</v>
      </c>
      <c r="K427" t="s">
        <v>21</v>
      </c>
      <c r="L427" t="s">
        <v>31</v>
      </c>
      <c r="M427" t="s">
        <v>1291</v>
      </c>
    </row>
    <row r="428" spans="1:13" x14ac:dyDescent="0.3">
      <c r="A428" t="s">
        <v>1786</v>
      </c>
      <c r="B428" t="s">
        <v>49</v>
      </c>
      <c r="C428" t="s">
        <v>689</v>
      </c>
      <c r="D428" t="s">
        <v>76</v>
      </c>
      <c r="E428" t="s">
        <v>16</v>
      </c>
      <c r="F428" s="4" t="s">
        <v>1787</v>
      </c>
      <c r="G428" s="5">
        <f t="shared" si="6"/>
        <v>9.85</v>
      </c>
      <c r="H428" t="s">
        <v>27</v>
      </c>
      <c r="I428" t="s">
        <v>28</v>
      </c>
      <c r="J428" t="s">
        <v>54</v>
      </c>
      <c r="K428" t="s">
        <v>846</v>
      </c>
      <c r="L428" t="s">
        <v>21</v>
      </c>
      <c r="M428" t="s">
        <v>1057</v>
      </c>
    </row>
    <row r="429" spans="1:13" x14ac:dyDescent="0.3">
      <c r="A429" t="s">
        <v>1788</v>
      </c>
      <c r="B429" t="s">
        <v>852</v>
      </c>
      <c r="C429" t="s">
        <v>334</v>
      </c>
      <c r="D429" t="s">
        <v>36</v>
      </c>
      <c r="E429" t="s">
        <v>37</v>
      </c>
      <c r="F429" s="4" t="s">
        <v>1130</v>
      </c>
      <c r="G429" s="5">
        <f t="shared" si="6"/>
        <v>13.55</v>
      </c>
      <c r="H429" t="s">
        <v>17</v>
      </c>
      <c r="I429" t="s">
        <v>28</v>
      </c>
      <c r="J429" t="s">
        <v>20</v>
      </c>
      <c r="K429" t="s">
        <v>874</v>
      </c>
      <c r="L429" t="s">
        <v>39</v>
      </c>
      <c r="M429" t="s">
        <v>1238</v>
      </c>
    </row>
    <row r="430" spans="1:13" x14ac:dyDescent="0.3">
      <c r="A430" t="s">
        <v>1789</v>
      </c>
      <c r="B430" t="s">
        <v>996</v>
      </c>
      <c r="C430" t="s">
        <v>172</v>
      </c>
      <c r="D430" t="s">
        <v>64</v>
      </c>
      <c r="E430" t="s">
        <v>52</v>
      </c>
      <c r="F430" s="4" t="s">
        <v>1061</v>
      </c>
      <c r="G430" s="5">
        <f t="shared" si="6"/>
        <v>4.05</v>
      </c>
      <c r="H430" t="s">
        <v>27</v>
      </c>
      <c r="I430" t="s">
        <v>845</v>
      </c>
      <c r="J430" t="s">
        <v>29</v>
      </c>
      <c r="K430" t="s">
        <v>20</v>
      </c>
      <c r="L430" t="s">
        <v>46</v>
      </c>
      <c r="M430" t="s">
        <v>1636</v>
      </c>
    </row>
    <row r="431" spans="1:13" x14ac:dyDescent="0.3">
      <c r="A431" t="s">
        <v>1790</v>
      </c>
      <c r="B431" t="s">
        <v>996</v>
      </c>
      <c r="C431" t="s">
        <v>80</v>
      </c>
      <c r="D431" t="s">
        <v>36</v>
      </c>
      <c r="E431" t="s">
        <v>77</v>
      </c>
      <c r="F431" s="4" t="s">
        <v>1791</v>
      </c>
      <c r="G431" s="5">
        <f t="shared" si="6"/>
        <v>30.15</v>
      </c>
      <c r="H431" t="s">
        <v>17</v>
      </c>
      <c r="I431" t="s">
        <v>28</v>
      </c>
      <c r="J431" t="s">
        <v>937</v>
      </c>
      <c r="K431" t="s">
        <v>21</v>
      </c>
      <c r="L431" t="s">
        <v>39</v>
      </c>
      <c r="M431" t="s">
        <v>1607</v>
      </c>
    </row>
    <row r="432" spans="1:13" x14ac:dyDescent="0.3">
      <c r="A432" t="s">
        <v>1792</v>
      </c>
      <c r="B432" t="s">
        <v>960</v>
      </c>
      <c r="C432" t="s">
        <v>109</v>
      </c>
      <c r="D432" t="s">
        <v>64</v>
      </c>
      <c r="E432" t="s">
        <v>37</v>
      </c>
      <c r="F432" s="4" t="s">
        <v>1053</v>
      </c>
      <c r="G432" s="5">
        <f t="shared" si="6"/>
        <v>11.25</v>
      </c>
      <c r="H432" t="s">
        <v>27</v>
      </c>
      <c r="I432" t="s">
        <v>28</v>
      </c>
      <c r="J432" t="s">
        <v>46</v>
      </c>
      <c r="K432" t="s">
        <v>937</v>
      </c>
      <c r="L432" t="s">
        <v>846</v>
      </c>
      <c r="M432" t="s">
        <v>1253</v>
      </c>
    </row>
    <row r="433" spans="1:13" x14ac:dyDescent="0.3">
      <c r="A433" t="s">
        <v>1793</v>
      </c>
      <c r="B433" t="s">
        <v>864</v>
      </c>
      <c r="C433" t="s">
        <v>123</v>
      </c>
      <c r="D433" t="s">
        <v>15</v>
      </c>
      <c r="E433" t="s">
        <v>116</v>
      </c>
      <c r="F433" s="4" t="s">
        <v>1507</v>
      </c>
      <c r="G433" s="5">
        <f t="shared" si="6"/>
        <v>9.65</v>
      </c>
      <c r="H433" t="s">
        <v>17</v>
      </c>
      <c r="I433" t="s">
        <v>28</v>
      </c>
      <c r="J433" t="s">
        <v>45</v>
      </c>
      <c r="K433" t="s">
        <v>21</v>
      </c>
      <c r="L433" t="s">
        <v>908</v>
      </c>
      <c r="M433" t="s">
        <v>1794</v>
      </c>
    </row>
    <row r="434" spans="1:13" x14ac:dyDescent="0.3">
      <c r="A434" t="s">
        <v>1795</v>
      </c>
      <c r="B434" t="s">
        <v>24</v>
      </c>
      <c r="C434" t="s">
        <v>242</v>
      </c>
      <c r="D434" t="s">
        <v>81</v>
      </c>
      <c r="E434" t="s">
        <v>52</v>
      </c>
      <c r="F434" s="4" t="s">
        <v>1724</v>
      </c>
      <c r="G434" s="5">
        <f t="shared" si="6"/>
        <v>5.55</v>
      </c>
      <c r="H434" t="s">
        <v>17</v>
      </c>
      <c r="I434" t="s">
        <v>845</v>
      </c>
      <c r="J434" t="s">
        <v>874</v>
      </c>
      <c r="K434" t="s">
        <v>46</v>
      </c>
      <c r="L434" t="s">
        <v>45</v>
      </c>
      <c r="M434" t="s">
        <v>1796</v>
      </c>
    </row>
    <row r="435" spans="1:13" x14ac:dyDescent="0.3">
      <c r="A435" t="s">
        <v>1797</v>
      </c>
      <c r="B435" t="s">
        <v>996</v>
      </c>
      <c r="C435" t="s">
        <v>441</v>
      </c>
      <c r="D435" t="s">
        <v>26</v>
      </c>
      <c r="E435" t="s">
        <v>77</v>
      </c>
      <c r="F435" s="4" t="s">
        <v>1798</v>
      </c>
      <c r="G435" s="5">
        <f t="shared" si="6"/>
        <v>43.1</v>
      </c>
      <c r="H435" t="s">
        <v>27</v>
      </c>
      <c r="I435" t="s">
        <v>59</v>
      </c>
      <c r="J435" t="s">
        <v>937</v>
      </c>
      <c r="K435" t="s">
        <v>46</v>
      </c>
      <c r="L435" t="s">
        <v>908</v>
      </c>
      <c r="M435" t="s">
        <v>1266</v>
      </c>
    </row>
    <row r="436" spans="1:13" x14ac:dyDescent="0.3">
      <c r="A436" t="s">
        <v>1799</v>
      </c>
      <c r="B436" t="s">
        <v>852</v>
      </c>
      <c r="C436" t="s">
        <v>130</v>
      </c>
      <c r="D436" t="s">
        <v>44</v>
      </c>
      <c r="E436" t="s">
        <v>52</v>
      </c>
      <c r="F436" s="4" t="s">
        <v>1113</v>
      </c>
      <c r="G436" s="5">
        <f t="shared" si="6"/>
        <v>6.65</v>
      </c>
      <c r="H436" t="s">
        <v>27</v>
      </c>
      <c r="I436" t="s">
        <v>28</v>
      </c>
      <c r="J436" t="s">
        <v>937</v>
      </c>
      <c r="K436" t="s">
        <v>46</v>
      </c>
      <c r="L436" t="s">
        <v>878</v>
      </c>
      <c r="M436" t="s">
        <v>1226</v>
      </c>
    </row>
    <row r="437" spans="1:13" x14ac:dyDescent="0.3">
      <c r="A437" t="s">
        <v>1800</v>
      </c>
      <c r="B437" t="s">
        <v>24</v>
      </c>
      <c r="C437" t="s">
        <v>90</v>
      </c>
      <c r="D437" t="s">
        <v>26</v>
      </c>
      <c r="E437" t="s">
        <v>16</v>
      </c>
      <c r="F437" s="4" t="s">
        <v>1801</v>
      </c>
      <c r="G437" s="5">
        <f t="shared" si="6"/>
        <v>8.9499999999999993</v>
      </c>
      <c r="H437" t="s">
        <v>27</v>
      </c>
      <c r="I437" t="s">
        <v>28</v>
      </c>
      <c r="J437" t="s">
        <v>39</v>
      </c>
      <c r="K437" t="s">
        <v>45</v>
      </c>
      <c r="L437" t="s">
        <v>908</v>
      </c>
      <c r="M437" t="s">
        <v>1802</v>
      </c>
    </row>
    <row r="438" spans="1:13" x14ac:dyDescent="0.3">
      <c r="A438" t="s">
        <v>1803</v>
      </c>
      <c r="B438" t="s">
        <v>852</v>
      </c>
      <c r="C438" t="s">
        <v>163</v>
      </c>
      <c r="D438" t="s">
        <v>15</v>
      </c>
      <c r="E438" t="s">
        <v>37</v>
      </c>
      <c r="F438" s="4" t="s">
        <v>1490</v>
      </c>
      <c r="G438" s="5">
        <f t="shared" si="6"/>
        <v>17</v>
      </c>
      <c r="H438" t="s">
        <v>27</v>
      </c>
      <c r="I438" t="s">
        <v>845</v>
      </c>
      <c r="J438" t="s">
        <v>874</v>
      </c>
      <c r="K438" t="s">
        <v>29</v>
      </c>
      <c r="L438" t="s">
        <v>937</v>
      </c>
      <c r="M438" t="s">
        <v>1027</v>
      </c>
    </row>
    <row r="439" spans="1:13" x14ac:dyDescent="0.3">
      <c r="A439" t="s">
        <v>1804</v>
      </c>
      <c r="B439" t="s">
        <v>852</v>
      </c>
      <c r="C439" t="s">
        <v>217</v>
      </c>
      <c r="D439" t="s">
        <v>96</v>
      </c>
      <c r="E439" t="s">
        <v>77</v>
      </c>
      <c r="F439" s="4" t="s">
        <v>1805</v>
      </c>
      <c r="G439" s="5">
        <f t="shared" si="6"/>
        <v>43.5</v>
      </c>
      <c r="H439" t="s">
        <v>27</v>
      </c>
      <c r="I439" t="s">
        <v>28</v>
      </c>
      <c r="J439" t="s">
        <v>846</v>
      </c>
      <c r="K439" t="s">
        <v>908</v>
      </c>
      <c r="L439" t="s">
        <v>39</v>
      </c>
      <c r="M439" t="s">
        <v>870</v>
      </c>
    </row>
    <row r="440" spans="1:13" x14ac:dyDescent="0.3">
      <c r="A440" t="s">
        <v>1806</v>
      </c>
      <c r="B440" t="s">
        <v>996</v>
      </c>
      <c r="C440" t="s">
        <v>899</v>
      </c>
      <c r="D440" t="s">
        <v>15</v>
      </c>
      <c r="E440" t="s">
        <v>52</v>
      </c>
      <c r="F440" s="4" t="s">
        <v>1807</v>
      </c>
      <c r="G440" s="5">
        <f t="shared" si="6"/>
        <v>6.25</v>
      </c>
      <c r="H440" t="s">
        <v>27</v>
      </c>
      <c r="I440" t="s">
        <v>845</v>
      </c>
      <c r="J440" t="s">
        <v>21</v>
      </c>
      <c r="K440" t="s">
        <v>29</v>
      </c>
      <c r="L440" t="s">
        <v>937</v>
      </c>
      <c r="M440" t="s">
        <v>1307</v>
      </c>
    </row>
    <row r="441" spans="1:13" x14ac:dyDescent="0.3">
      <c r="A441" t="s">
        <v>1808</v>
      </c>
      <c r="B441" t="s">
        <v>24</v>
      </c>
      <c r="C441" t="s">
        <v>400</v>
      </c>
      <c r="D441" t="s">
        <v>15</v>
      </c>
      <c r="E441" t="s">
        <v>16</v>
      </c>
      <c r="F441" s="4" t="s">
        <v>1092</v>
      </c>
      <c r="G441" s="5">
        <f t="shared" si="6"/>
        <v>6.4</v>
      </c>
      <c r="H441" t="s">
        <v>27</v>
      </c>
      <c r="I441" t="s">
        <v>28</v>
      </c>
      <c r="J441" t="s">
        <v>31</v>
      </c>
      <c r="K441" t="s">
        <v>45</v>
      </c>
      <c r="L441" t="s">
        <v>20</v>
      </c>
      <c r="M441" t="s">
        <v>1713</v>
      </c>
    </row>
    <row r="442" spans="1:13" x14ac:dyDescent="0.3">
      <c r="A442" t="s">
        <v>1809</v>
      </c>
      <c r="B442" t="s">
        <v>996</v>
      </c>
      <c r="C442" t="s">
        <v>125</v>
      </c>
      <c r="D442" t="s">
        <v>64</v>
      </c>
      <c r="E442" t="s">
        <v>116</v>
      </c>
      <c r="F442" s="4" t="s">
        <v>1495</v>
      </c>
      <c r="G442" s="5">
        <f t="shared" si="6"/>
        <v>16.3</v>
      </c>
      <c r="H442" t="s">
        <v>27</v>
      </c>
      <c r="I442" t="s">
        <v>845</v>
      </c>
      <c r="J442" t="s">
        <v>39</v>
      </c>
      <c r="K442" t="s">
        <v>937</v>
      </c>
      <c r="L442" t="s">
        <v>20</v>
      </c>
      <c r="M442" t="s">
        <v>1475</v>
      </c>
    </row>
    <row r="443" spans="1:13" x14ac:dyDescent="0.3">
      <c r="A443" t="s">
        <v>1810</v>
      </c>
      <c r="B443" t="s">
        <v>852</v>
      </c>
      <c r="C443" t="s">
        <v>530</v>
      </c>
      <c r="D443" t="s">
        <v>44</v>
      </c>
      <c r="E443" t="s">
        <v>77</v>
      </c>
      <c r="F443" s="4" t="s">
        <v>993</v>
      </c>
      <c r="G443" s="5">
        <f t="shared" si="6"/>
        <v>26.6</v>
      </c>
      <c r="H443" t="s">
        <v>27</v>
      </c>
      <c r="I443" t="s">
        <v>28</v>
      </c>
      <c r="J443" t="s">
        <v>30</v>
      </c>
      <c r="K443" t="s">
        <v>29</v>
      </c>
      <c r="L443" t="s">
        <v>854</v>
      </c>
      <c r="M443" t="s">
        <v>969</v>
      </c>
    </row>
    <row r="444" spans="1:13" x14ac:dyDescent="0.3">
      <c r="A444" t="s">
        <v>1811</v>
      </c>
      <c r="B444" t="s">
        <v>996</v>
      </c>
      <c r="C444" t="s">
        <v>321</v>
      </c>
      <c r="D444" t="s">
        <v>96</v>
      </c>
      <c r="E444" t="s">
        <v>52</v>
      </c>
      <c r="F444" s="4" t="s">
        <v>1095</v>
      </c>
      <c r="G444" s="5">
        <f t="shared" si="6"/>
        <v>6.3</v>
      </c>
      <c r="H444" t="s">
        <v>17</v>
      </c>
      <c r="I444" t="s">
        <v>59</v>
      </c>
      <c r="J444" t="s">
        <v>46</v>
      </c>
      <c r="K444" t="s">
        <v>20</v>
      </c>
      <c r="L444" t="s">
        <v>874</v>
      </c>
      <c r="M444" t="s">
        <v>1419</v>
      </c>
    </row>
    <row r="445" spans="1:13" x14ac:dyDescent="0.3">
      <c r="A445" t="s">
        <v>1812</v>
      </c>
      <c r="B445" t="s">
        <v>24</v>
      </c>
      <c r="C445" t="s">
        <v>288</v>
      </c>
      <c r="D445" t="s">
        <v>81</v>
      </c>
      <c r="E445" t="s">
        <v>52</v>
      </c>
      <c r="F445" s="4" t="s">
        <v>1813</v>
      </c>
      <c r="G445" s="5">
        <f t="shared" si="6"/>
        <v>4.75</v>
      </c>
      <c r="H445" t="s">
        <v>53</v>
      </c>
      <c r="I445" t="s">
        <v>28</v>
      </c>
      <c r="J445" t="s">
        <v>31</v>
      </c>
      <c r="K445" t="s">
        <v>878</v>
      </c>
      <c r="L445" t="s">
        <v>46</v>
      </c>
      <c r="M445" t="s">
        <v>1302</v>
      </c>
    </row>
    <row r="446" spans="1:13" x14ac:dyDescent="0.3">
      <c r="A446" t="s">
        <v>1814</v>
      </c>
      <c r="B446" t="s">
        <v>42</v>
      </c>
      <c r="C446" t="s">
        <v>211</v>
      </c>
      <c r="D446" t="s">
        <v>51</v>
      </c>
      <c r="E446" t="s">
        <v>77</v>
      </c>
      <c r="F446" s="4" t="s">
        <v>1815</v>
      </c>
      <c r="G446" s="5">
        <f t="shared" si="6"/>
        <v>40.9</v>
      </c>
      <c r="H446" t="s">
        <v>27</v>
      </c>
      <c r="I446" t="s">
        <v>59</v>
      </c>
      <c r="J446" t="s">
        <v>54</v>
      </c>
      <c r="K446" t="s">
        <v>878</v>
      </c>
      <c r="L446" t="s">
        <v>854</v>
      </c>
      <c r="M446" t="s">
        <v>1816</v>
      </c>
    </row>
    <row r="447" spans="1:13" x14ac:dyDescent="0.3">
      <c r="A447" t="s">
        <v>1817</v>
      </c>
      <c r="B447" t="s">
        <v>960</v>
      </c>
      <c r="C447" t="s">
        <v>50</v>
      </c>
      <c r="D447" t="s">
        <v>96</v>
      </c>
      <c r="E447" t="s">
        <v>116</v>
      </c>
      <c r="F447" s="4" t="s">
        <v>1729</v>
      </c>
      <c r="G447" s="5">
        <f t="shared" si="6"/>
        <v>17.3</v>
      </c>
      <c r="H447" t="s">
        <v>27</v>
      </c>
      <c r="I447" t="s">
        <v>28</v>
      </c>
      <c r="J447" t="s">
        <v>45</v>
      </c>
      <c r="K447" t="s">
        <v>46</v>
      </c>
      <c r="L447" t="s">
        <v>21</v>
      </c>
      <c r="M447" t="s">
        <v>1006</v>
      </c>
    </row>
    <row r="448" spans="1:13" x14ac:dyDescent="0.3">
      <c r="A448" t="s">
        <v>1818</v>
      </c>
      <c r="B448" t="s">
        <v>24</v>
      </c>
      <c r="C448" t="s">
        <v>953</v>
      </c>
      <c r="D448" t="s">
        <v>44</v>
      </c>
      <c r="E448" t="s">
        <v>52</v>
      </c>
      <c r="F448" s="4" t="s">
        <v>1819</v>
      </c>
      <c r="G448" s="5">
        <f t="shared" si="6"/>
        <v>4.8499999999999996</v>
      </c>
      <c r="H448" t="s">
        <v>27</v>
      </c>
      <c r="I448" t="s">
        <v>28</v>
      </c>
      <c r="J448" t="s">
        <v>908</v>
      </c>
      <c r="K448" t="s">
        <v>846</v>
      </c>
      <c r="L448" t="s">
        <v>45</v>
      </c>
      <c r="M448" t="s">
        <v>1051</v>
      </c>
    </row>
    <row r="449" spans="1:13" x14ac:dyDescent="0.3">
      <c r="A449" t="s">
        <v>1820</v>
      </c>
      <c r="B449" t="s">
        <v>75</v>
      </c>
      <c r="C449" t="s">
        <v>906</v>
      </c>
      <c r="D449" t="s">
        <v>64</v>
      </c>
      <c r="E449" t="s">
        <v>116</v>
      </c>
      <c r="F449" s="4" t="s">
        <v>1821</v>
      </c>
      <c r="G449" s="5">
        <f t="shared" si="6"/>
        <v>11.9</v>
      </c>
      <c r="H449" t="s">
        <v>27</v>
      </c>
      <c r="I449" t="s">
        <v>59</v>
      </c>
      <c r="J449" t="s">
        <v>31</v>
      </c>
      <c r="K449" t="s">
        <v>45</v>
      </c>
      <c r="L449" t="s">
        <v>54</v>
      </c>
      <c r="M449" t="s">
        <v>1115</v>
      </c>
    </row>
    <row r="450" spans="1:13" x14ac:dyDescent="0.3">
      <c r="A450" t="s">
        <v>1822</v>
      </c>
      <c r="B450" t="s">
        <v>996</v>
      </c>
      <c r="C450" t="s">
        <v>899</v>
      </c>
      <c r="D450" t="s">
        <v>81</v>
      </c>
      <c r="E450" t="s">
        <v>16</v>
      </c>
      <c r="F450" s="4" t="s">
        <v>1663</v>
      </c>
      <c r="G450" s="5">
        <f t="shared" ref="G450:G501" si="7">F450/100000</f>
        <v>8</v>
      </c>
      <c r="H450" t="s">
        <v>27</v>
      </c>
      <c r="I450" t="s">
        <v>28</v>
      </c>
      <c r="J450" t="s">
        <v>30</v>
      </c>
      <c r="K450" t="s">
        <v>39</v>
      </c>
      <c r="L450" t="s">
        <v>21</v>
      </c>
      <c r="M450" t="s">
        <v>875</v>
      </c>
    </row>
    <row r="451" spans="1:13" x14ac:dyDescent="0.3">
      <c r="A451" t="s">
        <v>1823</v>
      </c>
      <c r="B451" t="s">
        <v>42</v>
      </c>
      <c r="C451" t="s">
        <v>872</v>
      </c>
      <c r="D451" t="s">
        <v>76</v>
      </c>
      <c r="E451" t="s">
        <v>52</v>
      </c>
      <c r="F451" s="4" t="s">
        <v>1463</v>
      </c>
      <c r="G451" s="5">
        <f t="shared" si="7"/>
        <v>4.2</v>
      </c>
      <c r="H451" t="s">
        <v>27</v>
      </c>
      <c r="I451" t="s">
        <v>845</v>
      </c>
      <c r="J451" t="s">
        <v>20</v>
      </c>
      <c r="K451" t="s">
        <v>46</v>
      </c>
      <c r="L451" t="s">
        <v>854</v>
      </c>
      <c r="M451" t="s">
        <v>892</v>
      </c>
    </row>
    <row r="452" spans="1:13" x14ac:dyDescent="0.3">
      <c r="A452" t="s">
        <v>1824</v>
      </c>
      <c r="B452" t="s">
        <v>24</v>
      </c>
      <c r="C452" t="s">
        <v>106</v>
      </c>
      <c r="D452" t="s">
        <v>96</v>
      </c>
      <c r="E452" t="s">
        <v>16</v>
      </c>
      <c r="F452" s="4" t="s">
        <v>1801</v>
      </c>
      <c r="G452" s="5">
        <f t="shared" si="7"/>
        <v>8.9499999999999993</v>
      </c>
      <c r="H452" t="s">
        <v>17</v>
      </c>
      <c r="I452" t="s">
        <v>845</v>
      </c>
      <c r="J452" t="s">
        <v>21</v>
      </c>
      <c r="K452" t="s">
        <v>29</v>
      </c>
      <c r="L452" t="s">
        <v>908</v>
      </c>
      <c r="M452" t="s">
        <v>984</v>
      </c>
    </row>
    <row r="453" spans="1:13" x14ac:dyDescent="0.3">
      <c r="A453" t="s">
        <v>1825</v>
      </c>
      <c r="B453" t="s">
        <v>13</v>
      </c>
      <c r="C453" t="s">
        <v>940</v>
      </c>
      <c r="D453" t="s">
        <v>76</v>
      </c>
      <c r="E453" t="s">
        <v>116</v>
      </c>
      <c r="F453" s="4" t="s">
        <v>1707</v>
      </c>
      <c r="G453" s="5">
        <f t="shared" si="7"/>
        <v>16.5</v>
      </c>
      <c r="H453" t="s">
        <v>17</v>
      </c>
      <c r="I453" t="s">
        <v>28</v>
      </c>
      <c r="J453" t="s">
        <v>846</v>
      </c>
      <c r="K453" t="s">
        <v>45</v>
      </c>
      <c r="L453" t="s">
        <v>20</v>
      </c>
      <c r="M453" t="s">
        <v>1643</v>
      </c>
    </row>
    <row r="454" spans="1:13" x14ac:dyDescent="0.3">
      <c r="A454" t="s">
        <v>1826</v>
      </c>
      <c r="B454" t="s">
        <v>75</v>
      </c>
      <c r="C454" t="s">
        <v>899</v>
      </c>
      <c r="D454" t="s">
        <v>64</v>
      </c>
      <c r="E454" t="s">
        <v>52</v>
      </c>
      <c r="F454" s="4" t="s">
        <v>1527</v>
      </c>
      <c r="G454" s="5">
        <f t="shared" si="7"/>
        <v>6.75</v>
      </c>
      <c r="H454" t="s">
        <v>27</v>
      </c>
      <c r="I454" t="s">
        <v>28</v>
      </c>
      <c r="J454" t="s">
        <v>21</v>
      </c>
      <c r="K454" t="s">
        <v>20</v>
      </c>
      <c r="L454" t="s">
        <v>846</v>
      </c>
      <c r="M454" t="s">
        <v>987</v>
      </c>
    </row>
    <row r="455" spans="1:13" x14ac:dyDescent="0.3">
      <c r="A455" t="s">
        <v>1827</v>
      </c>
      <c r="B455" t="s">
        <v>49</v>
      </c>
      <c r="C455" t="s">
        <v>109</v>
      </c>
      <c r="D455" t="s">
        <v>71</v>
      </c>
      <c r="E455" t="s">
        <v>52</v>
      </c>
      <c r="F455" s="4" t="s">
        <v>1443</v>
      </c>
      <c r="G455" s="5">
        <f t="shared" si="7"/>
        <v>7.4</v>
      </c>
      <c r="H455" t="s">
        <v>17</v>
      </c>
      <c r="I455" t="s">
        <v>28</v>
      </c>
      <c r="J455" t="s">
        <v>854</v>
      </c>
      <c r="K455" t="s">
        <v>29</v>
      </c>
      <c r="L455" t="s">
        <v>54</v>
      </c>
      <c r="M455" t="s">
        <v>1828</v>
      </c>
    </row>
    <row r="456" spans="1:13" x14ac:dyDescent="0.3">
      <c r="A456" t="s">
        <v>1829</v>
      </c>
      <c r="B456" t="s">
        <v>852</v>
      </c>
      <c r="C456" t="s">
        <v>191</v>
      </c>
      <c r="D456" t="s">
        <v>71</v>
      </c>
      <c r="E456" t="s">
        <v>52</v>
      </c>
      <c r="F456" s="4" t="s">
        <v>1830</v>
      </c>
      <c r="G456" s="5">
        <f t="shared" si="7"/>
        <v>5.05</v>
      </c>
      <c r="H456" t="s">
        <v>27</v>
      </c>
      <c r="I456" t="s">
        <v>28</v>
      </c>
      <c r="J456" t="s">
        <v>854</v>
      </c>
      <c r="K456" t="s">
        <v>46</v>
      </c>
      <c r="L456" t="s">
        <v>30</v>
      </c>
      <c r="M456" t="s">
        <v>1779</v>
      </c>
    </row>
    <row r="457" spans="1:13" x14ac:dyDescent="0.3">
      <c r="A457" t="s">
        <v>1831</v>
      </c>
      <c r="B457" t="s">
        <v>960</v>
      </c>
      <c r="C457" t="s">
        <v>125</v>
      </c>
      <c r="D457" t="s">
        <v>81</v>
      </c>
      <c r="E457" t="s">
        <v>16</v>
      </c>
      <c r="F457" s="4" t="s">
        <v>1739</v>
      </c>
      <c r="G457" s="5">
        <f t="shared" si="7"/>
        <v>5.45</v>
      </c>
      <c r="H457" t="s">
        <v>27</v>
      </c>
      <c r="I457" t="s">
        <v>28</v>
      </c>
      <c r="J457" t="s">
        <v>846</v>
      </c>
      <c r="K457" t="s">
        <v>31</v>
      </c>
      <c r="L457" t="s">
        <v>39</v>
      </c>
      <c r="M457" t="s">
        <v>1379</v>
      </c>
    </row>
    <row r="458" spans="1:13" x14ac:dyDescent="0.3">
      <c r="A458" t="s">
        <v>1832</v>
      </c>
      <c r="B458" t="s">
        <v>49</v>
      </c>
      <c r="C458" t="s">
        <v>271</v>
      </c>
      <c r="D458" t="s">
        <v>71</v>
      </c>
      <c r="E458" t="s">
        <v>116</v>
      </c>
      <c r="F458" s="4" t="s">
        <v>1833</v>
      </c>
      <c r="G458" s="5">
        <f t="shared" si="7"/>
        <v>12.3</v>
      </c>
      <c r="H458" t="s">
        <v>27</v>
      </c>
      <c r="I458" t="s">
        <v>28</v>
      </c>
      <c r="J458" t="s">
        <v>846</v>
      </c>
      <c r="K458" t="s">
        <v>31</v>
      </c>
      <c r="L458" t="s">
        <v>54</v>
      </c>
      <c r="M458" t="s">
        <v>1054</v>
      </c>
    </row>
    <row r="459" spans="1:13" x14ac:dyDescent="0.3">
      <c r="A459" t="s">
        <v>1834</v>
      </c>
      <c r="B459" t="s">
        <v>75</v>
      </c>
      <c r="C459" t="s">
        <v>14</v>
      </c>
      <c r="D459" t="s">
        <v>76</v>
      </c>
      <c r="E459" t="s">
        <v>52</v>
      </c>
      <c r="F459" s="4" t="s">
        <v>1039</v>
      </c>
      <c r="G459" s="5">
        <f t="shared" si="7"/>
        <v>3.1</v>
      </c>
      <c r="H459" t="s">
        <v>53</v>
      </c>
      <c r="I459" t="s">
        <v>845</v>
      </c>
      <c r="J459" t="s">
        <v>878</v>
      </c>
      <c r="K459" t="s">
        <v>846</v>
      </c>
      <c r="L459" t="s">
        <v>54</v>
      </c>
      <c r="M459" t="s">
        <v>1051</v>
      </c>
    </row>
    <row r="460" spans="1:13" x14ac:dyDescent="0.3">
      <c r="A460" t="s">
        <v>1835</v>
      </c>
      <c r="B460" t="s">
        <v>864</v>
      </c>
      <c r="C460" t="s">
        <v>99</v>
      </c>
      <c r="D460" t="s">
        <v>71</v>
      </c>
      <c r="E460" t="s">
        <v>77</v>
      </c>
      <c r="F460" s="4" t="s">
        <v>1836</v>
      </c>
      <c r="G460" s="5">
        <f t="shared" si="7"/>
        <v>23</v>
      </c>
      <c r="H460" t="s">
        <v>27</v>
      </c>
      <c r="I460" t="s">
        <v>28</v>
      </c>
      <c r="J460" t="s">
        <v>21</v>
      </c>
      <c r="K460" t="s">
        <v>29</v>
      </c>
      <c r="L460" t="s">
        <v>45</v>
      </c>
      <c r="M460" t="s">
        <v>1419</v>
      </c>
    </row>
    <row r="461" spans="1:13" x14ac:dyDescent="0.3">
      <c r="A461" t="s">
        <v>1837</v>
      </c>
      <c r="B461" t="s">
        <v>13</v>
      </c>
      <c r="C461" t="s">
        <v>125</v>
      </c>
      <c r="D461" t="s">
        <v>76</v>
      </c>
      <c r="E461" t="s">
        <v>37</v>
      </c>
      <c r="F461" s="4" t="s">
        <v>1838</v>
      </c>
      <c r="G461" s="5">
        <f t="shared" si="7"/>
        <v>18.7</v>
      </c>
      <c r="H461" t="s">
        <v>27</v>
      </c>
      <c r="I461" t="s">
        <v>845</v>
      </c>
      <c r="J461" t="s">
        <v>45</v>
      </c>
      <c r="K461" t="s">
        <v>54</v>
      </c>
      <c r="L461" t="s">
        <v>21</v>
      </c>
      <c r="M461" t="s">
        <v>921</v>
      </c>
    </row>
    <row r="462" spans="1:13" x14ac:dyDescent="0.3">
      <c r="A462" t="s">
        <v>1839</v>
      </c>
      <c r="B462" t="s">
        <v>864</v>
      </c>
      <c r="C462" t="s">
        <v>283</v>
      </c>
      <c r="D462" t="s">
        <v>71</v>
      </c>
      <c r="E462" t="s">
        <v>16</v>
      </c>
      <c r="F462" s="4" t="s">
        <v>971</v>
      </c>
      <c r="G462" s="5">
        <f t="shared" si="7"/>
        <v>6.9</v>
      </c>
      <c r="H462" t="s">
        <v>27</v>
      </c>
      <c r="I462" t="s">
        <v>59</v>
      </c>
      <c r="J462" t="s">
        <v>908</v>
      </c>
      <c r="K462" t="s">
        <v>846</v>
      </c>
      <c r="L462" t="s">
        <v>21</v>
      </c>
      <c r="M462" t="s">
        <v>1259</v>
      </c>
    </row>
    <row r="463" spans="1:13" x14ac:dyDescent="0.3">
      <c r="A463" t="s">
        <v>1840</v>
      </c>
      <c r="B463" t="s">
        <v>852</v>
      </c>
      <c r="C463" t="s">
        <v>906</v>
      </c>
      <c r="D463" t="s">
        <v>36</v>
      </c>
      <c r="E463" t="s">
        <v>16</v>
      </c>
      <c r="F463" s="4" t="s">
        <v>891</v>
      </c>
      <c r="G463" s="5">
        <f t="shared" si="7"/>
        <v>7.5</v>
      </c>
      <c r="H463" t="s">
        <v>27</v>
      </c>
      <c r="I463" t="s">
        <v>845</v>
      </c>
      <c r="J463" t="s">
        <v>20</v>
      </c>
      <c r="K463" t="s">
        <v>29</v>
      </c>
      <c r="L463" t="s">
        <v>45</v>
      </c>
      <c r="M463" t="s">
        <v>1530</v>
      </c>
    </row>
    <row r="464" spans="1:13" x14ac:dyDescent="0.3">
      <c r="A464" t="s">
        <v>1841</v>
      </c>
      <c r="B464" t="s">
        <v>864</v>
      </c>
      <c r="C464" t="s">
        <v>295</v>
      </c>
      <c r="D464" t="s">
        <v>36</v>
      </c>
      <c r="E464" t="s">
        <v>52</v>
      </c>
      <c r="F464" s="4" t="s">
        <v>1673</v>
      </c>
      <c r="G464" s="5">
        <f t="shared" si="7"/>
        <v>2.8</v>
      </c>
      <c r="H464" t="s">
        <v>53</v>
      </c>
      <c r="I464" t="s">
        <v>28</v>
      </c>
      <c r="J464" t="s">
        <v>846</v>
      </c>
      <c r="K464" t="s">
        <v>878</v>
      </c>
      <c r="L464" t="s">
        <v>21</v>
      </c>
      <c r="M464" t="s">
        <v>1435</v>
      </c>
    </row>
    <row r="465" spans="1:13" x14ac:dyDescent="0.3">
      <c r="A465" t="s">
        <v>1842</v>
      </c>
      <c r="B465" t="s">
        <v>852</v>
      </c>
      <c r="C465" t="s">
        <v>227</v>
      </c>
      <c r="D465" t="s">
        <v>71</v>
      </c>
      <c r="E465" t="s">
        <v>16</v>
      </c>
      <c r="F465" s="4" t="s">
        <v>1086</v>
      </c>
      <c r="G465" s="5">
        <f t="shared" si="7"/>
        <v>6.15</v>
      </c>
      <c r="H465" t="s">
        <v>27</v>
      </c>
      <c r="I465" t="s">
        <v>28</v>
      </c>
      <c r="J465" t="s">
        <v>854</v>
      </c>
      <c r="K465" t="s">
        <v>54</v>
      </c>
      <c r="L465" t="s">
        <v>46</v>
      </c>
      <c r="M465" t="s">
        <v>1843</v>
      </c>
    </row>
    <row r="466" spans="1:13" x14ac:dyDescent="0.3">
      <c r="A466" t="s">
        <v>1844</v>
      </c>
      <c r="B466" t="s">
        <v>864</v>
      </c>
      <c r="C466" t="s">
        <v>35</v>
      </c>
      <c r="D466" t="s">
        <v>76</v>
      </c>
      <c r="E466" t="s">
        <v>16</v>
      </c>
      <c r="F466" s="4" t="s">
        <v>1787</v>
      </c>
      <c r="G466" s="5">
        <f t="shared" si="7"/>
        <v>9.85</v>
      </c>
      <c r="H466" t="s">
        <v>27</v>
      </c>
      <c r="I466" t="s">
        <v>28</v>
      </c>
      <c r="J466" t="s">
        <v>31</v>
      </c>
      <c r="K466" t="s">
        <v>878</v>
      </c>
      <c r="L466" t="s">
        <v>54</v>
      </c>
      <c r="M466" t="s">
        <v>1084</v>
      </c>
    </row>
    <row r="467" spans="1:13" x14ac:dyDescent="0.3">
      <c r="A467" t="s">
        <v>1845</v>
      </c>
      <c r="B467" t="s">
        <v>13</v>
      </c>
      <c r="C467" t="s">
        <v>1032</v>
      </c>
      <c r="D467" t="s">
        <v>76</v>
      </c>
      <c r="E467" t="s">
        <v>37</v>
      </c>
      <c r="F467" s="4" t="s">
        <v>1846</v>
      </c>
      <c r="G467" s="5">
        <f t="shared" si="7"/>
        <v>11.65</v>
      </c>
      <c r="H467" t="s">
        <v>27</v>
      </c>
      <c r="I467" t="s">
        <v>59</v>
      </c>
      <c r="J467" t="s">
        <v>54</v>
      </c>
      <c r="K467" t="s">
        <v>20</v>
      </c>
      <c r="L467" t="s">
        <v>878</v>
      </c>
      <c r="M467" t="s">
        <v>1241</v>
      </c>
    </row>
    <row r="468" spans="1:13" x14ac:dyDescent="0.3">
      <c r="A468" t="s">
        <v>1847</v>
      </c>
      <c r="B468" t="s">
        <v>996</v>
      </c>
      <c r="C468" t="s">
        <v>655</v>
      </c>
      <c r="D468" t="s">
        <v>36</v>
      </c>
      <c r="E468" t="s">
        <v>52</v>
      </c>
      <c r="F468" s="4" t="s">
        <v>1813</v>
      </c>
      <c r="G468" s="5">
        <f t="shared" si="7"/>
        <v>4.75</v>
      </c>
      <c r="H468" t="s">
        <v>27</v>
      </c>
      <c r="I468" t="s">
        <v>28</v>
      </c>
      <c r="J468" t="s">
        <v>54</v>
      </c>
      <c r="K468" t="s">
        <v>874</v>
      </c>
      <c r="L468" t="s">
        <v>31</v>
      </c>
      <c r="M468" t="s">
        <v>1043</v>
      </c>
    </row>
    <row r="469" spans="1:13" x14ac:dyDescent="0.3">
      <c r="A469" t="s">
        <v>1848</v>
      </c>
      <c r="B469" t="s">
        <v>42</v>
      </c>
      <c r="C469" t="s">
        <v>530</v>
      </c>
      <c r="D469" t="s">
        <v>96</v>
      </c>
      <c r="E469" t="s">
        <v>77</v>
      </c>
      <c r="F469" s="4" t="s">
        <v>1849</v>
      </c>
      <c r="G469" s="5">
        <f t="shared" si="7"/>
        <v>32.700000000000003</v>
      </c>
      <c r="H469" t="s">
        <v>27</v>
      </c>
      <c r="I469" t="s">
        <v>28</v>
      </c>
      <c r="J469" t="s">
        <v>878</v>
      </c>
      <c r="K469" t="s">
        <v>29</v>
      </c>
      <c r="L469" t="s">
        <v>854</v>
      </c>
      <c r="M469" t="s">
        <v>1037</v>
      </c>
    </row>
    <row r="470" spans="1:13" x14ac:dyDescent="0.3">
      <c r="A470" t="s">
        <v>1850</v>
      </c>
      <c r="B470" t="s">
        <v>864</v>
      </c>
      <c r="C470" t="s">
        <v>899</v>
      </c>
      <c r="D470" t="s">
        <v>51</v>
      </c>
      <c r="E470" t="s">
        <v>77</v>
      </c>
      <c r="F470" s="4" t="s">
        <v>1136</v>
      </c>
      <c r="G470" s="5">
        <f t="shared" si="7"/>
        <v>29.95</v>
      </c>
      <c r="H470" t="s">
        <v>27</v>
      </c>
      <c r="I470" t="s">
        <v>28</v>
      </c>
      <c r="J470" t="s">
        <v>846</v>
      </c>
      <c r="K470" t="s">
        <v>21</v>
      </c>
      <c r="L470" t="s">
        <v>45</v>
      </c>
      <c r="M470" t="s">
        <v>1274</v>
      </c>
    </row>
    <row r="471" spans="1:13" x14ac:dyDescent="0.3">
      <c r="A471" t="s">
        <v>1851</v>
      </c>
      <c r="B471" t="s">
        <v>42</v>
      </c>
      <c r="C471" t="s">
        <v>123</v>
      </c>
      <c r="D471" t="s">
        <v>81</v>
      </c>
      <c r="E471" t="s">
        <v>77</v>
      </c>
      <c r="F471" s="4" t="s">
        <v>920</v>
      </c>
      <c r="G471" s="5">
        <f t="shared" si="7"/>
        <v>17.25</v>
      </c>
      <c r="H471" t="s">
        <v>17</v>
      </c>
      <c r="I471" t="s">
        <v>845</v>
      </c>
      <c r="J471" t="s">
        <v>46</v>
      </c>
      <c r="K471" t="s">
        <v>45</v>
      </c>
      <c r="L471" t="s">
        <v>39</v>
      </c>
      <c r="M471" t="s">
        <v>1852</v>
      </c>
    </row>
    <row r="472" spans="1:13" x14ac:dyDescent="0.3">
      <c r="A472" t="s">
        <v>1853</v>
      </c>
      <c r="B472" t="s">
        <v>13</v>
      </c>
      <c r="C472" t="s">
        <v>530</v>
      </c>
      <c r="D472" t="s">
        <v>36</v>
      </c>
      <c r="E472" t="s">
        <v>116</v>
      </c>
      <c r="F472" s="4" t="s">
        <v>1056</v>
      </c>
      <c r="G472" s="5">
        <f t="shared" si="7"/>
        <v>11.55</v>
      </c>
      <c r="H472" t="s">
        <v>27</v>
      </c>
      <c r="I472" t="s">
        <v>28</v>
      </c>
      <c r="J472" t="s">
        <v>45</v>
      </c>
      <c r="K472" t="s">
        <v>878</v>
      </c>
      <c r="L472" t="s">
        <v>54</v>
      </c>
      <c r="M472" t="s">
        <v>859</v>
      </c>
    </row>
    <row r="473" spans="1:13" x14ac:dyDescent="0.3">
      <c r="A473" t="s">
        <v>1854</v>
      </c>
      <c r="B473" t="s">
        <v>996</v>
      </c>
      <c r="C473" t="s">
        <v>940</v>
      </c>
      <c r="D473" t="s">
        <v>64</v>
      </c>
      <c r="E473" t="s">
        <v>52</v>
      </c>
      <c r="F473" s="4" t="s">
        <v>1385</v>
      </c>
      <c r="G473" s="5">
        <f t="shared" si="7"/>
        <v>6.55</v>
      </c>
      <c r="H473" t="s">
        <v>27</v>
      </c>
      <c r="I473" t="s">
        <v>845</v>
      </c>
      <c r="J473" t="s">
        <v>874</v>
      </c>
      <c r="K473" t="s">
        <v>39</v>
      </c>
      <c r="L473" t="s">
        <v>937</v>
      </c>
      <c r="M473" t="s">
        <v>1816</v>
      </c>
    </row>
    <row r="474" spans="1:13" x14ac:dyDescent="0.3">
      <c r="A474" t="s">
        <v>1855</v>
      </c>
      <c r="B474" t="s">
        <v>42</v>
      </c>
      <c r="C474" t="s">
        <v>441</v>
      </c>
      <c r="D474" t="s">
        <v>96</v>
      </c>
      <c r="E474" t="s">
        <v>16</v>
      </c>
      <c r="F474" s="4" t="s">
        <v>1113</v>
      </c>
      <c r="G474" s="5">
        <f t="shared" si="7"/>
        <v>6.65</v>
      </c>
      <c r="H474" t="s">
        <v>27</v>
      </c>
      <c r="I474" t="s">
        <v>28</v>
      </c>
      <c r="J474" t="s">
        <v>854</v>
      </c>
      <c r="K474" t="s">
        <v>29</v>
      </c>
      <c r="L474" t="s">
        <v>46</v>
      </c>
      <c r="M474" t="s">
        <v>1399</v>
      </c>
    </row>
    <row r="475" spans="1:13" x14ac:dyDescent="0.3">
      <c r="A475" t="s">
        <v>1856</v>
      </c>
      <c r="B475" t="s">
        <v>75</v>
      </c>
      <c r="C475" t="s">
        <v>953</v>
      </c>
      <c r="D475" t="s">
        <v>36</v>
      </c>
      <c r="E475" t="s">
        <v>37</v>
      </c>
      <c r="F475" s="4" t="s">
        <v>1613</v>
      </c>
      <c r="G475" s="5">
        <f t="shared" si="7"/>
        <v>21.45</v>
      </c>
      <c r="H475" t="s">
        <v>27</v>
      </c>
      <c r="I475" t="s">
        <v>845</v>
      </c>
      <c r="J475" t="s">
        <v>31</v>
      </c>
      <c r="K475" t="s">
        <v>54</v>
      </c>
      <c r="L475" t="s">
        <v>21</v>
      </c>
      <c r="M475" t="s">
        <v>1003</v>
      </c>
    </row>
    <row r="476" spans="1:13" x14ac:dyDescent="0.3">
      <c r="A476" t="s">
        <v>1857</v>
      </c>
      <c r="B476" t="s">
        <v>24</v>
      </c>
      <c r="C476" t="s">
        <v>288</v>
      </c>
      <c r="D476" t="s">
        <v>44</v>
      </c>
      <c r="E476" t="s">
        <v>52</v>
      </c>
      <c r="F476" s="4" t="s">
        <v>1247</v>
      </c>
      <c r="G476" s="5">
        <f t="shared" si="7"/>
        <v>5</v>
      </c>
      <c r="H476" t="s">
        <v>27</v>
      </c>
      <c r="I476" t="s">
        <v>28</v>
      </c>
      <c r="J476" t="s">
        <v>31</v>
      </c>
      <c r="K476" t="s">
        <v>878</v>
      </c>
      <c r="L476" t="s">
        <v>846</v>
      </c>
      <c r="M476" t="s">
        <v>1359</v>
      </c>
    </row>
    <row r="477" spans="1:13" x14ac:dyDescent="0.3">
      <c r="A477" t="s">
        <v>1858</v>
      </c>
      <c r="B477" t="s">
        <v>960</v>
      </c>
      <c r="C477" t="s">
        <v>999</v>
      </c>
      <c r="D477" t="s">
        <v>36</v>
      </c>
      <c r="E477" t="s">
        <v>52</v>
      </c>
      <c r="F477" s="4" t="s">
        <v>1859</v>
      </c>
      <c r="G477" s="5">
        <f t="shared" si="7"/>
        <v>3.75</v>
      </c>
      <c r="H477" t="s">
        <v>53</v>
      </c>
      <c r="I477" t="s">
        <v>28</v>
      </c>
      <c r="J477" t="s">
        <v>31</v>
      </c>
      <c r="K477" t="s">
        <v>937</v>
      </c>
      <c r="L477" t="s">
        <v>46</v>
      </c>
      <c r="M477" t="s">
        <v>1732</v>
      </c>
    </row>
    <row r="478" spans="1:13" x14ac:dyDescent="0.3">
      <c r="A478" t="s">
        <v>1860</v>
      </c>
      <c r="B478" t="s">
        <v>13</v>
      </c>
      <c r="C478" t="s">
        <v>530</v>
      </c>
      <c r="D478" t="s">
        <v>76</v>
      </c>
      <c r="E478" t="s">
        <v>52</v>
      </c>
      <c r="F478" s="4" t="s">
        <v>1861</v>
      </c>
      <c r="G478" s="5">
        <f t="shared" si="7"/>
        <v>3.7</v>
      </c>
      <c r="H478" t="s">
        <v>53</v>
      </c>
      <c r="I478" t="s">
        <v>845</v>
      </c>
      <c r="J478" t="s">
        <v>54</v>
      </c>
      <c r="K478" t="s">
        <v>878</v>
      </c>
      <c r="L478" t="s">
        <v>31</v>
      </c>
      <c r="M478" t="s">
        <v>1399</v>
      </c>
    </row>
    <row r="479" spans="1:13" x14ac:dyDescent="0.3">
      <c r="A479" t="s">
        <v>1862</v>
      </c>
      <c r="B479" t="s">
        <v>864</v>
      </c>
      <c r="C479" t="s">
        <v>277</v>
      </c>
      <c r="D479" t="s">
        <v>51</v>
      </c>
      <c r="E479" t="s">
        <v>52</v>
      </c>
      <c r="F479" s="4" t="s">
        <v>1353</v>
      </c>
      <c r="G479" s="5">
        <f t="shared" si="7"/>
        <v>6.05</v>
      </c>
      <c r="H479" t="s">
        <v>27</v>
      </c>
      <c r="I479" t="s">
        <v>28</v>
      </c>
      <c r="J479" t="s">
        <v>878</v>
      </c>
      <c r="K479" t="s">
        <v>21</v>
      </c>
      <c r="L479" t="s">
        <v>937</v>
      </c>
      <c r="M479" t="s">
        <v>1193</v>
      </c>
    </row>
    <row r="480" spans="1:13" x14ac:dyDescent="0.3">
      <c r="A480" t="s">
        <v>1863</v>
      </c>
      <c r="B480" t="s">
        <v>75</v>
      </c>
      <c r="C480" t="s">
        <v>281</v>
      </c>
      <c r="D480" t="s">
        <v>44</v>
      </c>
      <c r="E480" t="s">
        <v>37</v>
      </c>
      <c r="F480" s="4" t="s">
        <v>1023</v>
      </c>
      <c r="G480" s="5">
        <f t="shared" si="7"/>
        <v>10.35</v>
      </c>
      <c r="H480" t="s">
        <v>27</v>
      </c>
      <c r="I480" t="s">
        <v>59</v>
      </c>
      <c r="J480" t="s">
        <v>846</v>
      </c>
      <c r="K480" t="s">
        <v>854</v>
      </c>
      <c r="L480" t="s">
        <v>878</v>
      </c>
      <c r="M480" t="s">
        <v>1864</v>
      </c>
    </row>
    <row r="481" spans="1:13" x14ac:dyDescent="0.3">
      <c r="A481" t="s">
        <v>1865</v>
      </c>
      <c r="B481" t="s">
        <v>49</v>
      </c>
      <c r="C481" t="s">
        <v>530</v>
      </c>
      <c r="D481" t="s">
        <v>64</v>
      </c>
      <c r="E481" t="s">
        <v>37</v>
      </c>
      <c r="F481" s="4" t="s">
        <v>1372</v>
      </c>
      <c r="G481" s="5">
        <f t="shared" si="7"/>
        <v>10.15</v>
      </c>
      <c r="H481" t="s">
        <v>27</v>
      </c>
      <c r="I481" t="s">
        <v>28</v>
      </c>
      <c r="J481" t="s">
        <v>21</v>
      </c>
      <c r="K481" t="s">
        <v>937</v>
      </c>
      <c r="L481" t="s">
        <v>45</v>
      </c>
      <c r="M481" t="s">
        <v>1569</v>
      </c>
    </row>
    <row r="482" spans="1:13" x14ac:dyDescent="0.3">
      <c r="A482" t="s">
        <v>1866</v>
      </c>
      <c r="B482" t="s">
        <v>42</v>
      </c>
      <c r="C482" t="s">
        <v>14</v>
      </c>
      <c r="D482" t="s">
        <v>51</v>
      </c>
      <c r="E482" t="s">
        <v>16</v>
      </c>
      <c r="F482" s="4" t="s">
        <v>989</v>
      </c>
      <c r="G482" s="5">
        <f t="shared" si="7"/>
        <v>6.5</v>
      </c>
      <c r="H482" t="s">
        <v>27</v>
      </c>
      <c r="I482" t="s">
        <v>28</v>
      </c>
      <c r="J482" t="s">
        <v>854</v>
      </c>
      <c r="K482" t="s">
        <v>29</v>
      </c>
      <c r="L482" t="s">
        <v>31</v>
      </c>
      <c r="M482" t="s">
        <v>1732</v>
      </c>
    </row>
    <row r="483" spans="1:13" x14ac:dyDescent="0.3">
      <c r="A483" t="s">
        <v>1867</v>
      </c>
      <c r="B483" t="s">
        <v>62</v>
      </c>
      <c r="C483" t="s">
        <v>1127</v>
      </c>
      <c r="D483" t="s">
        <v>15</v>
      </c>
      <c r="E483" t="s">
        <v>16</v>
      </c>
      <c r="F483" s="4" t="s">
        <v>1787</v>
      </c>
      <c r="G483" s="5">
        <f t="shared" si="7"/>
        <v>9.85</v>
      </c>
      <c r="H483" t="s">
        <v>17</v>
      </c>
      <c r="I483" t="s">
        <v>845</v>
      </c>
      <c r="J483" t="s">
        <v>908</v>
      </c>
      <c r="K483" t="s">
        <v>39</v>
      </c>
      <c r="L483" t="s">
        <v>874</v>
      </c>
      <c r="M483" t="s">
        <v>1339</v>
      </c>
    </row>
    <row r="484" spans="1:13" x14ac:dyDescent="0.3">
      <c r="A484" t="s">
        <v>1868</v>
      </c>
      <c r="B484" t="s">
        <v>864</v>
      </c>
      <c r="C484" t="s">
        <v>283</v>
      </c>
      <c r="D484" t="s">
        <v>64</v>
      </c>
      <c r="E484" t="s">
        <v>16</v>
      </c>
      <c r="F484" s="4" t="s">
        <v>1869</v>
      </c>
      <c r="G484" s="5">
        <f t="shared" si="7"/>
        <v>10.7</v>
      </c>
      <c r="H484" t="s">
        <v>27</v>
      </c>
      <c r="I484" t="s">
        <v>28</v>
      </c>
      <c r="J484" t="s">
        <v>54</v>
      </c>
      <c r="K484" t="s">
        <v>45</v>
      </c>
      <c r="L484" t="s">
        <v>846</v>
      </c>
      <c r="M484" t="s">
        <v>948</v>
      </c>
    </row>
    <row r="485" spans="1:13" x14ac:dyDescent="0.3">
      <c r="A485" t="s">
        <v>1870</v>
      </c>
      <c r="B485" t="s">
        <v>852</v>
      </c>
      <c r="C485" t="s">
        <v>899</v>
      </c>
      <c r="D485" t="s">
        <v>64</v>
      </c>
      <c r="E485" t="s">
        <v>37</v>
      </c>
      <c r="F485" s="4" t="s">
        <v>1393</v>
      </c>
      <c r="G485" s="5">
        <f t="shared" si="7"/>
        <v>12.2</v>
      </c>
      <c r="H485" t="s">
        <v>17</v>
      </c>
      <c r="I485" t="s">
        <v>28</v>
      </c>
      <c r="J485" t="s">
        <v>908</v>
      </c>
      <c r="K485" t="s">
        <v>29</v>
      </c>
      <c r="L485" t="s">
        <v>854</v>
      </c>
      <c r="M485" t="s">
        <v>1871</v>
      </c>
    </row>
    <row r="486" spans="1:13" x14ac:dyDescent="0.3">
      <c r="A486" t="s">
        <v>1872</v>
      </c>
      <c r="B486" t="s">
        <v>13</v>
      </c>
      <c r="C486" t="s">
        <v>400</v>
      </c>
      <c r="D486" t="s">
        <v>64</v>
      </c>
      <c r="E486" t="s">
        <v>37</v>
      </c>
      <c r="F486" s="4" t="s">
        <v>1873</v>
      </c>
      <c r="G486" s="5">
        <f t="shared" si="7"/>
        <v>15.9</v>
      </c>
      <c r="H486" t="s">
        <v>27</v>
      </c>
      <c r="I486" t="s">
        <v>28</v>
      </c>
      <c r="J486" t="s">
        <v>846</v>
      </c>
      <c r="K486" t="s">
        <v>878</v>
      </c>
      <c r="L486" t="s">
        <v>54</v>
      </c>
      <c r="M486" t="s">
        <v>1057</v>
      </c>
    </row>
    <row r="487" spans="1:13" x14ac:dyDescent="0.3">
      <c r="A487" t="s">
        <v>1874</v>
      </c>
      <c r="B487" t="s">
        <v>996</v>
      </c>
      <c r="C487" t="s">
        <v>999</v>
      </c>
      <c r="D487" t="s">
        <v>96</v>
      </c>
      <c r="E487" t="s">
        <v>52</v>
      </c>
      <c r="F487" s="4" t="s">
        <v>1421</v>
      </c>
      <c r="G487" s="5">
        <f t="shared" si="7"/>
        <v>7.7</v>
      </c>
      <c r="H487" t="s">
        <v>17</v>
      </c>
      <c r="I487" t="s">
        <v>845</v>
      </c>
      <c r="J487" t="s">
        <v>937</v>
      </c>
      <c r="K487" t="s">
        <v>908</v>
      </c>
      <c r="L487" t="s">
        <v>39</v>
      </c>
      <c r="M487" t="s">
        <v>1145</v>
      </c>
    </row>
    <row r="488" spans="1:13" x14ac:dyDescent="0.3">
      <c r="A488" t="s">
        <v>1875</v>
      </c>
      <c r="B488" t="s">
        <v>75</v>
      </c>
      <c r="C488" t="s">
        <v>1032</v>
      </c>
      <c r="D488" t="s">
        <v>71</v>
      </c>
      <c r="E488" t="s">
        <v>37</v>
      </c>
      <c r="F488" s="4" t="s">
        <v>1876</v>
      </c>
      <c r="G488" s="5">
        <f t="shared" si="7"/>
        <v>21.55</v>
      </c>
      <c r="H488" t="s">
        <v>27</v>
      </c>
      <c r="I488" t="s">
        <v>845</v>
      </c>
      <c r="J488" t="s">
        <v>39</v>
      </c>
      <c r="K488" t="s">
        <v>45</v>
      </c>
      <c r="L488" t="s">
        <v>54</v>
      </c>
      <c r="M488" t="s">
        <v>1324</v>
      </c>
    </row>
    <row r="489" spans="1:13" x14ac:dyDescent="0.3">
      <c r="A489" t="s">
        <v>1877</v>
      </c>
      <c r="B489" t="s">
        <v>864</v>
      </c>
      <c r="C489" t="s">
        <v>321</v>
      </c>
      <c r="D489" t="s">
        <v>36</v>
      </c>
      <c r="E489" t="s">
        <v>16</v>
      </c>
      <c r="F489" s="4" t="s">
        <v>858</v>
      </c>
      <c r="G489" s="5">
        <f t="shared" si="7"/>
        <v>10.95</v>
      </c>
      <c r="H489" t="s">
        <v>27</v>
      </c>
      <c r="I489" t="s">
        <v>845</v>
      </c>
      <c r="J489" t="s">
        <v>20</v>
      </c>
      <c r="K489" t="s">
        <v>46</v>
      </c>
      <c r="L489" t="s">
        <v>29</v>
      </c>
      <c r="M489" t="s">
        <v>1302</v>
      </c>
    </row>
    <row r="490" spans="1:13" x14ac:dyDescent="0.3">
      <c r="A490" t="s">
        <v>1878</v>
      </c>
      <c r="B490" t="s">
        <v>42</v>
      </c>
      <c r="C490" t="s">
        <v>334</v>
      </c>
      <c r="D490" t="s">
        <v>26</v>
      </c>
      <c r="E490" t="s">
        <v>116</v>
      </c>
      <c r="F490" s="4" t="s">
        <v>1879</v>
      </c>
      <c r="G490" s="5">
        <f t="shared" si="7"/>
        <v>15.75</v>
      </c>
      <c r="H490" t="s">
        <v>27</v>
      </c>
      <c r="I490" t="s">
        <v>59</v>
      </c>
      <c r="J490" t="s">
        <v>20</v>
      </c>
      <c r="K490" t="s">
        <v>874</v>
      </c>
      <c r="L490" t="s">
        <v>29</v>
      </c>
      <c r="M490" t="s">
        <v>1880</v>
      </c>
    </row>
    <row r="491" spans="1:13" x14ac:dyDescent="0.3">
      <c r="A491" t="s">
        <v>1881</v>
      </c>
      <c r="B491" t="s">
        <v>42</v>
      </c>
      <c r="C491" t="s">
        <v>277</v>
      </c>
      <c r="D491" t="s">
        <v>26</v>
      </c>
      <c r="E491" t="s">
        <v>52</v>
      </c>
      <c r="F491" s="4" t="s">
        <v>954</v>
      </c>
      <c r="G491" s="5">
        <f t="shared" si="7"/>
        <v>4.1500000000000004</v>
      </c>
      <c r="H491" t="s">
        <v>53</v>
      </c>
      <c r="I491" t="s">
        <v>28</v>
      </c>
      <c r="J491" t="s">
        <v>937</v>
      </c>
      <c r="K491" t="s">
        <v>20</v>
      </c>
      <c r="L491" t="s">
        <v>29</v>
      </c>
      <c r="M491" t="s">
        <v>915</v>
      </c>
    </row>
    <row r="492" spans="1:13" x14ac:dyDescent="0.3">
      <c r="A492" t="s">
        <v>1882</v>
      </c>
      <c r="B492" t="s">
        <v>852</v>
      </c>
      <c r="C492" t="s">
        <v>123</v>
      </c>
      <c r="D492" t="s">
        <v>64</v>
      </c>
      <c r="E492" t="s">
        <v>116</v>
      </c>
      <c r="F492" s="4" t="s">
        <v>1883</v>
      </c>
      <c r="G492" s="5">
        <f t="shared" si="7"/>
        <v>15.65</v>
      </c>
      <c r="H492" t="s">
        <v>27</v>
      </c>
      <c r="I492" t="s">
        <v>28</v>
      </c>
      <c r="J492" t="s">
        <v>854</v>
      </c>
      <c r="K492" t="s">
        <v>29</v>
      </c>
      <c r="L492" t="s">
        <v>21</v>
      </c>
      <c r="M492" t="s">
        <v>1374</v>
      </c>
    </row>
    <row r="493" spans="1:13" x14ac:dyDescent="0.3">
      <c r="A493" t="s">
        <v>1884</v>
      </c>
      <c r="B493" t="s">
        <v>864</v>
      </c>
      <c r="C493" t="s">
        <v>389</v>
      </c>
      <c r="D493" t="s">
        <v>76</v>
      </c>
      <c r="E493" t="s">
        <v>52</v>
      </c>
      <c r="F493" s="4" t="s">
        <v>1492</v>
      </c>
      <c r="G493" s="5">
        <f t="shared" si="7"/>
        <v>6.45</v>
      </c>
      <c r="H493" t="s">
        <v>27</v>
      </c>
      <c r="I493" t="s">
        <v>28</v>
      </c>
      <c r="J493" t="s">
        <v>21</v>
      </c>
      <c r="K493" t="s">
        <v>39</v>
      </c>
      <c r="L493" t="s">
        <v>874</v>
      </c>
      <c r="M493" t="s">
        <v>1027</v>
      </c>
    </row>
    <row r="494" spans="1:13" x14ac:dyDescent="0.3">
      <c r="A494" t="s">
        <v>1885</v>
      </c>
      <c r="B494" t="s">
        <v>49</v>
      </c>
      <c r="C494" t="s">
        <v>277</v>
      </c>
      <c r="D494" t="s">
        <v>51</v>
      </c>
      <c r="E494" t="s">
        <v>77</v>
      </c>
      <c r="F494" s="4" t="s">
        <v>1886</v>
      </c>
      <c r="G494" s="5">
        <f t="shared" si="7"/>
        <v>27.55</v>
      </c>
      <c r="H494" t="s">
        <v>17</v>
      </c>
      <c r="I494" t="s">
        <v>28</v>
      </c>
      <c r="J494" t="s">
        <v>878</v>
      </c>
      <c r="K494" t="s">
        <v>21</v>
      </c>
      <c r="L494" t="s">
        <v>39</v>
      </c>
      <c r="M494" t="s">
        <v>1093</v>
      </c>
    </row>
    <row r="495" spans="1:13" x14ac:dyDescent="0.3">
      <c r="A495" t="s">
        <v>1887</v>
      </c>
      <c r="B495" t="s">
        <v>24</v>
      </c>
      <c r="C495" t="s">
        <v>1367</v>
      </c>
      <c r="D495" t="s">
        <v>26</v>
      </c>
      <c r="E495" t="s">
        <v>37</v>
      </c>
      <c r="F495" s="4" t="s">
        <v>1888</v>
      </c>
      <c r="G495" s="5">
        <f t="shared" si="7"/>
        <v>19.600000000000001</v>
      </c>
      <c r="H495" t="s">
        <v>27</v>
      </c>
      <c r="I495" t="s">
        <v>845</v>
      </c>
      <c r="J495" t="s">
        <v>45</v>
      </c>
      <c r="K495" t="s">
        <v>846</v>
      </c>
      <c r="L495" t="s">
        <v>20</v>
      </c>
      <c r="M495" t="s">
        <v>945</v>
      </c>
    </row>
    <row r="496" spans="1:13" x14ac:dyDescent="0.3">
      <c r="A496" t="s">
        <v>1889</v>
      </c>
      <c r="B496" t="s">
        <v>49</v>
      </c>
      <c r="C496" t="s">
        <v>260</v>
      </c>
      <c r="D496" t="s">
        <v>96</v>
      </c>
      <c r="E496" t="s">
        <v>16</v>
      </c>
      <c r="F496" s="4" t="s">
        <v>1113</v>
      </c>
      <c r="G496" s="5">
        <f t="shared" si="7"/>
        <v>6.65</v>
      </c>
      <c r="H496" t="s">
        <v>27</v>
      </c>
      <c r="I496" t="s">
        <v>845</v>
      </c>
      <c r="J496" t="s">
        <v>46</v>
      </c>
      <c r="K496" t="s">
        <v>21</v>
      </c>
      <c r="L496" t="s">
        <v>846</v>
      </c>
      <c r="M496" t="s">
        <v>1174</v>
      </c>
    </row>
    <row r="497" spans="1:13" x14ac:dyDescent="0.3">
      <c r="A497" t="s">
        <v>1890</v>
      </c>
      <c r="B497" t="s">
        <v>996</v>
      </c>
      <c r="C497" t="s">
        <v>50</v>
      </c>
      <c r="D497" t="s">
        <v>26</v>
      </c>
      <c r="E497" t="s">
        <v>37</v>
      </c>
      <c r="F497" s="4" t="s">
        <v>1879</v>
      </c>
      <c r="G497" s="5">
        <f t="shared" si="7"/>
        <v>15.75</v>
      </c>
      <c r="H497" t="s">
        <v>27</v>
      </c>
      <c r="I497" t="s">
        <v>28</v>
      </c>
      <c r="J497" t="s">
        <v>854</v>
      </c>
      <c r="K497" t="s">
        <v>937</v>
      </c>
      <c r="L497" t="s">
        <v>39</v>
      </c>
      <c r="M497" t="s">
        <v>1891</v>
      </c>
    </row>
    <row r="498" spans="1:13" x14ac:dyDescent="0.3">
      <c r="A498" t="s">
        <v>1892</v>
      </c>
      <c r="B498" t="s">
        <v>864</v>
      </c>
      <c r="C498" t="s">
        <v>160</v>
      </c>
      <c r="D498" t="s">
        <v>96</v>
      </c>
      <c r="E498" t="s">
        <v>16</v>
      </c>
      <c r="F498" s="4" t="s">
        <v>1541</v>
      </c>
      <c r="G498" s="5">
        <f t="shared" si="7"/>
        <v>9.75</v>
      </c>
      <c r="H498" t="s">
        <v>27</v>
      </c>
      <c r="I498" t="s">
        <v>28</v>
      </c>
      <c r="J498" t="s">
        <v>30</v>
      </c>
      <c r="K498" t="s">
        <v>45</v>
      </c>
      <c r="L498" t="s">
        <v>31</v>
      </c>
      <c r="M498" t="s">
        <v>1313</v>
      </c>
    </row>
    <row r="499" spans="1:13" x14ac:dyDescent="0.3">
      <c r="A499" t="s">
        <v>1893</v>
      </c>
      <c r="B499" t="s">
        <v>49</v>
      </c>
      <c r="C499" t="s">
        <v>857</v>
      </c>
      <c r="D499" t="s">
        <v>36</v>
      </c>
      <c r="E499" t="s">
        <v>77</v>
      </c>
      <c r="F499" s="4" t="s">
        <v>1894</v>
      </c>
      <c r="G499" s="5">
        <f t="shared" si="7"/>
        <v>28.05</v>
      </c>
      <c r="H499" t="s">
        <v>27</v>
      </c>
      <c r="I499" t="s">
        <v>28</v>
      </c>
      <c r="J499" t="s">
        <v>54</v>
      </c>
      <c r="K499" t="s">
        <v>878</v>
      </c>
      <c r="L499" t="s">
        <v>21</v>
      </c>
      <c r="M499" t="s">
        <v>1399</v>
      </c>
    </row>
    <row r="500" spans="1:13" x14ac:dyDescent="0.3">
      <c r="A500" t="s">
        <v>1895</v>
      </c>
      <c r="B500" t="s">
        <v>42</v>
      </c>
      <c r="C500" t="s">
        <v>211</v>
      </c>
      <c r="D500" t="s">
        <v>26</v>
      </c>
      <c r="E500" t="s">
        <v>52</v>
      </c>
      <c r="F500" s="4" t="s">
        <v>894</v>
      </c>
      <c r="G500" s="5">
        <f t="shared" si="7"/>
        <v>5.15</v>
      </c>
      <c r="H500" t="s">
        <v>27</v>
      </c>
      <c r="I500" t="s">
        <v>845</v>
      </c>
      <c r="J500" t="s">
        <v>854</v>
      </c>
      <c r="K500" t="s">
        <v>46</v>
      </c>
      <c r="L500" t="s">
        <v>874</v>
      </c>
      <c r="M500" t="s">
        <v>1351</v>
      </c>
    </row>
    <row r="501" spans="1:13" x14ac:dyDescent="0.3">
      <c r="A501" t="s">
        <v>1896</v>
      </c>
      <c r="B501" t="s">
        <v>960</v>
      </c>
      <c r="C501" t="s">
        <v>268</v>
      </c>
      <c r="D501" t="s">
        <v>36</v>
      </c>
      <c r="E501" t="s">
        <v>37</v>
      </c>
      <c r="F501" s="4" t="s">
        <v>1846</v>
      </c>
      <c r="G501" s="5">
        <f t="shared" si="7"/>
        <v>11.65</v>
      </c>
      <c r="H501" t="s">
        <v>27</v>
      </c>
      <c r="I501" t="s">
        <v>845</v>
      </c>
      <c r="J501" t="s">
        <v>937</v>
      </c>
      <c r="K501" t="s">
        <v>29</v>
      </c>
      <c r="L501" t="s">
        <v>46</v>
      </c>
      <c r="M501" t="s">
        <v>1189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01"/>
  <sheetViews>
    <sheetView workbookViewId="0">
      <pane ySplit="1" topLeftCell="A476" activePane="bottomLeft" state="frozen"/>
      <selection pane="bottomLeft" sqref="A1:L501"/>
    </sheetView>
  </sheetViews>
  <sheetFormatPr defaultRowHeight="14.4" x14ac:dyDescent="0.3"/>
  <cols>
    <col min="1" max="1" width="12.109375" bestFit="1" customWidth="1"/>
    <col min="2" max="2" width="23.33203125" bestFit="1" customWidth="1"/>
    <col min="3" max="3" width="24.5546875" bestFit="1" customWidth="1"/>
    <col min="4" max="4" width="13.77734375" bestFit="1" customWidth="1"/>
    <col min="5" max="5" width="16.5546875" bestFit="1" customWidth="1"/>
    <col min="6" max="6" width="16.109375" bestFit="1" customWidth="1"/>
    <col min="7" max="7" width="15" bestFit="1" customWidth="1"/>
    <col min="8" max="8" width="16.88671875" bestFit="1" customWidth="1"/>
    <col min="9" max="11" width="15.6640625" bestFit="1" customWidth="1"/>
    <col min="12" max="12" width="17.8867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t="s">
        <v>14</v>
      </c>
      <c r="D2" s="2" t="s">
        <v>15</v>
      </c>
      <c r="E2" s="2" t="s">
        <v>16</v>
      </c>
      <c r="F2" s="3">
        <v>1000000</v>
      </c>
      <c r="G2" s="2" t="s">
        <v>17</v>
      </c>
      <c r="H2" s="2" t="s">
        <v>18</v>
      </c>
      <c r="I2" s="2" t="s">
        <v>19</v>
      </c>
      <c r="J2" s="2" t="s">
        <v>20</v>
      </c>
      <c r="K2" s="2" t="s">
        <v>21</v>
      </c>
      <c r="L2" s="2" t="s">
        <v>22</v>
      </c>
    </row>
    <row r="3" spans="1:12" x14ac:dyDescent="0.3">
      <c r="A3" s="2" t="s">
        <v>23</v>
      </c>
      <c r="B3" s="2" t="s">
        <v>24</v>
      </c>
      <c r="C3" s="2" t="s">
        <v>25</v>
      </c>
      <c r="D3" s="2" t="s">
        <v>26</v>
      </c>
      <c r="E3" s="2" t="s">
        <v>16</v>
      </c>
      <c r="F3" s="3">
        <v>915000</v>
      </c>
      <c r="G3" s="2" t="s">
        <v>27</v>
      </c>
      <c r="H3" s="2" t="s">
        <v>28</v>
      </c>
      <c r="I3" s="2" t="s">
        <v>29</v>
      </c>
      <c r="J3" s="2" t="s">
        <v>30</v>
      </c>
      <c r="K3" s="2" t="s">
        <v>31</v>
      </c>
      <c r="L3" s="2" t="s">
        <v>32</v>
      </c>
    </row>
    <row r="4" spans="1:12" x14ac:dyDescent="0.3">
      <c r="A4" s="2" t="s">
        <v>33</v>
      </c>
      <c r="B4" s="2" t="s">
        <v>34</v>
      </c>
      <c r="C4" s="2" t="s">
        <v>35</v>
      </c>
      <c r="D4" s="2" t="s">
        <v>36</v>
      </c>
      <c r="E4" s="2" t="s">
        <v>37</v>
      </c>
      <c r="F4" s="3">
        <v>1625000</v>
      </c>
      <c r="G4" s="2" t="s">
        <v>27</v>
      </c>
      <c r="H4" s="2" t="s">
        <v>28</v>
      </c>
      <c r="I4" s="2" t="s">
        <v>38</v>
      </c>
      <c r="J4" s="2" t="s">
        <v>39</v>
      </c>
      <c r="K4" s="2" t="s">
        <v>20</v>
      </c>
      <c r="L4" s="2" t="s">
        <v>40</v>
      </c>
    </row>
    <row r="5" spans="1:12" x14ac:dyDescent="0.3">
      <c r="A5" s="2" t="s">
        <v>41</v>
      </c>
      <c r="B5" s="2" t="s">
        <v>42</v>
      </c>
      <c r="C5" s="2" t="s">
        <v>43</v>
      </c>
      <c r="D5" s="2" t="s">
        <v>44</v>
      </c>
      <c r="E5" s="2" t="s">
        <v>37</v>
      </c>
      <c r="F5" s="3">
        <v>1095000</v>
      </c>
      <c r="G5" s="2" t="s">
        <v>27</v>
      </c>
      <c r="H5" s="2" t="s">
        <v>28</v>
      </c>
      <c r="I5" s="2" t="s">
        <v>45</v>
      </c>
      <c r="J5" s="2" t="s">
        <v>46</v>
      </c>
      <c r="K5" s="2" t="s">
        <v>29</v>
      </c>
      <c r="L5" s="2" t="s">
        <v>47</v>
      </c>
    </row>
    <row r="6" spans="1:12" x14ac:dyDescent="0.3">
      <c r="A6" s="2" t="s">
        <v>48</v>
      </c>
      <c r="B6" s="2" t="s">
        <v>49</v>
      </c>
      <c r="C6" s="2" t="s">
        <v>50</v>
      </c>
      <c r="D6" s="2" t="s">
        <v>51</v>
      </c>
      <c r="E6" s="2" t="s">
        <v>52</v>
      </c>
      <c r="F6" s="3">
        <v>210000</v>
      </c>
      <c r="G6" s="2" t="s">
        <v>53</v>
      </c>
      <c r="H6" s="2" t="s">
        <v>28</v>
      </c>
      <c r="I6" s="2" t="s">
        <v>38</v>
      </c>
      <c r="J6" s="2" t="s">
        <v>19</v>
      </c>
      <c r="K6" s="2" t="s">
        <v>54</v>
      </c>
      <c r="L6" s="2" t="s">
        <v>55</v>
      </c>
    </row>
    <row r="7" spans="1:12" x14ac:dyDescent="0.3">
      <c r="A7" s="2" t="s">
        <v>56</v>
      </c>
      <c r="B7" s="2" t="s">
        <v>57</v>
      </c>
      <c r="C7" s="2" t="s">
        <v>58</v>
      </c>
      <c r="D7" s="2" t="s">
        <v>44</v>
      </c>
      <c r="E7" s="2" t="s">
        <v>16</v>
      </c>
      <c r="F7" s="3">
        <v>570000</v>
      </c>
      <c r="G7" s="2" t="s">
        <v>27</v>
      </c>
      <c r="H7" s="2" t="s">
        <v>59</v>
      </c>
      <c r="I7" s="2" t="s">
        <v>46</v>
      </c>
      <c r="J7" s="2" t="s">
        <v>19</v>
      </c>
      <c r="K7" s="2" t="s">
        <v>38</v>
      </c>
      <c r="L7" s="2" t="s">
        <v>60</v>
      </c>
    </row>
    <row r="8" spans="1:12" x14ac:dyDescent="0.3">
      <c r="A8" s="2" t="s">
        <v>61</v>
      </c>
      <c r="B8" s="2" t="s">
        <v>62</v>
      </c>
      <c r="C8" s="2" t="s">
        <v>63</v>
      </c>
      <c r="D8" s="2" t="s">
        <v>64</v>
      </c>
      <c r="E8" s="2" t="s">
        <v>16</v>
      </c>
      <c r="F8" s="3">
        <v>720000</v>
      </c>
      <c r="G8" s="2" t="s">
        <v>27</v>
      </c>
      <c r="H8" s="2" t="s">
        <v>59</v>
      </c>
      <c r="I8" s="2" t="s">
        <v>30</v>
      </c>
      <c r="J8" s="2" t="s">
        <v>19</v>
      </c>
      <c r="K8" s="2" t="s">
        <v>20</v>
      </c>
      <c r="L8" s="2" t="s">
        <v>65</v>
      </c>
    </row>
    <row r="9" spans="1:12" x14ac:dyDescent="0.3">
      <c r="A9" s="2" t="s">
        <v>66</v>
      </c>
      <c r="B9" s="2" t="s">
        <v>24</v>
      </c>
      <c r="C9" s="2" t="s">
        <v>67</v>
      </c>
      <c r="D9" s="2" t="s">
        <v>15</v>
      </c>
      <c r="E9" s="2" t="s">
        <v>16</v>
      </c>
      <c r="F9" s="3">
        <v>755000</v>
      </c>
      <c r="G9" s="2" t="s">
        <v>27</v>
      </c>
      <c r="H9" s="2" t="s">
        <v>28</v>
      </c>
      <c r="I9" s="2" t="s">
        <v>68</v>
      </c>
      <c r="J9" s="2" t="s">
        <v>46</v>
      </c>
      <c r="K9" s="2" t="s">
        <v>19</v>
      </c>
      <c r="L9" s="2" t="s">
        <v>69</v>
      </c>
    </row>
    <row r="10" spans="1:12" x14ac:dyDescent="0.3">
      <c r="A10" s="2" t="s">
        <v>70</v>
      </c>
      <c r="B10" s="2" t="s">
        <v>57</v>
      </c>
      <c r="C10" s="2" t="s">
        <v>35</v>
      </c>
      <c r="D10" s="2" t="s">
        <v>71</v>
      </c>
      <c r="E10" s="2" t="s">
        <v>37</v>
      </c>
      <c r="F10" s="3">
        <v>1845000</v>
      </c>
      <c r="G10" s="2" t="s">
        <v>17</v>
      </c>
      <c r="H10" s="2" t="s">
        <v>28</v>
      </c>
      <c r="I10" s="2" t="s">
        <v>39</v>
      </c>
      <c r="J10" s="2" t="s">
        <v>72</v>
      </c>
      <c r="K10" s="2" t="s">
        <v>54</v>
      </c>
      <c r="L10" s="2" t="s">
        <v>73</v>
      </c>
    </row>
    <row r="11" spans="1:12" x14ac:dyDescent="0.3">
      <c r="A11" s="2" t="s">
        <v>74</v>
      </c>
      <c r="B11" s="2" t="s">
        <v>75</v>
      </c>
      <c r="C11" s="2" t="s">
        <v>43</v>
      </c>
      <c r="D11" s="2" t="s">
        <v>76</v>
      </c>
      <c r="E11" s="2" t="s">
        <v>77</v>
      </c>
      <c r="F11" s="3">
        <v>2935000</v>
      </c>
      <c r="G11" s="2" t="s">
        <v>27</v>
      </c>
      <c r="H11" s="2" t="s">
        <v>59</v>
      </c>
      <c r="I11" s="2" t="s">
        <v>54</v>
      </c>
      <c r="J11" s="2" t="s">
        <v>31</v>
      </c>
      <c r="K11" s="2" t="s">
        <v>72</v>
      </c>
      <c r="L11" s="2" t="s">
        <v>78</v>
      </c>
    </row>
    <row r="12" spans="1:12" x14ac:dyDescent="0.3">
      <c r="A12" s="2" t="s">
        <v>79</v>
      </c>
      <c r="B12" s="2" t="s">
        <v>62</v>
      </c>
      <c r="C12" s="2" t="s">
        <v>80</v>
      </c>
      <c r="D12" s="2" t="s">
        <v>81</v>
      </c>
      <c r="E12" s="2" t="s">
        <v>77</v>
      </c>
      <c r="F12" s="3">
        <v>2105000</v>
      </c>
      <c r="G12" s="2" t="s">
        <v>27</v>
      </c>
      <c r="H12" s="2" t="s">
        <v>28</v>
      </c>
      <c r="I12" s="2" t="s">
        <v>72</v>
      </c>
      <c r="J12" s="2" t="s">
        <v>30</v>
      </c>
      <c r="K12" s="2" t="s">
        <v>38</v>
      </c>
      <c r="L12" s="2" t="s">
        <v>82</v>
      </c>
    </row>
    <row r="13" spans="1:12" x14ac:dyDescent="0.3">
      <c r="A13" s="2" t="s">
        <v>83</v>
      </c>
      <c r="B13" s="2" t="s">
        <v>13</v>
      </c>
      <c r="C13" s="2" t="s">
        <v>84</v>
      </c>
      <c r="D13" s="2" t="s">
        <v>76</v>
      </c>
      <c r="E13" s="2" t="s">
        <v>37</v>
      </c>
      <c r="F13" s="3">
        <v>1120000</v>
      </c>
      <c r="G13" s="2" t="s">
        <v>17</v>
      </c>
      <c r="H13" s="2" t="s">
        <v>59</v>
      </c>
      <c r="I13" s="2" t="s">
        <v>21</v>
      </c>
      <c r="J13" s="2" t="s">
        <v>72</v>
      </c>
      <c r="K13" s="2" t="s">
        <v>46</v>
      </c>
      <c r="L13" s="2" t="s">
        <v>85</v>
      </c>
    </row>
    <row r="14" spans="1:12" x14ac:dyDescent="0.3">
      <c r="A14" s="2" t="s">
        <v>86</v>
      </c>
      <c r="B14" s="2" t="s">
        <v>57</v>
      </c>
      <c r="C14" s="2" t="s">
        <v>87</v>
      </c>
      <c r="D14" s="2" t="s">
        <v>36</v>
      </c>
      <c r="E14" s="2" t="s">
        <v>52</v>
      </c>
      <c r="F14" s="3">
        <v>750000</v>
      </c>
      <c r="G14" s="2" t="s">
        <v>17</v>
      </c>
      <c r="H14" s="2" t="s">
        <v>18</v>
      </c>
      <c r="I14" s="2" t="s">
        <v>30</v>
      </c>
      <c r="J14" s="2" t="s">
        <v>72</v>
      </c>
      <c r="K14" s="2" t="s">
        <v>31</v>
      </c>
      <c r="L14" s="2" t="s">
        <v>88</v>
      </c>
    </row>
    <row r="15" spans="1:12" x14ac:dyDescent="0.3">
      <c r="A15" s="2" t="s">
        <v>89</v>
      </c>
      <c r="B15" s="2" t="s">
        <v>57</v>
      </c>
      <c r="C15" s="2" t="s">
        <v>90</v>
      </c>
      <c r="D15" s="2" t="s">
        <v>71</v>
      </c>
      <c r="E15" s="2" t="s">
        <v>52</v>
      </c>
      <c r="F15" s="3">
        <v>515000</v>
      </c>
      <c r="G15" s="2" t="s">
        <v>27</v>
      </c>
      <c r="H15" s="2" t="s">
        <v>28</v>
      </c>
      <c r="I15" s="2" t="s">
        <v>20</v>
      </c>
      <c r="J15" s="2" t="s">
        <v>72</v>
      </c>
      <c r="K15" s="2" t="s">
        <v>68</v>
      </c>
      <c r="L15" s="2" t="s">
        <v>91</v>
      </c>
    </row>
    <row r="16" spans="1:12" x14ac:dyDescent="0.3">
      <c r="A16" s="2" t="s">
        <v>92</v>
      </c>
      <c r="B16" s="2" t="s">
        <v>13</v>
      </c>
      <c r="C16" s="2" t="s">
        <v>93</v>
      </c>
      <c r="D16" s="2" t="s">
        <v>71</v>
      </c>
      <c r="E16" s="2" t="s">
        <v>37</v>
      </c>
      <c r="F16" s="3">
        <v>1400000</v>
      </c>
      <c r="G16" s="2" t="s">
        <v>17</v>
      </c>
      <c r="H16" s="2" t="s">
        <v>18</v>
      </c>
      <c r="I16" s="2" t="s">
        <v>46</v>
      </c>
      <c r="J16" s="2" t="s">
        <v>54</v>
      </c>
      <c r="K16" s="2" t="s">
        <v>29</v>
      </c>
      <c r="L16" s="2" t="s">
        <v>22</v>
      </c>
    </row>
    <row r="17" spans="1:12" x14ac:dyDescent="0.3">
      <c r="A17" s="2" t="s">
        <v>94</v>
      </c>
      <c r="B17" s="2" t="s">
        <v>49</v>
      </c>
      <c r="C17" s="2" t="s">
        <v>95</v>
      </c>
      <c r="D17" s="2" t="s">
        <v>96</v>
      </c>
      <c r="E17" s="2" t="s">
        <v>77</v>
      </c>
      <c r="F17" s="3">
        <v>3505000</v>
      </c>
      <c r="G17" s="2" t="s">
        <v>17</v>
      </c>
      <c r="H17" s="2" t="s">
        <v>18</v>
      </c>
      <c r="I17" s="2" t="s">
        <v>68</v>
      </c>
      <c r="J17" s="2" t="s">
        <v>31</v>
      </c>
      <c r="K17" s="2" t="s">
        <v>19</v>
      </c>
      <c r="L17" s="2" t="s">
        <v>97</v>
      </c>
    </row>
    <row r="18" spans="1:12" x14ac:dyDescent="0.3">
      <c r="A18" s="2" t="s">
        <v>98</v>
      </c>
      <c r="B18" s="2" t="s">
        <v>49</v>
      </c>
      <c r="C18" s="2" t="s">
        <v>99</v>
      </c>
      <c r="D18" s="2" t="s">
        <v>64</v>
      </c>
      <c r="E18" s="2" t="s">
        <v>37</v>
      </c>
      <c r="F18" s="3">
        <v>1445000</v>
      </c>
      <c r="G18" s="2" t="s">
        <v>27</v>
      </c>
      <c r="H18" s="2" t="s">
        <v>28</v>
      </c>
      <c r="I18" s="2" t="s">
        <v>30</v>
      </c>
      <c r="J18" s="2" t="s">
        <v>72</v>
      </c>
      <c r="K18" s="2" t="s">
        <v>31</v>
      </c>
      <c r="L18" s="2" t="s">
        <v>100</v>
      </c>
    </row>
    <row r="19" spans="1:12" x14ac:dyDescent="0.3">
      <c r="A19" s="2" t="s">
        <v>101</v>
      </c>
      <c r="B19" s="2" t="s">
        <v>34</v>
      </c>
      <c r="C19" s="2" t="s">
        <v>102</v>
      </c>
      <c r="D19" s="2" t="s">
        <v>36</v>
      </c>
      <c r="E19" s="2" t="s">
        <v>52</v>
      </c>
      <c r="F19" s="3">
        <v>435000</v>
      </c>
      <c r="G19" s="2" t="s">
        <v>27</v>
      </c>
      <c r="H19" s="2" t="s">
        <v>28</v>
      </c>
      <c r="I19" s="2" t="s">
        <v>103</v>
      </c>
      <c r="J19" s="2" t="s">
        <v>29</v>
      </c>
      <c r="K19" s="2" t="s">
        <v>54</v>
      </c>
      <c r="L19" s="2" t="s">
        <v>104</v>
      </c>
    </row>
    <row r="20" spans="1:12" x14ac:dyDescent="0.3">
      <c r="A20" s="2" t="s">
        <v>105</v>
      </c>
      <c r="B20" s="2" t="s">
        <v>24</v>
      </c>
      <c r="C20" s="2" t="s">
        <v>106</v>
      </c>
      <c r="D20" s="2" t="s">
        <v>96</v>
      </c>
      <c r="E20" s="2" t="s">
        <v>37</v>
      </c>
      <c r="F20" s="3">
        <v>1415000</v>
      </c>
      <c r="G20" s="2" t="s">
        <v>27</v>
      </c>
      <c r="H20" s="2" t="s">
        <v>18</v>
      </c>
      <c r="I20" s="2" t="s">
        <v>19</v>
      </c>
      <c r="J20" s="2" t="s">
        <v>20</v>
      </c>
      <c r="K20" s="2" t="s">
        <v>21</v>
      </c>
      <c r="L20" s="2" t="s">
        <v>107</v>
      </c>
    </row>
    <row r="21" spans="1:12" x14ac:dyDescent="0.3">
      <c r="A21" s="2" t="s">
        <v>108</v>
      </c>
      <c r="B21" s="2" t="s">
        <v>57</v>
      </c>
      <c r="C21" s="2" t="s">
        <v>109</v>
      </c>
      <c r="D21" s="2" t="s">
        <v>64</v>
      </c>
      <c r="E21" s="2" t="s">
        <v>37</v>
      </c>
      <c r="F21" s="3">
        <v>1490000</v>
      </c>
      <c r="G21" s="2" t="s">
        <v>27</v>
      </c>
      <c r="H21" s="2" t="s">
        <v>18</v>
      </c>
      <c r="I21" s="2" t="s">
        <v>72</v>
      </c>
      <c r="J21" s="2" t="s">
        <v>46</v>
      </c>
      <c r="K21" s="2" t="s">
        <v>54</v>
      </c>
      <c r="L21" s="2" t="s">
        <v>110</v>
      </c>
    </row>
    <row r="22" spans="1:12" x14ac:dyDescent="0.3">
      <c r="A22" s="2" t="s">
        <v>111</v>
      </c>
      <c r="B22" s="2" t="s">
        <v>75</v>
      </c>
      <c r="C22" s="2" t="s">
        <v>112</v>
      </c>
      <c r="D22" s="2" t="s">
        <v>51</v>
      </c>
      <c r="E22" s="2" t="s">
        <v>16</v>
      </c>
      <c r="F22" s="3">
        <v>1095000</v>
      </c>
      <c r="G22" s="2" t="s">
        <v>27</v>
      </c>
      <c r="H22" s="2" t="s">
        <v>18</v>
      </c>
      <c r="I22" s="2" t="s">
        <v>21</v>
      </c>
      <c r="J22" s="2" t="s">
        <v>72</v>
      </c>
      <c r="K22" s="2" t="s">
        <v>19</v>
      </c>
      <c r="L22" s="2" t="s">
        <v>113</v>
      </c>
    </row>
    <row r="23" spans="1:12" x14ac:dyDescent="0.3">
      <c r="A23" s="2" t="s">
        <v>114</v>
      </c>
      <c r="B23" s="2" t="s">
        <v>49</v>
      </c>
      <c r="C23" s="2" t="s">
        <v>115</v>
      </c>
      <c r="D23" s="2" t="s">
        <v>76</v>
      </c>
      <c r="E23" s="2" t="s">
        <v>116</v>
      </c>
      <c r="F23" s="3">
        <v>1725000</v>
      </c>
      <c r="G23" s="2" t="s">
        <v>27</v>
      </c>
      <c r="H23" s="2" t="s">
        <v>18</v>
      </c>
      <c r="I23" s="2" t="s">
        <v>31</v>
      </c>
      <c r="J23" s="2" t="s">
        <v>19</v>
      </c>
      <c r="K23" s="2" t="s">
        <v>21</v>
      </c>
      <c r="L23" s="2" t="s">
        <v>117</v>
      </c>
    </row>
    <row r="24" spans="1:12" x14ac:dyDescent="0.3">
      <c r="A24" s="2" t="s">
        <v>118</v>
      </c>
      <c r="B24" s="2" t="s">
        <v>24</v>
      </c>
      <c r="C24" s="2" t="s">
        <v>119</v>
      </c>
      <c r="D24" s="2" t="s">
        <v>81</v>
      </c>
      <c r="E24" s="2" t="s">
        <v>116</v>
      </c>
      <c r="F24" s="3">
        <v>1005000</v>
      </c>
      <c r="G24" s="2" t="s">
        <v>27</v>
      </c>
      <c r="H24" s="2" t="s">
        <v>28</v>
      </c>
      <c r="I24" s="2" t="s">
        <v>19</v>
      </c>
      <c r="J24" s="2" t="s">
        <v>30</v>
      </c>
      <c r="K24" s="2" t="s">
        <v>39</v>
      </c>
      <c r="L24" s="2" t="s">
        <v>117</v>
      </c>
    </row>
    <row r="25" spans="1:12" x14ac:dyDescent="0.3">
      <c r="A25" s="2" t="s">
        <v>120</v>
      </c>
      <c r="B25" s="2" t="s">
        <v>57</v>
      </c>
      <c r="C25" s="2" t="s">
        <v>93</v>
      </c>
      <c r="D25" s="2" t="s">
        <v>64</v>
      </c>
      <c r="E25" s="2" t="s">
        <v>37</v>
      </c>
      <c r="F25" s="3">
        <v>1065000</v>
      </c>
      <c r="G25" s="2" t="s">
        <v>27</v>
      </c>
      <c r="H25" s="2" t="s">
        <v>59</v>
      </c>
      <c r="I25" s="2" t="s">
        <v>45</v>
      </c>
      <c r="J25" s="2" t="s">
        <v>54</v>
      </c>
      <c r="K25" s="2" t="s">
        <v>31</v>
      </c>
      <c r="L25" s="2" t="s">
        <v>121</v>
      </c>
    </row>
    <row r="26" spans="1:12" x14ac:dyDescent="0.3">
      <c r="A26" s="2" t="s">
        <v>122</v>
      </c>
      <c r="B26" s="2" t="s">
        <v>57</v>
      </c>
      <c r="C26" s="2" t="s">
        <v>123</v>
      </c>
      <c r="D26" s="2" t="s">
        <v>71</v>
      </c>
      <c r="E26" s="2" t="s">
        <v>16</v>
      </c>
      <c r="F26" s="3">
        <v>730000</v>
      </c>
      <c r="G26" s="2" t="s">
        <v>27</v>
      </c>
      <c r="H26" s="2" t="s">
        <v>28</v>
      </c>
      <c r="I26" s="2" t="s">
        <v>45</v>
      </c>
      <c r="J26" s="2" t="s">
        <v>19</v>
      </c>
      <c r="K26" s="2" t="s">
        <v>54</v>
      </c>
      <c r="L26" s="2" t="s">
        <v>91</v>
      </c>
    </row>
    <row r="27" spans="1:12" x14ac:dyDescent="0.3">
      <c r="A27" s="2" t="s">
        <v>124</v>
      </c>
      <c r="B27" s="2" t="s">
        <v>24</v>
      </c>
      <c r="C27" s="2" t="s">
        <v>125</v>
      </c>
      <c r="D27" s="2" t="s">
        <v>81</v>
      </c>
      <c r="E27" s="2" t="s">
        <v>77</v>
      </c>
      <c r="F27" s="3">
        <v>3415000</v>
      </c>
      <c r="G27" s="2" t="s">
        <v>27</v>
      </c>
      <c r="H27" s="2" t="s">
        <v>18</v>
      </c>
      <c r="I27" s="2" t="s">
        <v>31</v>
      </c>
      <c r="J27" s="2" t="s">
        <v>103</v>
      </c>
      <c r="K27" s="2" t="s">
        <v>39</v>
      </c>
      <c r="L27" s="2" t="s">
        <v>126</v>
      </c>
    </row>
    <row r="28" spans="1:12" x14ac:dyDescent="0.3">
      <c r="A28" s="2" t="s">
        <v>127</v>
      </c>
      <c r="B28" s="2" t="s">
        <v>42</v>
      </c>
      <c r="C28" s="2" t="s">
        <v>93</v>
      </c>
      <c r="D28" s="2" t="s">
        <v>15</v>
      </c>
      <c r="E28" s="2" t="s">
        <v>37</v>
      </c>
      <c r="F28" s="3">
        <v>1925000</v>
      </c>
      <c r="G28" s="2" t="s">
        <v>27</v>
      </c>
      <c r="H28" s="2" t="s">
        <v>18</v>
      </c>
      <c r="I28" s="2" t="s">
        <v>21</v>
      </c>
      <c r="J28" s="2" t="s">
        <v>46</v>
      </c>
      <c r="K28" s="2" t="s">
        <v>20</v>
      </c>
      <c r="L28" s="2" t="s">
        <v>128</v>
      </c>
    </row>
    <row r="29" spans="1:12" x14ac:dyDescent="0.3">
      <c r="A29" s="2" t="s">
        <v>129</v>
      </c>
      <c r="B29" s="2" t="s">
        <v>49</v>
      </c>
      <c r="C29" s="2" t="s">
        <v>130</v>
      </c>
      <c r="D29" s="2" t="s">
        <v>81</v>
      </c>
      <c r="E29" s="2" t="s">
        <v>77</v>
      </c>
      <c r="F29" s="3">
        <v>2980000</v>
      </c>
      <c r="G29" s="2" t="s">
        <v>27</v>
      </c>
      <c r="H29" s="2" t="s">
        <v>59</v>
      </c>
      <c r="I29" s="2" t="s">
        <v>31</v>
      </c>
      <c r="J29" s="2" t="s">
        <v>131</v>
      </c>
      <c r="K29" s="2" t="s">
        <v>103</v>
      </c>
      <c r="L29" s="2" t="s">
        <v>132</v>
      </c>
    </row>
    <row r="30" spans="1:12" x14ac:dyDescent="0.3">
      <c r="A30" s="2" t="s">
        <v>133</v>
      </c>
      <c r="B30" s="2" t="s">
        <v>34</v>
      </c>
      <c r="C30" s="2" t="s">
        <v>134</v>
      </c>
      <c r="D30" s="2" t="s">
        <v>26</v>
      </c>
      <c r="E30" s="2" t="s">
        <v>77</v>
      </c>
      <c r="F30" s="3">
        <v>2790000</v>
      </c>
      <c r="G30" s="2" t="s">
        <v>27</v>
      </c>
      <c r="H30" s="2" t="s">
        <v>28</v>
      </c>
      <c r="I30" s="2" t="s">
        <v>20</v>
      </c>
      <c r="J30" s="2" t="s">
        <v>19</v>
      </c>
      <c r="K30" s="2" t="s">
        <v>103</v>
      </c>
      <c r="L30" s="2" t="s">
        <v>135</v>
      </c>
    </row>
    <row r="31" spans="1:12" x14ac:dyDescent="0.3">
      <c r="A31" s="2" t="s">
        <v>136</v>
      </c>
      <c r="B31" s="2" t="s">
        <v>42</v>
      </c>
      <c r="C31" s="2" t="s">
        <v>87</v>
      </c>
      <c r="D31" s="2" t="s">
        <v>81</v>
      </c>
      <c r="E31" s="2" t="s">
        <v>116</v>
      </c>
      <c r="F31" s="3">
        <v>1485000</v>
      </c>
      <c r="G31" s="2" t="s">
        <v>17</v>
      </c>
      <c r="H31" s="2" t="s">
        <v>28</v>
      </c>
      <c r="I31" s="2" t="s">
        <v>30</v>
      </c>
      <c r="J31" s="2" t="s">
        <v>21</v>
      </c>
      <c r="K31" s="2" t="s">
        <v>19</v>
      </c>
      <c r="L31" s="2" t="s">
        <v>137</v>
      </c>
    </row>
    <row r="32" spans="1:12" x14ac:dyDescent="0.3">
      <c r="A32" s="2" t="s">
        <v>138</v>
      </c>
      <c r="B32" s="2" t="s">
        <v>62</v>
      </c>
      <c r="C32" s="2" t="s">
        <v>139</v>
      </c>
      <c r="D32" s="2" t="s">
        <v>64</v>
      </c>
      <c r="E32" s="2" t="s">
        <v>116</v>
      </c>
      <c r="F32" s="3">
        <v>1690000</v>
      </c>
      <c r="G32" s="2" t="s">
        <v>17</v>
      </c>
      <c r="H32" s="2" t="s">
        <v>18</v>
      </c>
      <c r="I32" s="2" t="s">
        <v>39</v>
      </c>
      <c r="J32" s="2" t="s">
        <v>46</v>
      </c>
      <c r="K32" s="2" t="s">
        <v>30</v>
      </c>
      <c r="L32" s="2" t="s">
        <v>140</v>
      </c>
    </row>
    <row r="33" spans="1:12" x14ac:dyDescent="0.3">
      <c r="A33" s="2" t="s">
        <v>141</v>
      </c>
      <c r="B33" s="2" t="s">
        <v>75</v>
      </c>
      <c r="C33" s="2" t="s">
        <v>87</v>
      </c>
      <c r="D33" s="2" t="s">
        <v>51</v>
      </c>
      <c r="E33" s="2" t="s">
        <v>52</v>
      </c>
      <c r="F33" s="3">
        <v>460000</v>
      </c>
      <c r="G33" s="2" t="s">
        <v>27</v>
      </c>
      <c r="H33" s="2" t="s">
        <v>18</v>
      </c>
      <c r="I33" s="2" t="s">
        <v>72</v>
      </c>
      <c r="J33" s="2" t="s">
        <v>19</v>
      </c>
      <c r="K33" s="2" t="s">
        <v>31</v>
      </c>
      <c r="L33" s="2" t="s">
        <v>142</v>
      </c>
    </row>
    <row r="34" spans="1:12" x14ac:dyDescent="0.3">
      <c r="A34" s="2" t="s">
        <v>143</v>
      </c>
      <c r="B34" s="2" t="s">
        <v>75</v>
      </c>
      <c r="C34" s="2" t="s">
        <v>144</v>
      </c>
      <c r="D34" s="2" t="s">
        <v>81</v>
      </c>
      <c r="E34" s="2" t="s">
        <v>52</v>
      </c>
      <c r="F34" s="3">
        <v>415000</v>
      </c>
      <c r="G34" s="2" t="s">
        <v>53</v>
      </c>
      <c r="H34" s="2" t="s">
        <v>18</v>
      </c>
      <c r="I34" s="2" t="s">
        <v>29</v>
      </c>
      <c r="J34" s="2" t="s">
        <v>72</v>
      </c>
      <c r="K34" s="2" t="s">
        <v>19</v>
      </c>
      <c r="L34" s="2" t="s">
        <v>145</v>
      </c>
    </row>
    <row r="35" spans="1:12" x14ac:dyDescent="0.3">
      <c r="A35" s="2" t="s">
        <v>146</v>
      </c>
      <c r="B35" s="2" t="s">
        <v>34</v>
      </c>
      <c r="C35" s="2" t="s">
        <v>95</v>
      </c>
      <c r="D35" s="2" t="s">
        <v>15</v>
      </c>
      <c r="E35" s="2" t="s">
        <v>37</v>
      </c>
      <c r="F35" s="3">
        <v>1685000</v>
      </c>
      <c r="G35" s="2" t="s">
        <v>27</v>
      </c>
      <c r="H35" s="2" t="s">
        <v>59</v>
      </c>
      <c r="I35" s="2" t="s">
        <v>31</v>
      </c>
      <c r="J35" s="2" t="s">
        <v>39</v>
      </c>
      <c r="K35" s="2" t="s">
        <v>103</v>
      </c>
      <c r="L35" s="2" t="s">
        <v>147</v>
      </c>
    </row>
    <row r="36" spans="1:12" x14ac:dyDescent="0.3">
      <c r="A36" s="2" t="s">
        <v>148</v>
      </c>
      <c r="B36" s="2" t="s">
        <v>149</v>
      </c>
      <c r="C36" s="2" t="s">
        <v>80</v>
      </c>
      <c r="D36" s="2" t="s">
        <v>76</v>
      </c>
      <c r="E36" s="2" t="s">
        <v>116</v>
      </c>
      <c r="F36" s="3">
        <v>1510000</v>
      </c>
      <c r="G36" s="2" t="s">
        <v>17</v>
      </c>
      <c r="H36" s="2" t="s">
        <v>28</v>
      </c>
      <c r="I36" s="2" t="s">
        <v>46</v>
      </c>
      <c r="J36" s="2" t="s">
        <v>45</v>
      </c>
      <c r="K36" s="2" t="s">
        <v>103</v>
      </c>
      <c r="L36" s="2" t="s">
        <v>150</v>
      </c>
    </row>
    <row r="37" spans="1:12" x14ac:dyDescent="0.3">
      <c r="A37" s="2" t="s">
        <v>151</v>
      </c>
      <c r="B37" s="2" t="s">
        <v>24</v>
      </c>
      <c r="C37" s="2" t="s">
        <v>152</v>
      </c>
      <c r="D37" s="2" t="s">
        <v>15</v>
      </c>
      <c r="E37" s="2" t="s">
        <v>37</v>
      </c>
      <c r="F37" s="3">
        <v>1990000</v>
      </c>
      <c r="G37" s="2" t="s">
        <v>27</v>
      </c>
      <c r="H37" s="2" t="s">
        <v>59</v>
      </c>
      <c r="I37" s="2" t="s">
        <v>103</v>
      </c>
      <c r="J37" s="2" t="s">
        <v>46</v>
      </c>
      <c r="K37" s="2" t="s">
        <v>19</v>
      </c>
      <c r="L37" s="2" t="s">
        <v>153</v>
      </c>
    </row>
    <row r="38" spans="1:12" x14ac:dyDescent="0.3">
      <c r="A38" s="2" t="s">
        <v>154</v>
      </c>
      <c r="B38" s="2" t="s">
        <v>42</v>
      </c>
      <c r="C38" s="2" t="s">
        <v>155</v>
      </c>
      <c r="D38" s="2" t="s">
        <v>76</v>
      </c>
      <c r="E38" s="2" t="s">
        <v>52</v>
      </c>
      <c r="F38" s="3">
        <v>390000</v>
      </c>
      <c r="G38" s="2" t="s">
        <v>27</v>
      </c>
      <c r="H38" s="2" t="s">
        <v>18</v>
      </c>
      <c r="I38" s="2" t="s">
        <v>131</v>
      </c>
      <c r="J38" s="2" t="s">
        <v>21</v>
      </c>
      <c r="K38" s="2" t="s">
        <v>103</v>
      </c>
      <c r="L38" s="2" t="s">
        <v>156</v>
      </c>
    </row>
    <row r="39" spans="1:12" x14ac:dyDescent="0.3">
      <c r="A39" s="2" t="s">
        <v>157</v>
      </c>
      <c r="B39" s="2" t="s">
        <v>42</v>
      </c>
      <c r="C39" s="2" t="s">
        <v>35</v>
      </c>
      <c r="D39" s="2" t="s">
        <v>51</v>
      </c>
      <c r="E39" s="2" t="s">
        <v>16</v>
      </c>
      <c r="F39" s="3">
        <v>690000</v>
      </c>
      <c r="G39" s="2" t="s">
        <v>27</v>
      </c>
      <c r="H39" s="2" t="s">
        <v>59</v>
      </c>
      <c r="I39" s="2" t="s">
        <v>30</v>
      </c>
      <c r="J39" s="2" t="s">
        <v>131</v>
      </c>
      <c r="K39" s="2" t="s">
        <v>68</v>
      </c>
      <c r="L39" s="2" t="s">
        <v>158</v>
      </c>
    </row>
    <row r="40" spans="1:12" x14ac:dyDescent="0.3">
      <c r="A40" s="2" t="s">
        <v>159</v>
      </c>
      <c r="B40" s="2" t="s">
        <v>75</v>
      </c>
      <c r="C40" s="2" t="s">
        <v>160</v>
      </c>
      <c r="D40" s="2" t="s">
        <v>81</v>
      </c>
      <c r="E40" s="2" t="s">
        <v>37</v>
      </c>
      <c r="F40" s="3">
        <v>1585000</v>
      </c>
      <c r="G40" s="2" t="s">
        <v>27</v>
      </c>
      <c r="H40" s="2" t="s">
        <v>28</v>
      </c>
      <c r="I40" s="2" t="s">
        <v>19</v>
      </c>
      <c r="J40" s="2" t="s">
        <v>45</v>
      </c>
      <c r="K40" s="2" t="s">
        <v>31</v>
      </c>
      <c r="L40" s="2" t="s">
        <v>161</v>
      </c>
    </row>
    <row r="41" spans="1:12" x14ac:dyDescent="0.3">
      <c r="A41" s="2" t="s">
        <v>162</v>
      </c>
      <c r="B41" s="2" t="s">
        <v>75</v>
      </c>
      <c r="C41" s="2" t="s">
        <v>163</v>
      </c>
      <c r="D41" s="2" t="s">
        <v>81</v>
      </c>
      <c r="E41" s="2" t="s">
        <v>37</v>
      </c>
      <c r="F41" s="3">
        <v>1360000</v>
      </c>
      <c r="G41" s="2" t="s">
        <v>27</v>
      </c>
      <c r="H41" s="2" t="s">
        <v>18</v>
      </c>
      <c r="I41" s="2" t="s">
        <v>31</v>
      </c>
      <c r="J41" s="2" t="s">
        <v>46</v>
      </c>
      <c r="K41" s="2" t="s">
        <v>39</v>
      </c>
      <c r="L41" s="2" t="s">
        <v>164</v>
      </c>
    </row>
    <row r="42" spans="1:12" x14ac:dyDescent="0.3">
      <c r="A42" s="2" t="s">
        <v>165</v>
      </c>
      <c r="B42" s="2" t="s">
        <v>62</v>
      </c>
      <c r="C42" s="2" t="s">
        <v>119</v>
      </c>
      <c r="D42" s="2" t="s">
        <v>51</v>
      </c>
      <c r="E42" s="2" t="s">
        <v>52</v>
      </c>
      <c r="F42" s="3">
        <v>430000</v>
      </c>
      <c r="G42" s="2" t="s">
        <v>27</v>
      </c>
      <c r="H42" s="2" t="s">
        <v>28</v>
      </c>
      <c r="I42" s="2" t="s">
        <v>103</v>
      </c>
      <c r="J42" s="2" t="s">
        <v>29</v>
      </c>
      <c r="K42" s="2" t="s">
        <v>20</v>
      </c>
      <c r="L42" s="2" t="s">
        <v>166</v>
      </c>
    </row>
    <row r="43" spans="1:12" x14ac:dyDescent="0.3">
      <c r="A43" s="2" t="s">
        <v>167</v>
      </c>
      <c r="B43" s="2" t="s">
        <v>34</v>
      </c>
      <c r="C43" s="2" t="s">
        <v>130</v>
      </c>
      <c r="D43" s="2" t="s">
        <v>76</v>
      </c>
      <c r="E43" s="2" t="s">
        <v>37</v>
      </c>
      <c r="F43" s="3">
        <v>2175000</v>
      </c>
      <c r="G43" s="2" t="s">
        <v>27</v>
      </c>
      <c r="H43" s="2" t="s">
        <v>18</v>
      </c>
      <c r="I43" s="2" t="s">
        <v>46</v>
      </c>
      <c r="J43" s="2" t="s">
        <v>54</v>
      </c>
      <c r="K43" s="2" t="s">
        <v>38</v>
      </c>
      <c r="L43" s="2" t="s">
        <v>168</v>
      </c>
    </row>
    <row r="44" spans="1:12" x14ac:dyDescent="0.3">
      <c r="A44" s="2" t="s">
        <v>169</v>
      </c>
      <c r="B44" s="2" t="s">
        <v>13</v>
      </c>
      <c r="C44" s="2" t="s">
        <v>130</v>
      </c>
      <c r="D44" s="2" t="s">
        <v>64</v>
      </c>
      <c r="E44" s="2" t="s">
        <v>52</v>
      </c>
      <c r="F44" s="3">
        <v>760000</v>
      </c>
      <c r="G44" s="2" t="s">
        <v>27</v>
      </c>
      <c r="H44" s="2" t="s">
        <v>18</v>
      </c>
      <c r="I44" s="2" t="s">
        <v>38</v>
      </c>
      <c r="J44" s="2" t="s">
        <v>21</v>
      </c>
      <c r="K44" s="2" t="s">
        <v>54</v>
      </c>
      <c r="L44" s="2" t="s">
        <v>170</v>
      </c>
    </row>
    <row r="45" spans="1:12" x14ac:dyDescent="0.3">
      <c r="A45" s="2" t="s">
        <v>171</v>
      </c>
      <c r="B45" s="2" t="s">
        <v>49</v>
      </c>
      <c r="C45" s="2" t="s">
        <v>172</v>
      </c>
      <c r="D45" s="2" t="s">
        <v>76</v>
      </c>
      <c r="E45" s="2" t="s">
        <v>52</v>
      </c>
      <c r="F45" s="3">
        <v>650000</v>
      </c>
      <c r="G45" s="2" t="s">
        <v>17</v>
      </c>
      <c r="H45" s="2" t="s">
        <v>28</v>
      </c>
      <c r="I45" s="2" t="s">
        <v>131</v>
      </c>
      <c r="J45" s="2" t="s">
        <v>54</v>
      </c>
      <c r="K45" s="2" t="s">
        <v>31</v>
      </c>
      <c r="L45" s="2" t="s">
        <v>173</v>
      </c>
    </row>
    <row r="46" spans="1:12" x14ac:dyDescent="0.3">
      <c r="A46" s="2" t="s">
        <v>174</v>
      </c>
      <c r="B46" s="2" t="s">
        <v>75</v>
      </c>
      <c r="C46" s="2" t="s">
        <v>175</v>
      </c>
      <c r="D46" s="2" t="s">
        <v>44</v>
      </c>
      <c r="E46" s="2" t="s">
        <v>77</v>
      </c>
      <c r="F46" s="3">
        <v>2660000</v>
      </c>
      <c r="G46" s="2" t="s">
        <v>17</v>
      </c>
      <c r="H46" s="2" t="s">
        <v>59</v>
      </c>
      <c r="I46" s="2" t="s">
        <v>31</v>
      </c>
      <c r="J46" s="2" t="s">
        <v>20</v>
      </c>
      <c r="K46" s="2" t="s">
        <v>29</v>
      </c>
      <c r="L46" s="2" t="s">
        <v>176</v>
      </c>
    </row>
    <row r="47" spans="1:12" x14ac:dyDescent="0.3">
      <c r="A47" s="2" t="s">
        <v>177</v>
      </c>
      <c r="B47" s="2" t="s">
        <v>178</v>
      </c>
      <c r="C47" s="2" t="s">
        <v>179</v>
      </c>
      <c r="D47" s="2" t="s">
        <v>96</v>
      </c>
      <c r="E47" s="2" t="s">
        <v>77</v>
      </c>
      <c r="F47" s="3">
        <v>3110000</v>
      </c>
      <c r="G47" s="2" t="s">
        <v>27</v>
      </c>
      <c r="H47" s="2" t="s">
        <v>28</v>
      </c>
      <c r="I47" s="2" t="s">
        <v>20</v>
      </c>
      <c r="J47" s="2" t="s">
        <v>46</v>
      </c>
      <c r="K47" s="2" t="s">
        <v>131</v>
      </c>
      <c r="L47" s="2" t="s">
        <v>166</v>
      </c>
    </row>
    <row r="48" spans="1:12" x14ac:dyDescent="0.3">
      <c r="A48" s="2" t="s">
        <v>180</v>
      </c>
      <c r="B48" s="2" t="s">
        <v>57</v>
      </c>
      <c r="C48" s="2" t="s">
        <v>181</v>
      </c>
      <c r="D48" s="2" t="s">
        <v>96</v>
      </c>
      <c r="E48" s="2" t="s">
        <v>37</v>
      </c>
      <c r="F48" s="3">
        <v>1405000</v>
      </c>
      <c r="G48" s="2" t="s">
        <v>27</v>
      </c>
      <c r="H48" s="2" t="s">
        <v>28</v>
      </c>
      <c r="I48" s="2" t="s">
        <v>103</v>
      </c>
      <c r="J48" s="2" t="s">
        <v>72</v>
      </c>
      <c r="K48" s="2" t="s">
        <v>21</v>
      </c>
      <c r="L48" s="2" t="s">
        <v>182</v>
      </c>
    </row>
    <row r="49" spans="1:12" x14ac:dyDescent="0.3">
      <c r="A49" s="2" t="s">
        <v>183</v>
      </c>
      <c r="B49" s="2" t="s">
        <v>13</v>
      </c>
      <c r="C49" s="2" t="s">
        <v>119</v>
      </c>
      <c r="D49" s="2" t="s">
        <v>81</v>
      </c>
      <c r="E49" s="2" t="s">
        <v>52</v>
      </c>
      <c r="F49" s="3">
        <v>650000</v>
      </c>
      <c r="G49" s="2" t="s">
        <v>27</v>
      </c>
      <c r="H49" s="2" t="s">
        <v>28</v>
      </c>
      <c r="I49" s="2" t="s">
        <v>29</v>
      </c>
      <c r="J49" s="2" t="s">
        <v>19</v>
      </c>
      <c r="K49" s="2" t="s">
        <v>54</v>
      </c>
      <c r="L49" s="2" t="s">
        <v>184</v>
      </c>
    </row>
    <row r="50" spans="1:12" x14ac:dyDescent="0.3">
      <c r="A50" s="2" t="s">
        <v>185</v>
      </c>
      <c r="B50" s="2" t="s">
        <v>24</v>
      </c>
      <c r="C50" s="2" t="s">
        <v>84</v>
      </c>
      <c r="D50" s="2" t="s">
        <v>36</v>
      </c>
      <c r="E50" s="2" t="s">
        <v>52</v>
      </c>
      <c r="F50" s="3">
        <v>660000</v>
      </c>
      <c r="G50" s="2" t="s">
        <v>27</v>
      </c>
      <c r="H50" s="2" t="s">
        <v>59</v>
      </c>
      <c r="I50" s="2" t="s">
        <v>20</v>
      </c>
      <c r="J50" s="2" t="s">
        <v>38</v>
      </c>
      <c r="K50" s="2" t="s">
        <v>46</v>
      </c>
      <c r="L50" s="2" t="s">
        <v>186</v>
      </c>
    </row>
    <row r="51" spans="1:12" x14ac:dyDescent="0.3">
      <c r="A51" s="2" t="s">
        <v>187</v>
      </c>
      <c r="B51" s="2" t="s">
        <v>62</v>
      </c>
      <c r="C51" s="2" t="s">
        <v>188</v>
      </c>
      <c r="D51" s="2" t="s">
        <v>15</v>
      </c>
      <c r="E51" s="2" t="s">
        <v>77</v>
      </c>
      <c r="F51" s="3">
        <v>4190000</v>
      </c>
      <c r="G51" s="2" t="s">
        <v>27</v>
      </c>
      <c r="H51" s="2" t="s">
        <v>28</v>
      </c>
      <c r="I51" s="2" t="s">
        <v>46</v>
      </c>
      <c r="J51" s="2" t="s">
        <v>38</v>
      </c>
      <c r="K51" s="2" t="s">
        <v>45</v>
      </c>
      <c r="L51" s="2" t="s">
        <v>189</v>
      </c>
    </row>
    <row r="52" spans="1:12" x14ac:dyDescent="0.3">
      <c r="A52" s="2" t="s">
        <v>190</v>
      </c>
      <c r="B52" s="2" t="s">
        <v>13</v>
      </c>
      <c r="C52" s="2" t="s">
        <v>191</v>
      </c>
      <c r="D52" s="2" t="s">
        <v>96</v>
      </c>
      <c r="E52" s="2" t="s">
        <v>116</v>
      </c>
      <c r="F52" s="3">
        <v>1045000</v>
      </c>
      <c r="G52" s="2" t="s">
        <v>27</v>
      </c>
      <c r="H52" s="2" t="s">
        <v>28</v>
      </c>
      <c r="I52" s="2" t="s">
        <v>72</v>
      </c>
      <c r="J52" s="2" t="s">
        <v>30</v>
      </c>
      <c r="K52" s="2" t="s">
        <v>21</v>
      </c>
      <c r="L52" s="2" t="s">
        <v>192</v>
      </c>
    </row>
    <row r="53" spans="1:12" x14ac:dyDescent="0.3">
      <c r="A53" s="2" t="s">
        <v>193</v>
      </c>
      <c r="B53" s="2" t="s">
        <v>149</v>
      </c>
      <c r="C53" s="2" t="s">
        <v>194</v>
      </c>
      <c r="D53" s="2" t="s">
        <v>64</v>
      </c>
      <c r="E53" s="2" t="s">
        <v>37</v>
      </c>
      <c r="F53" s="3">
        <v>1990000</v>
      </c>
      <c r="G53" s="2" t="s">
        <v>27</v>
      </c>
      <c r="H53" s="2" t="s">
        <v>28</v>
      </c>
      <c r="I53" s="2" t="s">
        <v>29</v>
      </c>
      <c r="J53" s="2" t="s">
        <v>46</v>
      </c>
      <c r="K53" s="2" t="s">
        <v>72</v>
      </c>
      <c r="L53" s="2" t="s">
        <v>173</v>
      </c>
    </row>
    <row r="54" spans="1:12" x14ac:dyDescent="0.3">
      <c r="A54" s="2" t="s">
        <v>195</v>
      </c>
      <c r="B54" s="2" t="s">
        <v>178</v>
      </c>
      <c r="C54" s="2" t="s">
        <v>106</v>
      </c>
      <c r="D54" s="2" t="s">
        <v>64</v>
      </c>
      <c r="E54" s="2" t="s">
        <v>116</v>
      </c>
      <c r="F54" s="3">
        <v>1175000</v>
      </c>
      <c r="G54" s="2" t="s">
        <v>17</v>
      </c>
      <c r="H54" s="2" t="s">
        <v>28</v>
      </c>
      <c r="I54" s="2" t="s">
        <v>29</v>
      </c>
      <c r="J54" s="2" t="s">
        <v>20</v>
      </c>
      <c r="K54" s="2" t="s">
        <v>68</v>
      </c>
      <c r="L54" s="2" t="s">
        <v>158</v>
      </c>
    </row>
    <row r="55" spans="1:12" x14ac:dyDescent="0.3">
      <c r="A55" s="2" t="s">
        <v>196</v>
      </c>
      <c r="B55" s="2" t="s">
        <v>75</v>
      </c>
      <c r="C55" s="2" t="s">
        <v>90</v>
      </c>
      <c r="D55" s="2" t="s">
        <v>51</v>
      </c>
      <c r="E55" s="2" t="s">
        <v>37</v>
      </c>
      <c r="F55" s="3">
        <v>1265000</v>
      </c>
      <c r="G55" s="2" t="s">
        <v>27</v>
      </c>
      <c r="H55" s="2" t="s">
        <v>59</v>
      </c>
      <c r="I55" s="2" t="s">
        <v>54</v>
      </c>
      <c r="J55" s="2" t="s">
        <v>45</v>
      </c>
      <c r="K55" s="2" t="s">
        <v>131</v>
      </c>
      <c r="L55" s="2" t="s">
        <v>197</v>
      </c>
    </row>
    <row r="56" spans="1:12" x14ac:dyDescent="0.3">
      <c r="A56" s="2" t="s">
        <v>198</v>
      </c>
      <c r="B56" s="2" t="s">
        <v>75</v>
      </c>
      <c r="C56" s="2" t="s">
        <v>139</v>
      </c>
      <c r="D56" s="2" t="s">
        <v>15</v>
      </c>
      <c r="E56" s="2" t="s">
        <v>77</v>
      </c>
      <c r="F56" s="3">
        <v>2825000</v>
      </c>
      <c r="G56" s="2" t="s">
        <v>27</v>
      </c>
      <c r="H56" s="2" t="s">
        <v>28</v>
      </c>
      <c r="I56" s="2" t="s">
        <v>39</v>
      </c>
      <c r="J56" s="2" t="s">
        <v>21</v>
      </c>
      <c r="K56" s="2" t="s">
        <v>38</v>
      </c>
      <c r="L56" s="2" t="s">
        <v>199</v>
      </c>
    </row>
    <row r="57" spans="1:12" x14ac:dyDescent="0.3">
      <c r="A57" s="2" t="s">
        <v>200</v>
      </c>
      <c r="B57" s="2" t="s">
        <v>178</v>
      </c>
      <c r="C57" s="2" t="s">
        <v>160</v>
      </c>
      <c r="D57" s="2" t="s">
        <v>26</v>
      </c>
      <c r="E57" s="2" t="s">
        <v>37</v>
      </c>
      <c r="F57" s="3">
        <v>1035000</v>
      </c>
      <c r="G57" s="2" t="s">
        <v>27</v>
      </c>
      <c r="H57" s="2" t="s">
        <v>28</v>
      </c>
      <c r="I57" s="2" t="s">
        <v>39</v>
      </c>
      <c r="J57" s="2" t="s">
        <v>68</v>
      </c>
      <c r="K57" s="2" t="s">
        <v>54</v>
      </c>
      <c r="L57" s="2" t="s">
        <v>201</v>
      </c>
    </row>
    <row r="58" spans="1:12" x14ac:dyDescent="0.3">
      <c r="A58" s="2" t="s">
        <v>202</v>
      </c>
      <c r="B58" s="2" t="s">
        <v>75</v>
      </c>
      <c r="C58" s="2" t="s">
        <v>134</v>
      </c>
      <c r="D58" s="2" t="s">
        <v>64</v>
      </c>
      <c r="E58" s="2" t="s">
        <v>116</v>
      </c>
      <c r="F58" s="3">
        <v>1760000</v>
      </c>
      <c r="G58" s="2" t="s">
        <v>27</v>
      </c>
      <c r="H58" s="2" t="s">
        <v>28</v>
      </c>
      <c r="I58" s="2" t="s">
        <v>30</v>
      </c>
      <c r="J58" s="2" t="s">
        <v>68</v>
      </c>
      <c r="K58" s="2" t="s">
        <v>45</v>
      </c>
      <c r="L58" s="2" t="s">
        <v>203</v>
      </c>
    </row>
    <row r="59" spans="1:12" x14ac:dyDescent="0.3">
      <c r="A59" s="2" t="s">
        <v>204</v>
      </c>
      <c r="B59" s="2" t="s">
        <v>75</v>
      </c>
      <c r="C59" s="2" t="s">
        <v>205</v>
      </c>
      <c r="D59" s="2" t="s">
        <v>15</v>
      </c>
      <c r="E59" s="2" t="s">
        <v>77</v>
      </c>
      <c r="F59" s="3">
        <v>4270000</v>
      </c>
      <c r="G59" s="2" t="s">
        <v>27</v>
      </c>
      <c r="H59" s="2" t="s">
        <v>28</v>
      </c>
      <c r="I59" s="2" t="s">
        <v>131</v>
      </c>
      <c r="J59" s="2" t="s">
        <v>45</v>
      </c>
      <c r="K59" s="2" t="s">
        <v>21</v>
      </c>
      <c r="L59" s="2" t="s">
        <v>206</v>
      </c>
    </row>
    <row r="60" spans="1:12" x14ac:dyDescent="0.3">
      <c r="A60" s="2" t="s">
        <v>207</v>
      </c>
      <c r="B60" s="2" t="s">
        <v>62</v>
      </c>
      <c r="C60" s="2" t="s">
        <v>208</v>
      </c>
      <c r="D60" s="2" t="s">
        <v>51</v>
      </c>
      <c r="E60" s="2" t="s">
        <v>16</v>
      </c>
      <c r="F60" s="3">
        <v>635000</v>
      </c>
      <c r="G60" s="2" t="s">
        <v>27</v>
      </c>
      <c r="H60" s="2" t="s">
        <v>28</v>
      </c>
      <c r="I60" s="2" t="s">
        <v>19</v>
      </c>
      <c r="J60" s="2" t="s">
        <v>103</v>
      </c>
      <c r="K60" s="2" t="s">
        <v>38</v>
      </c>
      <c r="L60" s="2" t="s">
        <v>209</v>
      </c>
    </row>
    <row r="61" spans="1:12" x14ac:dyDescent="0.3">
      <c r="A61" s="2" t="s">
        <v>210</v>
      </c>
      <c r="B61" s="2" t="s">
        <v>42</v>
      </c>
      <c r="C61" s="2" t="s">
        <v>211</v>
      </c>
      <c r="D61" s="2" t="s">
        <v>44</v>
      </c>
      <c r="E61" s="2" t="s">
        <v>52</v>
      </c>
      <c r="F61" s="3">
        <v>290000</v>
      </c>
      <c r="G61" s="2" t="s">
        <v>53</v>
      </c>
      <c r="H61" s="2" t="s">
        <v>28</v>
      </c>
      <c r="I61" s="2" t="s">
        <v>31</v>
      </c>
      <c r="J61" s="2" t="s">
        <v>45</v>
      </c>
      <c r="K61" s="2" t="s">
        <v>20</v>
      </c>
      <c r="L61" s="2" t="s">
        <v>212</v>
      </c>
    </row>
    <row r="62" spans="1:12" x14ac:dyDescent="0.3">
      <c r="A62" s="2" t="s">
        <v>213</v>
      </c>
      <c r="B62" s="2" t="s">
        <v>24</v>
      </c>
      <c r="C62" s="2" t="s">
        <v>214</v>
      </c>
      <c r="D62" s="2" t="s">
        <v>26</v>
      </c>
      <c r="E62" s="2" t="s">
        <v>52</v>
      </c>
      <c r="F62" s="3">
        <v>310000</v>
      </c>
      <c r="G62" s="2" t="s">
        <v>53</v>
      </c>
      <c r="H62" s="2" t="s">
        <v>18</v>
      </c>
      <c r="I62" s="2" t="s">
        <v>30</v>
      </c>
      <c r="J62" s="2" t="s">
        <v>131</v>
      </c>
      <c r="K62" s="2" t="s">
        <v>31</v>
      </c>
      <c r="L62" s="2" t="s">
        <v>215</v>
      </c>
    </row>
    <row r="63" spans="1:12" x14ac:dyDescent="0.3">
      <c r="A63" s="2" t="s">
        <v>216</v>
      </c>
      <c r="B63" s="2" t="s">
        <v>149</v>
      </c>
      <c r="C63" s="2" t="s">
        <v>217</v>
      </c>
      <c r="D63" s="2" t="s">
        <v>64</v>
      </c>
      <c r="E63" s="2" t="s">
        <v>77</v>
      </c>
      <c r="F63" s="3">
        <v>4355000</v>
      </c>
      <c r="G63" s="2" t="s">
        <v>27</v>
      </c>
      <c r="H63" s="2" t="s">
        <v>28</v>
      </c>
      <c r="I63" s="2" t="s">
        <v>131</v>
      </c>
      <c r="J63" s="2" t="s">
        <v>29</v>
      </c>
      <c r="K63" s="2" t="s">
        <v>31</v>
      </c>
      <c r="L63" s="2" t="s">
        <v>218</v>
      </c>
    </row>
    <row r="64" spans="1:12" x14ac:dyDescent="0.3">
      <c r="A64" s="2" t="s">
        <v>219</v>
      </c>
      <c r="B64" s="2" t="s">
        <v>49</v>
      </c>
      <c r="C64" s="2" t="s">
        <v>220</v>
      </c>
      <c r="D64" s="2" t="s">
        <v>71</v>
      </c>
      <c r="E64" s="2" t="s">
        <v>37</v>
      </c>
      <c r="F64" s="3">
        <v>1180000</v>
      </c>
      <c r="G64" s="2" t="s">
        <v>27</v>
      </c>
      <c r="H64" s="2" t="s">
        <v>28</v>
      </c>
      <c r="I64" s="2" t="s">
        <v>45</v>
      </c>
      <c r="J64" s="2" t="s">
        <v>21</v>
      </c>
      <c r="K64" s="2" t="s">
        <v>19</v>
      </c>
      <c r="L64" s="2" t="s">
        <v>221</v>
      </c>
    </row>
    <row r="65" spans="1:12" x14ac:dyDescent="0.3">
      <c r="A65" s="2" t="s">
        <v>222</v>
      </c>
      <c r="B65" s="2" t="s">
        <v>62</v>
      </c>
      <c r="C65" s="2" t="s">
        <v>14</v>
      </c>
      <c r="D65" s="2" t="s">
        <v>64</v>
      </c>
      <c r="E65" s="2" t="s">
        <v>116</v>
      </c>
      <c r="F65" s="3">
        <v>1265000</v>
      </c>
      <c r="G65" s="2" t="s">
        <v>27</v>
      </c>
      <c r="H65" s="2" t="s">
        <v>18</v>
      </c>
      <c r="I65" s="2" t="s">
        <v>30</v>
      </c>
      <c r="J65" s="2" t="s">
        <v>39</v>
      </c>
      <c r="K65" s="2" t="s">
        <v>46</v>
      </c>
      <c r="L65" s="2" t="s">
        <v>223</v>
      </c>
    </row>
    <row r="66" spans="1:12" x14ac:dyDescent="0.3">
      <c r="A66" s="2" t="s">
        <v>224</v>
      </c>
      <c r="B66" s="2" t="s">
        <v>57</v>
      </c>
      <c r="C66" s="2" t="s">
        <v>181</v>
      </c>
      <c r="D66" s="2" t="s">
        <v>71</v>
      </c>
      <c r="E66" s="2" t="s">
        <v>16</v>
      </c>
      <c r="F66" s="3">
        <v>925000</v>
      </c>
      <c r="G66" s="2" t="s">
        <v>27</v>
      </c>
      <c r="H66" s="2" t="s">
        <v>18</v>
      </c>
      <c r="I66" s="2" t="s">
        <v>19</v>
      </c>
      <c r="J66" s="2" t="s">
        <v>21</v>
      </c>
      <c r="K66" s="2" t="s">
        <v>39</v>
      </c>
      <c r="L66" s="2" t="s">
        <v>225</v>
      </c>
    </row>
    <row r="67" spans="1:12" x14ac:dyDescent="0.3">
      <c r="A67" s="2" t="s">
        <v>226</v>
      </c>
      <c r="B67" s="2" t="s">
        <v>62</v>
      </c>
      <c r="C67" s="2" t="s">
        <v>227</v>
      </c>
      <c r="D67" s="2" t="s">
        <v>36</v>
      </c>
      <c r="E67" s="2" t="s">
        <v>37</v>
      </c>
      <c r="F67" s="3">
        <v>1125000</v>
      </c>
      <c r="G67" s="2" t="s">
        <v>27</v>
      </c>
      <c r="H67" s="2" t="s">
        <v>18</v>
      </c>
      <c r="I67" s="2" t="s">
        <v>29</v>
      </c>
      <c r="J67" s="2" t="s">
        <v>46</v>
      </c>
      <c r="K67" s="2" t="s">
        <v>45</v>
      </c>
      <c r="L67" s="2" t="s">
        <v>228</v>
      </c>
    </row>
    <row r="68" spans="1:12" x14ac:dyDescent="0.3">
      <c r="A68" s="2" t="s">
        <v>229</v>
      </c>
      <c r="B68" s="2" t="s">
        <v>149</v>
      </c>
      <c r="C68" s="2" t="s">
        <v>152</v>
      </c>
      <c r="D68" s="2" t="s">
        <v>26</v>
      </c>
      <c r="E68" s="2" t="s">
        <v>116</v>
      </c>
      <c r="F68" s="3">
        <v>1155000</v>
      </c>
      <c r="G68" s="2" t="s">
        <v>17</v>
      </c>
      <c r="H68" s="2" t="s">
        <v>28</v>
      </c>
      <c r="I68" s="2" t="s">
        <v>39</v>
      </c>
      <c r="J68" s="2" t="s">
        <v>72</v>
      </c>
      <c r="K68" s="2" t="s">
        <v>20</v>
      </c>
      <c r="L68" s="2" t="s">
        <v>230</v>
      </c>
    </row>
    <row r="69" spans="1:12" x14ac:dyDescent="0.3">
      <c r="A69" s="2" t="s">
        <v>231</v>
      </c>
      <c r="B69" s="2" t="s">
        <v>62</v>
      </c>
      <c r="C69" s="2" t="s">
        <v>227</v>
      </c>
      <c r="D69" s="2" t="s">
        <v>81</v>
      </c>
      <c r="E69" s="2" t="s">
        <v>37</v>
      </c>
      <c r="F69" s="3">
        <v>2005000</v>
      </c>
      <c r="G69" s="2" t="s">
        <v>27</v>
      </c>
      <c r="H69" s="2" t="s">
        <v>18</v>
      </c>
      <c r="I69" s="2" t="s">
        <v>45</v>
      </c>
      <c r="J69" s="2" t="s">
        <v>30</v>
      </c>
      <c r="K69" s="2" t="s">
        <v>38</v>
      </c>
      <c r="L69" s="2" t="s">
        <v>203</v>
      </c>
    </row>
    <row r="70" spans="1:12" x14ac:dyDescent="0.3">
      <c r="A70" s="2" t="s">
        <v>232</v>
      </c>
      <c r="B70" s="2" t="s">
        <v>62</v>
      </c>
      <c r="C70" s="2" t="s">
        <v>220</v>
      </c>
      <c r="D70" s="2" t="s">
        <v>71</v>
      </c>
      <c r="E70" s="2" t="s">
        <v>52</v>
      </c>
      <c r="F70" s="3">
        <v>405000</v>
      </c>
      <c r="G70" s="2" t="s">
        <v>53</v>
      </c>
      <c r="H70" s="2" t="s">
        <v>28</v>
      </c>
      <c r="I70" s="2" t="s">
        <v>29</v>
      </c>
      <c r="J70" s="2" t="s">
        <v>68</v>
      </c>
      <c r="K70" s="2" t="s">
        <v>20</v>
      </c>
      <c r="L70" s="2" t="s">
        <v>233</v>
      </c>
    </row>
    <row r="71" spans="1:12" x14ac:dyDescent="0.3">
      <c r="A71" s="2" t="s">
        <v>234</v>
      </c>
      <c r="B71" s="2" t="s">
        <v>75</v>
      </c>
      <c r="C71" s="2" t="s">
        <v>205</v>
      </c>
      <c r="D71" s="2" t="s">
        <v>64</v>
      </c>
      <c r="E71" s="2" t="s">
        <v>16</v>
      </c>
      <c r="F71" s="3">
        <v>760000</v>
      </c>
      <c r="G71" s="2" t="s">
        <v>17</v>
      </c>
      <c r="H71" s="2" t="s">
        <v>18</v>
      </c>
      <c r="I71" s="2" t="s">
        <v>19</v>
      </c>
      <c r="J71" s="2" t="s">
        <v>29</v>
      </c>
      <c r="K71" s="2" t="s">
        <v>46</v>
      </c>
      <c r="L71" s="2" t="s">
        <v>235</v>
      </c>
    </row>
    <row r="72" spans="1:12" x14ac:dyDescent="0.3">
      <c r="A72" s="2" t="s">
        <v>236</v>
      </c>
      <c r="B72" s="2" t="s">
        <v>62</v>
      </c>
      <c r="C72" s="2" t="s">
        <v>237</v>
      </c>
      <c r="D72" s="2" t="s">
        <v>81</v>
      </c>
      <c r="E72" s="2" t="s">
        <v>52</v>
      </c>
      <c r="F72" s="3">
        <v>525000</v>
      </c>
      <c r="G72" s="2" t="s">
        <v>27</v>
      </c>
      <c r="H72" s="2" t="s">
        <v>18</v>
      </c>
      <c r="I72" s="2" t="s">
        <v>19</v>
      </c>
      <c r="J72" s="2" t="s">
        <v>20</v>
      </c>
      <c r="K72" s="2" t="s">
        <v>46</v>
      </c>
      <c r="L72" s="2" t="s">
        <v>82</v>
      </c>
    </row>
    <row r="73" spans="1:12" x14ac:dyDescent="0.3">
      <c r="A73" s="2" t="s">
        <v>238</v>
      </c>
      <c r="B73" s="2" t="s">
        <v>178</v>
      </c>
      <c r="C73" s="2" t="s">
        <v>220</v>
      </c>
      <c r="D73" s="2" t="s">
        <v>64</v>
      </c>
      <c r="E73" s="2" t="s">
        <v>37</v>
      </c>
      <c r="F73" s="3">
        <v>1145000</v>
      </c>
      <c r="G73" s="2" t="s">
        <v>27</v>
      </c>
      <c r="H73" s="2" t="s">
        <v>28</v>
      </c>
      <c r="I73" s="2" t="s">
        <v>46</v>
      </c>
      <c r="J73" s="2" t="s">
        <v>131</v>
      </c>
      <c r="K73" s="2" t="s">
        <v>39</v>
      </c>
      <c r="L73" s="2" t="s">
        <v>82</v>
      </c>
    </row>
    <row r="74" spans="1:12" x14ac:dyDescent="0.3">
      <c r="A74" s="2" t="s">
        <v>239</v>
      </c>
      <c r="B74" s="2" t="s">
        <v>178</v>
      </c>
      <c r="C74" s="2" t="s">
        <v>95</v>
      </c>
      <c r="D74" s="2" t="s">
        <v>81</v>
      </c>
      <c r="E74" s="2" t="s">
        <v>116</v>
      </c>
      <c r="F74" s="3">
        <v>1025000</v>
      </c>
      <c r="G74" s="2" t="s">
        <v>17</v>
      </c>
      <c r="H74" s="2" t="s">
        <v>28</v>
      </c>
      <c r="I74" s="2" t="s">
        <v>29</v>
      </c>
      <c r="J74" s="2" t="s">
        <v>54</v>
      </c>
      <c r="K74" s="2" t="s">
        <v>103</v>
      </c>
      <c r="L74" s="2" t="s">
        <v>240</v>
      </c>
    </row>
    <row r="75" spans="1:12" x14ac:dyDescent="0.3">
      <c r="A75" s="2" t="s">
        <v>241</v>
      </c>
      <c r="B75" s="2" t="s">
        <v>34</v>
      </c>
      <c r="C75" s="2" t="s">
        <v>242</v>
      </c>
      <c r="D75" s="2" t="s">
        <v>26</v>
      </c>
      <c r="E75" s="2" t="s">
        <v>77</v>
      </c>
      <c r="F75" s="3">
        <v>2635000</v>
      </c>
      <c r="G75" s="2" t="s">
        <v>27</v>
      </c>
      <c r="H75" s="2" t="s">
        <v>28</v>
      </c>
      <c r="I75" s="2" t="s">
        <v>103</v>
      </c>
      <c r="J75" s="2" t="s">
        <v>31</v>
      </c>
      <c r="K75" s="2" t="s">
        <v>39</v>
      </c>
      <c r="L75" s="2" t="s">
        <v>243</v>
      </c>
    </row>
    <row r="76" spans="1:12" x14ac:dyDescent="0.3">
      <c r="A76" s="2" t="s">
        <v>244</v>
      </c>
      <c r="B76" s="2" t="s">
        <v>178</v>
      </c>
      <c r="C76" s="2" t="s">
        <v>106</v>
      </c>
      <c r="D76" s="2" t="s">
        <v>71</v>
      </c>
      <c r="E76" s="2" t="s">
        <v>77</v>
      </c>
      <c r="F76" s="3">
        <v>2240000</v>
      </c>
      <c r="G76" s="2" t="s">
        <v>27</v>
      </c>
      <c r="H76" s="2" t="s">
        <v>59</v>
      </c>
      <c r="I76" s="2" t="s">
        <v>20</v>
      </c>
      <c r="J76" s="2" t="s">
        <v>46</v>
      </c>
      <c r="K76" s="2" t="s">
        <v>38</v>
      </c>
      <c r="L76" s="2" t="s">
        <v>245</v>
      </c>
    </row>
    <row r="77" spans="1:12" x14ac:dyDescent="0.3">
      <c r="A77" s="2" t="s">
        <v>246</v>
      </c>
      <c r="B77" s="2" t="s">
        <v>75</v>
      </c>
      <c r="C77" s="2" t="s">
        <v>155</v>
      </c>
      <c r="D77" s="2" t="s">
        <v>51</v>
      </c>
      <c r="E77" s="2" t="s">
        <v>37</v>
      </c>
      <c r="F77" s="3">
        <v>1410000</v>
      </c>
      <c r="G77" s="2" t="s">
        <v>17</v>
      </c>
      <c r="H77" s="2" t="s">
        <v>28</v>
      </c>
      <c r="I77" s="2" t="s">
        <v>31</v>
      </c>
      <c r="J77" s="2" t="s">
        <v>54</v>
      </c>
      <c r="K77" s="2" t="s">
        <v>45</v>
      </c>
      <c r="L77" s="2" t="s">
        <v>247</v>
      </c>
    </row>
    <row r="78" spans="1:12" x14ac:dyDescent="0.3">
      <c r="A78" s="2" t="s">
        <v>248</v>
      </c>
      <c r="B78" s="2" t="s">
        <v>149</v>
      </c>
      <c r="C78" s="2" t="s">
        <v>249</v>
      </c>
      <c r="D78" s="2" t="s">
        <v>44</v>
      </c>
      <c r="E78" s="2" t="s">
        <v>16</v>
      </c>
      <c r="F78" s="3">
        <v>790000</v>
      </c>
      <c r="G78" s="2" t="s">
        <v>27</v>
      </c>
      <c r="H78" s="2" t="s">
        <v>28</v>
      </c>
      <c r="I78" s="2" t="s">
        <v>46</v>
      </c>
      <c r="J78" s="2" t="s">
        <v>103</v>
      </c>
      <c r="K78" s="2" t="s">
        <v>72</v>
      </c>
      <c r="L78" s="2" t="s">
        <v>250</v>
      </c>
    </row>
    <row r="79" spans="1:12" x14ac:dyDescent="0.3">
      <c r="A79" s="2" t="s">
        <v>251</v>
      </c>
      <c r="B79" s="2" t="s">
        <v>57</v>
      </c>
      <c r="C79" s="2" t="s">
        <v>134</v>
      </c>
      <c r="D79" s="2" t="s">
        <v>81</v>
      </c>
      <c r="E79" s="2" t="s">
        <v>52</v>
      </c>
      <c r="F79" s="3">
        <v>615000</v>
      </c>
      <c r="G79" s="2" t="s">
        <v>17</v>
      </c>
      <c r="H79" s="2" t="s">
        <v>28</v>
      </c>
      <c r="I79" s="2" t="s">
        <v>54</v>
      </c>
      <c r="J79" s="2" t="s">
        <v>68</v>
      </c>
      <c r="K79" s="2" t="s">
        <v>31</v>
      </c>
      <c r="L79" s="2" t="s">
        <v>252</v>
      </c>
    </row>
    <row r="80" spans="1:12" x14ac:dyDescent="0.3">
      <c r="A80" s="2" t="s">
        <v>253</v>
      </c>
      <c r="B80" s="2" t="s">
        <v>75</v>
      </c>
      <c r="C80" s="2" t="s">
        <v>160</v>
      </c>
      <c r="D80" s="2" t="s">
        <v>15</v>
      </c>
      <c r="E80" s="2" t="s">
        <v>116</v>
      </c>
      <c r="F80" s="3">
        <v>990000</v>
      </c>
      <c r="G80" s="2" t="s">
        <v>27</v>
      </c>
      <c r="H80" s="2" t="s">
        <v>18</v>
      </c>
      <c r="I80" s="2" t="s">
        <v>21</v>
      </c>
      <c r="J80" s="2" t="s">
        <v>20</v>
      </c>
      <c r="K80" s="2" t="s">
        <v>45</v>
      </c>
      <c r="L80" s="2" t="s">
        <v>254</v>
      </c>
    </row>
    <row r="81" spans="1:12" x14ac:dyDescent="0.3">
      <c r="A81" s="2" t="s">
        <v>255</v>
      </c>
      <c r="B81" s="2" t="s">
        <v>13</v>
      </c>
      <c r="C81" s="2" t="s">
        <v>214</v>
      </c>
      <c r="D81" s="2" t="s">
        <v>51</v>
      </c>
      <c r="E81" s="2" t="s">
        <v>52</v>
      </c>
      <c r="F81" s="3">
        <v>640000</v>
      </c>
      <c r="G81" s="2" t="s">
        <v>17</v>
      </c>
      <c r="H81" s="2" t="s">
        <v>28</v>
      </c>
      <c r="I81" s="2" t="s">
        <v>45</v>
      </c>
      <c r="J81" s="2" t="s">
        <v>19</v>
      </c>
      <c r="K81" s="2" t="s">
        <v>21</v>
      </c>
      <c r="L81" s="2" t="s">
        <v>256</v>
      </c>
    </row>
    <row r="82" spans="1:12" x14ac:dyDescent="0.3">
      <c r="A82" s="2" t="s">
        <v>257</v>
      </c>
      <c r="B82" s="2" t="s">
        <v>149</v>
      </c>
      <c r="C82" s="2" t="s">
        <v>93</v>
      </c>
      <c r="D82" s="2" t="s">
        <v>36</v>
      </c>
      <c r="E82" s="2" t="s">
        <v>52</v>
      </c>
      <c r="F82" s="3">
        <v>630000</v>
      </c>
      <c r="G82" s="2" t="s">
        <v>27</v>
      </c>
      <c r="H82" s="2" t="s">
        <v>28</v>
      </c>
      <c r="I82" s="2" t="s">
        <v>39</v>
      </c>
      <c r="J82" s="2" t="s">
        <v>19</v>
      </c>
      <c r="K82" s="2" t="s">
        <v>29</v>
      </c>
      <c r="L82" s="2" t="s">
        <v>258</v>
      </c>
    </row>
    <row r="83" spans="1:12" x14ac:dyDescent="0.3">
      <c r="A83" s="2" t="s">
        <v>259</v>
      </c>
      <c r="B83" s="2" t="s">
        <v>34</v>
      </c>
      <c r="C83" s="2" t="s">
        <v>260</v>
      </c>
      <c r="D83" s="2" t="s">
        <v>64</v>
      </c>
      <c r="E83" s="2" t="s">
        <v>52</v>
      </c>
      <c r="F83" s="3">
        <v>410000</v>
      </c>
      <c r="G83" s="2" t="s">
        <v>27</v>
      </c>
      <c r="H83" s="2" t="s">
        <v>28</v>
      </c>
      <c r="I83" s="2" t="s">
        <v>38</v>
      </c>
      <c r="J83" s="2" t="s">
        <v>39</v>
      </c>
      <c r="K83" s="2" t="s">
        <v>29</v>
      </c>
      <c r="L83" s="2" t="s">
        <v>88</v>
      </c>
    </row>
    <row r="84" spans="1:12" x14ac:dyDescent="0.3">
      <c r="A84" s="2" t="s">
        <v>261</v>
      </c>
      <c r="B84" s="2" t="s">
        <v>57</v>
      </c>
      <c r="C84" s="2" t="s">
        <v>63</v>
      </c>
      <c r="D84" s="2" t="s">
        <v>36</v>
      </c>
      <c r="E84" s="2" t="s">
        <v>16</v>
      </c>
      <c r="F84" s="3">
        <v>830000</v>
      </c>
      <c r="G84" s="2" t="s">
        <v>27</v>
      </c>
      <c r="H84" s="2" t="s">
        <v>28</v>
      </c>
      <c r="I84" s="2" t="s">
        <v>45</v>
      </c>
      <c r="J84" s="2" t="s">
        <v>29</v>
      </c>
      <c r="K84" s="2" t="s">
        <v>103</v>
      </c>
      <c r="L84" s="2" t="s">
        <v>262</v>
      </c>
    </row>
    <row r="85" spans="1:12" x14ac:dyDescent="0.3">
      <c r="A85" s="2" t="s">
        <v>263</v>
      </c>
      <c r="B85" s="2" t="s">
        <v>62</v>
      </c>
      <c r="C85" s="2" t="s">
        <v>211</v>
      </c>
      <c r="D85" s="2" t="s">
        <v>96</v>
      </c>
      <c r="E85" s="2" t="s">
        <v>77</v>
      </c>
      <c r="F85" s="3">
        <v>2705000</v>
      </c>
      <c r="G85" s="2" t="s">
        <v>17</v>
      </c>
      <c r="H85" s="2" t="s">
        <v>18</v>
      </c>
      <c r="I85" s="2" t="s">
        <v>31</v>
      </c>
      <c r="J85" s="2" t="s">
        <v>29</v>
      </c>
      <c r="K85" s="2" t="s">
        <v>38</v>
      </c>
      <c r="L85" s="2" t="s">
        <v>184</v>
      </c>
    </row>
    <row r="86" spans="1:12" x14ac:dyDescent="0.3">
      <c r="A86" s="2" t="s">
        <v>264</v>
      </c>
      <c r="B86" s="2" t="s">
        <v>178</v>
      </c>
      <c r="C86" s="2" t="s">
        <v>194</v>
      </c>
      <c r="D86" s="2" t="s">
        <v>36</v>
      </c>
      <c r="E86" s="2" t="s">
        <v>52</v>
      </c>
      <c r="F86" s="3">
        <v>490000</v>
      </c>
      <c r="G86" s="2" t="s">
        <v>17</v>
      </c>
      <c r="H86" s="2" t="s">
        <v>18</v>
      </c>
      <c r="I86" s="2" t="s">
        <v>38</v>
      </c>
      <c r="J86" s="2" t="s">
        <v>39</v>
      </c>
      <c r="K86" s="2" t="s">
        <v>54</v>
      </c>
      <c r="L86" s="2" t="s">
        <v>192</v>
      </c>
    </row>
    <row r="87" spans="1:12" x14ac:dyDescent="0.3">
      <c r="A87" s="2" t="s">
        <v>265</v>
      </c>
      <c r="B87" s="2" t="s">
        <v>75</v>
      </c>
      <c r="C87" s="2" t="s">
        <v>217</v>
      </c>
      <c r="D87" s="2" t="s">
        <v>71</v>
      </c>
      <c r="E87" s="2" t="s">
        <v>116</v>
      </c>
      <c r="F87" s="3">
        <v>905000</v>
      </c>
      <c r="G87" s="2" t="s">
        <v>27</v>
      </c>
      <c r="H87" s="2" t="s">
        <v>28</v>
      </c>
      <c r="I87" s="2" t="s">
        <v>21</v>
      </c>
      <c r="J87" s="2" t="s">
        <v>19</v>
      </c>
      <c r="K87" s="2" t="s">
        <v>45</v>
      </c>
      <c r="L87" s="2" t="s">
        <v>266</v>
      </c>
    </row>
    <row r="88" spans="1:12" x14ac:dyDescent="0.3">
      <c r="A88" s="2" t="s">
        <v>267</v>
      </c>
      <c r="B88" s="2" t="s">
        <v>62</v>
      </c>
      <c r="C88" s="2" t="s">
        <v>268</v>
      </c>
      <c r="D88" s="2" t="s">
        <v>64</v>
      </c>
      <c r="E88" s="2" t="s">
        <v>37</v>
      </c>
      <c r="F88" s="3">
        <v>1945000</v>
      </c>
      <c r="G88" s="2" t="s">
        <v>17</v>
      </c>
      <c r="H88" s="2" t="s">
        <v>28</v>
      </c>
      <c r="I88" s="2" t="s">
        <v>46</v>
      </c>
      <c r="J88" s="2" t="s">
        <v>21</v>
      </c>
      <c r="K88" s="2" t="s">
        <v>38</v>
      </c>
      <c r="L88" s="2" t="s">
        <v>269</v>
      </c>
    </row>
    <row r="89" spans="1:12" x14ac:dyDescent="0.3">
      <c r="A89" s="2" t="s">
        <v>270</v>
      </c>
      <c r="B89" s="2" t="s">
        <v>34</v>
      </c>
      <c r="C89" s="2" t="s">
        <v>271</v>
      </c>
      <c r="D89" s="2" t="s">
        <v>36</v>
      </c>
      <c r="E89" s="2" t="s">
        <v>52</v>
      </c>
      <c r="F89" s="3">
        <v>665000</v>
      </c>
      <c r="G89" s="2" t="s">
        <v>27</v>
      </c>
      <c r="H89" s="2" t="s">
        <v>28</v>
      </c>
      <c r="I89" s="2" t="s">
        <v>21</v>
      </c>
      <c r="J89" s="2" t="s">
        <v>103</v>
      </c>
      <c r="K89" s="2" t="s">
        <v>29</v>
      </c>
      <c r="L89" s="2" t="s">
        <v>233</v>
      </c>
    </row>
    <row r="90" spans="1:12" x14ac:dyDescent="0.3">
      <c r="A90" s="2" t="s">
        <v>272</v>
      </c>
      <c r="B90" s="2" t="s">
        <v>75</v>
      </c>
      <c r="C90" s="2" t="s">
        <v>268</v>
      </c>
      <c r="D90" s="2" t="s">
        <v>81</v>
      </c>
      <c r="E90" s="2" t="s">
        <v>16</v>
      </c>
      <c r="F90" s="3">
        <v>525000</v>
      </c>
      <c r="G90" s="2" t="s">
        <v>27</v>
      </c>
      <c r="H90" s="2" t="s">
        <v>28</v>
      </c>
      <c r="I90" s="2" t="s">
        <v>31</v>
      </c>
      <c r="J90" s="2" t="s">
        <v>54</v>
      </c>
      <c r="K90" s="2" t="s">
        <v>39</v>
      </c>
      <c r="L90" s="2" t="s">
        <v>273</v>
      </c>
    </row>
    <row r="91" spans="1:12" x14ac:dyDescent="0.3">
      <c r="A91" s="2" t="s">
        <v>274</v>
      </c>
      <c r="B91" s="2" t="s">
        <v>62</v>
      </c>
      <c r="C91" s="2" t="s">
        <v>43</v>
      </c>
      <c r="D91" s="2" t="s">
        <v>36</v>
      </c>
      <c r="E91" s="2" t="s">
        <v>52</v>
      </c>
      <c r="F91" s="3">
        <v>380000</v>
      </c>
      <c r="G91" s="2" t="s">
        <v>53</v>
      </c>
      <c r="H91" s="2" t="s">
        <v>18</v>
      </c>
      <c r="I91" s="2" t="s">
        <v>103</v>
      </c>
      <c r="J91" s="2" t="s">
        <v>68</v>
      </c>
      <c r="K91" s="2" t="s">
        <v>45</v>
      </c>
      <c r="L91" s="2" t="s">
        <v>275</v>
      </c>
    </row>
    <row r="92" spans="1:12" x14ac:dyDescent="0.3">
      <c r="A92" s="2" t="s">
        <v>276</v>
      </c>
      <c r="B92" s="2" t="s">
        <v>62</v>
      </c>
      <c r="C92" s="2" t="s">
        <v>277</v>
      </c>
      <c r="D92" s="2" t="s">
        <v>81</v>
      </c>
      <c r="E92" s="2" t="s">
        <v>37</v>
      </c>
      <c r="F92" s="3">
        <v>1145000</v>
      </c>
      <c r="G92" s="2" t="s">
        <v>27</v>
      </c>
      <c r="H92" s="2" t="s">
        <v>59</v>
      </c>
      <c r="I92" s="2" t="s">
        <v>38</v>
      </c>
      <c r="J92" s="2" t="s">
        <v>20</v>
      </c>
      <c r="K92" s="2" t="s">
        <v>103</v>
      </c>
      <c r="L92" s="2" t="s">
        <v>55</v>
      </c>
    </row>
    <row r="93" spans="1:12" x14ac:dyDescent="0.3">
      <c r="A93" s="2" t="s">
        <v>278</v>
      </c>
      <c r="B93" s="2" t="s">
        <v>34</v>
      </c>
      <c r="C93" s="2" t="s">
        <v>130</v>
      </c>
      <c r="D93" s="2" t="s">
        <v>15</v>
      </c>
      <c r="E93" s="2" t="s">
        <v>116</v>
      </c>
      <c r="F93" s="3">
        <v>1020000</v>
      </c>
      <c r="G93" s="2" t="s">
        <v>27</v>
      </c>
      <c r="H93" s="2" t="s">
        <v>28</v>
      </c>
      <c r="I93" s="2" t="s">
        <v>38</v>
      </c>
      <c r="J93" s="2" t="s">
        <v>39</v>
      </c>
      <c r="K93" s="2" t="s">
        <v>46</v>
      </c>
      <c r="L93" s="2" t="s">
        <v>279</v>
      </c>
    </row>
    <row r="94" spans="1:12" x14ac:dyDescent="0.3">
      <c r="A94" s="2" t="s">
        <v>280</v>
      </c>
      <c r="B94" s="2" t="s">
        <v>13</v>
      </c>
      <c r="C94" s="2" t="s">
        <v>281</v>
      </c>
      <c r="D94" s="2" t="s">
        <v>76</v>
      </c>
      <c r="E94" s="2" t="s">
        <v>16</v>
      </c>
      <c r="F94" s="3">
        <v>650000</v>
      </c>
      <c r="G94" s="2" t="s">
        <v>27</v>
      </c>
      <c r="H94" s="2" t="s">
        <v>18</v>
      </c>
      <c r="I94" s="2" t="s">
        <v>31</v>
      </c>
      <c r="J94" s="2" t="s">
        <v>54</v>
      </c>
      <c r="K94" s="2" t="s">
        <v>30</v>
      </c>
      <c r="L94" s="2" t="s">
        <v>184</v>
      </c>
    </row>
    <row r="95" spans="1:12" x14ac:dyDescent="0.3">
      <c r="A95" s="2" t="s">
        <v>282</v>
      </c>
      <c r="B95" s="2" t="s">
        <v>75</v>
      </c>
      <c r="C95" s="2" t="s">
        <v>283</v>
      </c>
      <c r="D95" s="2" t="s">
        <v>44</v>
      </c>
      <c r="E95" s="2" t="s">
        <v>16</v>
      </c>
      <c r="F95" s="3">
        <v>1035000</v>
      </c>
      <c r="G95" s="2" t="s">
        <v>27</v>
      </c>
      <c r="H95" s="2" t="s">
        <v>18</v>
      </c>
      <c r="I95" s="2" t="s">
        <v>45</v>
      </c>
      <c r="J95" s="2" t="s">
        <v>72</v>
      </c>
      <c r="K95" s="2" t="s">
        <v>31</v>
      </c>
      <c r="L95" s="2" t="s">
        <v>284</v>
      </c>
    </row>
    <row r="96" spans="1:12" x14ac:dyDescent="0.3">
      <c r="A96" s="2" t="s">
        <v>285</v>
      </c>
      <c r="B96" s="2" t="s">
        <v>49</v>
      </c>
      <c r="C96" s="2" t="s">
        <v>286</v>
      </c>
      <c r="D96" s="2" t="s">
        <v>81</v>
      </c>
      <c r="E96" s="2" t="s">
        <v>77</v>
      </c>
      <c r="F96" s="3">
        <v>2435000</v>
      </c>
      <c r="G96" s="2" t="s">
        <v>17</v>
      </c>
      <c r="H96" s="2" t="s">
        <v>28</v>
      </c>
      <c r="I96" s="2" t="s">
        <v>19</v>
      </c>
      <c r="J96" s="2" t="s">
        <v>68</v>
      </c>
      <c r="K96" s="2" t="s">
        <v>72</v>
      </c>
      <c r="L96" s="2" t="s">
        <v>197</v>
      </c>
    </row>
    <row r="97" spans="1:12" x14ac:dyDescent="0.3">
      <c r="A97" s="2" t="s">
        <v>287</v>
      </c>
      <c r="B97" s="2" t="s">
        <v>75</v>
      </c>
      <c r="C97" s="2" t="s">
        <v>288</v>
      </c>
      <c r="D97" s="2" t="s">
        <v>36</v>
      </c>
      <c r="E97" s="2" t="s">
        <v>116</v>
      </c>
      <c r="F97" s="3">
        <v>1355000</v>
      </c>
      <c r="G97" s="2" t="s">
        <v>27</v>
      </c>
      <c r="H97" s="2" t="s">
        <v>18</v>
      </c>
      <c r="I97" s="2" t="s">
        <v>30</v>
      </c>
      <c r="J97" s="2" t="s">
        <v>39</v>
      </c>
      <c r="K97" s="2" t="s">
        <v>19</v>
      </c>
      <c r="L97" s="2" t="s">
        <v>289</v>
      </c>
    </row>
    <row r="98" spans="1:12" x14ac:dyDescent="0.3">
      <c r="A98" s="2" t="s">
        <v>290</v>
      </c>
      <c r="B98" s="2" t="s">
        <v>57</v>
      </c>
      <c r="C98" s="2" t="s">
        <v>214</v>
      </c>
      <c r="D98" s="2" t="s">
        <v>44</v>
      </c>
      <c r="E98" s="2" t="s">
        <v>16</v>
      </c>
      <c r="F98" s="3">
        <v>885000</v>
      </c>
      <c r="G98" s="2" t="s">
        <v>17</v>
      </c>
      <c r="H98" s="2" t="s">
        <v>28</v>
      </c>
      <c r="I98" s="2" t="s">
        <v>131</v>
      </c>
      <c r="J98" s="2" t="s">
        <v>30</v>
      </c>
      <c r="K98" s="2" t="s">
        <v>21</v>
      </c>
      <c r="L98" s="2" t="s">
        <v>291</v>
      </c>
    </row>
    <row r="99" spans="1:12" x14ac:dyDescent="0.3">
      <c r="A99" s="2" t="s">
        <v>292</v>
      </c>
      <c r="B99" s="2" t="s">
        <v>34</v>
      </c>
      <c r="C99" s="2" t="s">
        <v>130</v>
      </c>
      <c r="D99" s="2" t="s">
        <v>96</v>
      </c>
      <c r="E99" s="2" t="s">
        <v>77</v>
      </c>
      <c r="F99" s="3">
        <v>2995000</v>
      </c>
      <c r="G99" s="2" t="s">
        <v>27</v>
      </c>
      <c r="H99" s="2" t="s">
        <v>18</v>
      </c>
      <c r="I99" s="2" t="s">
        <v>29</v>
      </c>
      <c r="J99" s="2" t="s">
        <v>46</v>
      </c>
      <c r="K99" s="2" t="s">
        <v>103</v>
      </c>
      <c r="L99" s="2" t="s">
        <v>293</v>
      </c>
    </row>
    <row r="100" spans="1:12" x14ac:dyDescent="0.3">
      <c r="A100" s="2" t="s">
        <v>294</v>
      </c>
      <c r="B100" s="2" t="s">
        <v>149</v>
      </c>
      <c r="C100" s="2" t="s">
        <v>295</v>
      </c>
      <c r="D100" s="2" t="s">
        <v>15</v>
      </c>
      <c r="E100" s="2" t="s">
        <v>77</v>
      </c>
      <c r="F100" s="3">
        <v>2035000</v>
      </c>
      <c r="G100" s="2" t="s">
        <v>27</v>
      </c>
      <c r="H100" s="2" t="s">
        <v>28</v>
      </c>
      <c r="I100" s="2" t="s">
        <v>19</v>
      </c>
      <c r="J100" s="2" t="s">
        <v>46</v>
      </c>
      <c r="K100" s="2" t="s">
        <v>45</v>
      </c>
      <c r="L100" s="2" t="s">
        <v>266</v>
      </c>
    </row>
    <row r="101" spans="1:12" x14ac:dyDescent="0.3">
      <c r="A101" s="2" t="s">
        <v>296</v>
      </c>
      <c r="B101" s="2" t="s">
        <v>57</v>
      </c>
      <c r="C101" s="2" t="s">
        <v>237</v>
      </c>
      <c r="D101" s="2" t="s">
        <v>71</v>
      </c>
      <c r="E101" s="2" t="s">
        <v>37</v>
      </c>
      <c r="F101" s="3">
        <v>1905000</v>
      </c>
      <c r="G101" s="2" t="s">
        <v>27</v>
      </c>
      <c r="H101" s="2" t="s">
        <v>18</v>
      </c>
      <c r="I101" s="2" t="s">
        <v>72</v>
      </c>
      <c r="J101" s="2" t="s">
        <v>29</v>
      </c>
      <c r="K101" s="2" t="s">
        <v>21</v>
      </c>
      <c r="L101" s="2" t="s">
        <v>297</v>
      </c>
    </row>
    <row r="102" spans="1:12" x14ac:dyDescent="0.3">
      <c r="A102" s="2" t="s">
        <v>298</v>
      </c>
      <c r="B102" s="2" t="s">
        <v>149</v>
      </c>
      <c r="C102" s="2" t="s">
        <v>194</v>
      </c>
      <c r="D102" s="2" t="s">
        <v>64</v>
      </c>
      <c r="E102" s="2" t="s">
        <v>37</v>
      </c>
      <c r="F102" s="3">
        <v>2075000</v>
      </c>
      <c r="G102" s="2" t="s">
        <v>27</v>
      </c>
      <c r="H102" s="2" t="s">
        <v>28</v>
      </c>
      <c r="I102" s="2" t="s">
        <v>45</v>
      </c>
      <c r="J102" s="2" t="s">
        <v>68</v>
      </c>
      <c r="K102" s="2" t="s">
        <v>39</v>
      </c>
      <c r="L102" s="2" t="s">
        <v>299</v>
      </c>
    </row>
    <row r="103" spans="1:12" x14ac:dyDescent="0.3">
      <c r="A103" s="2" t="s">
        <v>300</v>
      </c>
      <c r="B103" s="2" t="s">
        <v>13</v>
      </c>
      <c r="C103" s="2" t="s">
        <v>80</v>
      </c>
      <c r="D103" s="2" t="s">
        <v>15</v>
      </c>
      <c r="E103" s="2" t="s">
        <v>52</v>
      </c>
      <c r="F103" s="3">
        <v>720000</v>
      </c>
      <c r="G103" s="2" t="s">
        <v>27</v>
      </c>
      <c r="H103" s="2" t="s">
        <v>28</v>
      </c>
      <c r="I103" s="2" t="s">
        <v>21</v>
      </c>
      <c r="J103" s="2" t="s">
        <v>72</v>
      </c>
      <c r="K103" s="2" t="s">
        <v>46</v>
      </c>
      <c r="L103" s="2" t="s">
        <v>301</v>
      </c>
    </row>
    <row r="104" spans="1:12" x14ac:dyDescent="0.3">
      <c r="A104" s="2" t="s">
        <v>302</v>
      </c>
      <c r="B104" s="2" t="s">
        <v>49</v>
      </c>
      <c r="C104" s="2" t="s">
        <v>130</v>
      </c>
      <c r="D104" s="2" t="s">
        <v>96</v>
      </c>
      <c r="E104" s="2" t="s">
        <v>116</v>
      </c>
      <c r="F104" s="3">
        <v>1200000</v>
      </c>
      <c r="G104" s="2" t="s">
        <v>27</v>
      </c>
      <c r="H104" s="2" t="s">
        <v>18</v>
      </c>
      <c r="I104" s="2" t="s">
        <v>45</v>
      </c>
      <c r="J104" s="2" t="s">
        <v>54</v>
      </c>
      <c r="K104" s="2" t="s">
        <v>29</v>
      </c>
      <c r="L104" s="2" t="s">
        <v>303</v>
      </c>
    </row>
    <row r="105" spans="1:12" x14ac:dyDescent="0.3">
      <c r="A105" s="2" t="s">
        <v>304</v>
      </c>
      <c r="B105" s="2" t="s">
        <v>57</v>
      </c>
      <c r="C105" s="2" t="s">
        <v>305</v>
      </c>
      <c r="D105" s="2" t="s">
        <v>15</v>
      </c>
      <c r="E105" s="2" t="s">
        <v>52</v>
      </c>
      <c r="F105" s="3">
        <v>310000</v>
      </c>
      <c r="G105" s="2" t="s">
        <v>53</v>
      </c>
      <c r="H105" s="2" t="s">
        <v>18</v>
      </c>
      <c r="I105" s="2" t="s">
        <v>45</v>
      </c>
      <c r="J105" s="2" t="s">
        <v>31</v>
      </c>
      <c r="K105" s="2" t="s">
        <v>54</v>
      </c>
      <c r="L105" s="2" t="s">
        <v>306</v>
      </c>
    </row>
    <row r="106" spans="1:12" x14ac:dyDescent="0.3">
      <c r="A106" s="2" t="s">
        <v>307</v>
      </c>
      <c r="B106" s="2" t="s">
        <v>149</v>
      </c>
      <c r="C106" s="2" t="s">
        <v>205</v>
      </c>
      <c r="D106" s="2" t="s">
        <v>71</v>
      </c>
      <c r="E106" s="2" t="s">
        <v>16</v>
      </c>
      <c r="F106" s="3">
        <v>960000</v>
      </c>
      <c r="G106" s="2" t="s">
        <v>27</v>
      </c>
      <c r="H106" s="2" t="s">
        <v>18</v>
      </c>
      <c r="I106" s="2" t="s">
        <v>46</v>
      </c>
      <c r="J106" s="2" t="s">
        <v>19</v>
      </c>
      <c r="K106" s="2" t="s">
        <v>45</v>
      </c>
      <c r="L106" s="2" t="s">
        <v>308</v>
      </c>
    </row>
    <row r="107" spans="1:12" x14ac:dyDescent="0.3">
      <c r="A107" s="2" t="s">
        <v>309</v>
      </c>
      <c r="B107" s="2" t="s">
        <v>75</v>
      </c>
      <c r="C107" s="2" t="s">
        <v>106</v>
      </c>
      <c r="D107" s="2" t="s">
        <v>51</v>
      </c>
      <c r="E107" s="2" t="s">
        <v>52</v>
      </c>
      <c r="F107" s="3">
        <v>580000</v>
      </c>
      <c r="G107" s="2" t="s">
        <v>27</v>
      </c>
      <c r="H107" s="2" t="s">
        <v>18</v>
      </c>
      <c r="I107" s="2" t="s">
        <v>72</v>
      </c>
      <c r="J107" s="2" t="s">
        <v>39</v>
      </c>
      <c r="K107" s="2" t="s">
        <v>19</v>
      </c>
      <c r="L107" s="2" t="s">
        <v>310</v>
      </c>
    </row>
    <row r="108" spans="1:12" x14ac:dyDescent="0.3">
      <c r="A108" s="2" t="s">
        <v>311</v>
      </c>
      <c r="B108" s="2" t="s">
        <v>49</v>
      </c>
      <c r="C108" s="2" t="s">
        <v>188</v>
      </c>
      <c r="D108" s="2" t="s">
        <v>44</v>
      </c>
      <c r="E108" s="2" t="s">
        <v>77</v>
      </c>
      <c r="F108" s="3">
        <v>4045000</v>
      </c>
      <c r="G108" s="2" t="s">
        <v>27</v>
      </c>
      <c r="H108" s="2" t="s">
        <v>28</v>
      </c>
      <c r="I108" s="2" t="s">
        <v>31</v>
      </c>
      <c r="J108" s="2" t="s">
        <v>45</v>
      </c>
      <c r="K108" s="2" t="s">
        <v>72</v>
      </c>
      <c r="L108" s="2" t="s">
        <v>312</v>
      </c>
    </row>
    <row r="109" spans="1:12" x14ac:dyDescent="0.3">
      <c r="A109" s="2" t="s">
        <v>313</v>
      </c>
      <c r="B109" s="2" t="s">
        <v>178</v>
      </c>
      <c r="C109" s="2" t="s">
        <v>271</v>
      </c>
      <c r="D109" s="2" t="s">
        <v>51</v>
      </c>
      <c r="E109" s="2" t="s">
        <v>52</v>
      </c>
      <c r="F109" s="3">
        <v>790000</v>
      </c>
      <c r="G109" s="2" t="s">
        <v>27</v>
      </c>
      <c r="H109" s="2" t="s">
        <v>28</v>
      </c>
      <c r="I109" s="2" t="s">
        <v>46</v>
      </c>
      <c r="J109" s="2" t="s">
        <v>68</v>
      </c>
      <c r="K109" s="2" t="s">
        <v>39</v>
      </c>
      <c r="L109" s="2" t="s">
        <v>314</v>
      </c>
    </row>
    <row r="110" spans="1:12" x14ac:dyDescent="0.3">
      <c r="A110" s="2" t="s">
        <v>315</v>
      </c>
      <c r="B110" s="2" t="s">
        <v>62</v>
      </c>
      <c r="C110" s="2" t="s">
        <v>220</v>
      </c>
      <c r="D110" s="2" t="s">
        <v>64</v>
      </c>
      <c r="E110" s="2" t="s">
        <v>52</v>
      </c>
      <c r="F110" s="3">
        <v>450000</v>
      </c>
      <c r="G110" s="2" t="s">
        <v>53</v>
      </c>
      <c r="H110" s="2" t="s">
        <v>18</v>
      </c>
      <c r="I110" s="2" t="s">
        <v>68</v>
      </c>
      <c r="J110" s="2" t="s">
        <v>72</v>
      </c>
      <c r="K110" s="2" t="s">
        <v>46</v>
      </c>
      <c r="L110" s="2" t="s">
        <v>316</v>
      </c>
    </row>
    <row r="111" spans="1:12" x14ac:dyDescent="0.3">
      <c r="A111" s="2" t="s">
        <v>317</v>
      </c>
      <c r="B111" s="2" t="s">
        <v>49</v>
      </c>
      <c r="C111" s="2" t="s">
        <v>281</v>
      </c>
      <c r="D111" s="2" t="s">
        <v>26</v>
      </c>
      <c r="E111" s="2" t="s">
        <v>77</v>
      </c>
      <c r="F111" s="3">
        <v>2720000</v>
      </c>
      <c r="G111" s="2" t="s">
        <v>27</v>
      </c>
      <c r="H111" s="2" t="s">
        <v>28</v>
      </c>
      <c r="I111" s="2" t="s">
        <v>31</v>
      </c>
      <c r="J111" s="2" t="s">
        <v>45</v>
      </c>
      <c r="K111" s="2" t="s">
        <v>54</v>
      </c>
      <c r="L111" s="2" t="s">
        <v>318</v>
      </c>
    </row>
    <row r="112" spans="1:12" x14ac:dyDescent="0.3">
      <c r="A112" s="2" t="s">
        <v>319</v>
      </c>
      <c r="B112" s="2" t="s">
        <v>49</v>
      </c>
      <c r="C112" s="2" t="s">
        <v>271</v>
      </c>
      <c r="D112" s="2" t="s">
        <v>71</v>
      </c>
      <c r="E112" s="2" t="s">
        <v>116</v>
      </c>
      <c r="F112" s="3">
        <v>1225000</v>
      </c>
      <c r="G112" s="2" t="s">
        <v>27</v>
      </c>
      <c r="H112" s="2" t="s">
        <v>18</v>
      </c>
      <c r="I112" s="2" t="s">
        <v>21</v>
      </c>
      <c r="J112" s="2" t="s">
        <v>68</v>
      </c>
      <c r="K112" s="2" t="s">
        <v>46</v>
      </c>
      <c r="L112" s="2" t="s">
        <v>150</v>
      </c>
    </row>
    <row r="113" spans="1:12" x14ac:dyDescent="0.3">
      <c r="A113" s="2" t="s">
        <v>320</v>
      </c>
      <c r="B113" s="2" t="s">
        <v>49</v>
      </c>
      <c r="C113" s="2" t="s">
        <v>321</v>
      </c>
      <c r="D113" s="2" t="s">
        <v>71</v>
      </c>
      <c r="E113" s="2" t="s">
        <v>116</v>
      </c>
      <c r="F113" s="3">
        <v>1010000</v>
      </c>
      <c r="G113" s="2" t="s">
        <v>27</v>
      </c>
      <c r="H113" s="2" t="s">
        <v>28</v>
      </c>
      <c r="I113" s="2" t="s">
        <v>20</v>
      </c>
      <c r="J113" s="2" t="s">
        <v>21</v>
      </c>
      <c r="K113" s="2" t="s">
        <v>19</v>
      </c>
      <c r="L113" s="2" t="s">
        <v>322</v>
      </c>
    </row>
    <row r="114" spans="1:12" x14ac:dyDescent="0.3">
      <c r="A114" s="2" t="s">
        <v>323</v>
      </c>
      <c r="B114" s="2" t="s">
        <v>42</v>
      </c>
      <c r="C114" s="2" t="s">
        <v>35</v>
      </c>
      <c r="D114" s="2" t="s">
        <v>81</v>
      </c>
      <c r="E114" s="2" t="s">
        <v>52</v>
      </c>
      <c r="F114" s="3">
        <v>210000</v>
      </c>
      <c r="G114" s="2" t="s">
        <v>53</v>
      </c>
      <c r="H114" s="2" t="s">
        <v>28</v>
      </c>
      <c r="I114" s="2" t="s">
        <v>72</v>
      </c>
      <c r="J114" s="2" t="s">
        <v>21</v>
      </c>
      <c r="K114" s="2" t="s">
        <v>20</v>
      </c>
      <c r="L114" s="2" t="s">
        <v>197</v>
      </c>
    </row>
    <row r="115" spans="1:12" x14ac:dyDescent="0.3">
      <c r="A115" s="2" t="s">
        <v>324</v>
      </c>
      <c r="B115" s="2" t="s">
        <v>178</v>
      </c>
      <c r="C115" s="2" t="s">
        <v>205</v>
      </c>
      <c r="D115" s="2" t="s">
        <v>51</v>
      </c>
      <c r="E115" s="2" t="s">
        <v>116</v>
      </c>
      <c r="F115" s="3">
        <v>1315000</v>
      </c>
      <c r="G115" s="2" t="s">
        <v>27</v>
      </c>
      <c r="H115" s="2" t="s">
        <v>59</v>
      </c>
      <c r="I115" s="2" t="s">
        <v>20</v>
      </c>
      <c r="J115" s="2" t="s">
        <v>30</v>
      </c>
      <c r="K115" s="2" t="s">
        <v>29</v>
      </c>
      <c r="L115" s="2" t="s">
        <v>273</v>
      </c>
    </row>
    <row r="116" spans="1:12" x14ac:dyDescent="0.3">
      <c r="A116" s="2" t="s">
        <v>325</v>
      </c>
      <c r="B116" s="2" t="s">
        <v>13</v>
      </c>
      <c r="C116" s="2" t="s">
        <v>115</v>
      </c>
      <c r="D116" s="2" t="s">
        <v>51</v>
      </c>
      <c r="E116" s="2" t="s">
        <v>52</v>
      </c>
      <c r="F116" s="3">
        <v>565000</v>
      </c>
      <c r="G116" s="2" t="s">
        <v>27</v>
      </c>
      <c r="H116" s="2" t="s">
        <v>28</v>
      </c>
      <c r="I116" s="2" t="s">
        <v>45</v>
      </c>
      <c r="J116" s="2" t="s">
        <v>21</v>
      </c>
      <c r="K116" s="2" t="s">
        <v>31</v>
      </c>
      <c r="L116" s="2" t="s">
        <v>221</v>
      </c>
    </row>
    <row r="117" spans="1:12" x14ac:dyDescent="0.3">
      <c r="A117" s="2" t="s">
        <v>326</v>
      </c>
      <c r="B117" s="2" t="s">
        <v>62</v>
      </c>
      <c r="C117" s="2" t="s">
        <v>115</v>
      </c>
      <c r="D117" s="2" t="s">
        <v>15</v>
      </c>
      <c r="E117" s="2" t="s">
        <v>52</v>
      </c>
      <c r="F117" s="3">
        <v>755000</v>
      </c>
      <c r="G117" s="2" t="s">
        <v>27</v>
      </c>
      <c r="H117" s="2" t="s">
        <v>28</v>
      </c>
      <c r="I117" s="2" t="s">
        <v>45</v>
      </c>
      <c r="J117" s="2" t="s">
        <v>19</v>
      </c>
      <c r="K117" s="2" t="s">
        <v>54</v>
      </c>
      <c r="L117" s="2" t="s">
        <v>327</v>
      </c>
    </row>
    <row r="118" spans="1:12" x14ac:dyDescent="0.3">
      <c r="A118" s="2" t="s">
        <v>328</v>
      </c>
      <c r="B118" s="2" t="s">
        <v>49</v>
      </c>
      <c r="C118" s="2" t="s">
        <v>130</v>
      </c>
      <c r="D118" s="2" t="s">
        <v>76</v>
      </c>
      <c r="E118" s="2" t="s">
        <v>52</v>
      </c>
      <c r="F118" s="3">
        <v>735000</v>
      </c>
      <c r="G118" s="2" t="s">
        <v>27</v>
      </c>
      <c r="H118" s="2" t="s">
        <v>28</v>
      </c>
      <c r="I118" s="2" t="s">
        <v>46</v>
      </c>
      <c r="J118" s="2" t="s">
        <v>19</v>
      </c>
      <c r="K118" s="2" t="s">
        <v>54</v>
      </c>
      <c r="L118" s="2" t="s">
        <v>329</v>
      </c>
    </row>
    <row r="119" spans="1:12" x14ac:dyDescent="0.3">
      <c r="A119" s="2" t="s">
        <v>330</v>
      </c>
      <c r="B119" s="2" t="s">
        <v>42</v>
      </c>
      <c r="C119" s="2" t="s">
        <v>139</v>
      </c>
      <c r="D119" s="2" t="s">
        <v>36</v>
      </c>
      <c r="E119" s="2" t="s">
        <v>77</v>
      </c>
      <c r="F119" s="3">
        <v>2420000</v>
      </c>
      <c r="G119" s="2" t="s">
        <v>27</v>
      </c>
      <c r="H119" s="2" t="s">
        <v>28</v>
      </c>
      <c r="I119" s="2" t="s">
        <v>20</v>
      </c>
      <c r="J119" s="2" t="s">
        <v>21</v>
      </c>
      <c r="K119" s="2" t="s">
        <v>39</v>
      </c>
      <c r="L119" s="2" t="s">
        <v>209</v>
      </c>
    </row>
    <row r="120" spans="1:12" x14ac:dyDescent="0.3">
      <c r="A120" s="2" t="s">
        <v>331</v>
      </c>
      <c r="B120" s="2" t="s">
        <v>13</v>
      </c>
      <c r="C120" s="2" t="s">
        <v>109</v>
      </c>
      <c r="D120" s="2" t="s">
        <v>64</v>
      </c>
      <c r="E120" s="2" t="s">
        <v>52</v>
      </c>
      <c r="F120" s="3">
        <v>445000</v>
      </c>
      <c r="G120" s="2" t="s">
        <v>27</v>
      </c>
      <c r="H120" s="2" t="s">
        <v>28</v>
      </c>
      <c r="I120" s="2" t="s">
        <v>45</v>
      </c>
      <c r="J120" s="2" t="s">
        <v>21</v>
      </c>
      <c r="K120" s="2" t="s">
        <v>54</v>
      </c>
      <c r="L120" s="2" t="s">
        <v>332</v>
      </c>
    </row>
    <row r="121" spans="1:12" x14ac:dyDescent="0.3">
      <c r="A121" s="2" t="s">
        <v>333</v>
      </c>
      <c r="B121" s="2" t="s">
        <v>178</v>
      </c>
      <c r="C121" s="2" t="s">
        <v>334</v>
      </c>
      <c r="D121" s="2" t="s">
        <v>51</v>
      </c>
      <c r="E121" s="2" t="s">
        <v>77</v>
      </c>
      <c r="F121" s="3">
        <v>4250000</v>
      </c>
      <c r="G121" s="2" t="s">
        <v>27</v>
      </c>
      <c r="H121" s="2" t="s">
        <v>59</v>
      </c>
      <c r="I121" s="2" t="s">
        <v>39</v>
      </c>
      <c r="J121" s="2" t="s">
        <v>20</v>
      </c>
      <c r="K121" s="2" t="s">
        <v>46</v>
      </c>
      <c r="L121" s="2" t="s">
        <v>197</v>
      </c>
    </row>
    <row r="122" spans="1:12" x14ac:dyDescent="0.3">
      <c r="A122" s="2" t="s">
        <v>335</v>
      </c>
      <c r="B122" s="2" t="s">
        <v>42</v>
      </c>
      <c r="C122" s="2" t="s">
        <v>163</v>
      </c>
      <c r="D122" s="2" t="s">
        <v>71</v>
      </c>
      <c r="E122" s="2" t="s">
        <v>52</v>
      </c>
      <c r="F122" s="3">
        <v>580000</v>
      </c>
      <c r="G122" s="2" t="s">
        <v>27</v>
      </c>
      <c r="H122" s="2" t="s">
        <v>28</v>
      </c>
      <c r="I122" s="2" t="s">
        <v>46</v>
      </c>
      <c r="J122" s="2" t="s">
        <v>29</v>
      </c>
      <c r="K122" s="2" t="s">
        <v>30</v>
      </c>
      <c r="L122" s="2" t="s">
        <v>336</v>
      </c>
    </row>
    <row r="123" spans="1:12" x14ac:dyDescent="0.3">
      <c r="A123" s="2" t="s">
        <v>337</v>
      </c>
      <c r="B123" s="2" t="s">
        <v>75</v>
      </c>
      <c r="C123" s="2" t="s">
        <v>338</v>
      </c>
      <c r="D123" s="2" t="s">
        <v>26</v>
      </c>
      <c r="E123" s="2" t="s">
        <v>37</v>
      </c>
      <c r="F123" s="3">
        <v>1420000</v>
      </c>
      <c r="G123" s="2" t="s">
        <v>27</v>
      </c>
      <c r="H123" s="2" t="s">
        <v>18</v>
      </c>
      <c r="I123" s="2" t="s">
        <v>45</v>
      </c>
      <c r="J123" s="2" t="s">
        <v>72</v>
      </c>
      <c r="K123" s="2" t="s">
        <v>30</v>
      </c>
      <c r="L123" s="2" t="s">
        <v>332</v>
      </c>
    </row>
    <row r="124" spans="1:12" x14ac:dyDescent="0.3">
      <c r="A124" s="2" t="s">
        <v>339</v>
      </c>
      <c r="B124" s="2" t="s">
        <v>75</v>
      </c>
      <c r="C124" s="2" t="s">
        <v>172</v>
      </c>
      <c r="D124" s="2" t="s">
        <v>26</v>
      </c>
      <c r="E124" s="2" t="s">
        <v>52</v>
      </c>
      <c r="F124" s="3">
        <v>430000</v>
      </c>
      <c r="G124" s="2" t="s">
        <v>27</v>
      </c>
      <c r="H124" s="2" t="s">
        <v>18</v>
      </c>
      <c r="I124" s="2" t="s">
        <v>131</v>
      </c>
      <c r="J124" s="2" t="s">
        <v>31</v>
      </c>
      <c r="K124" s="2" t="s">
        <v>45</v>
      </c>
      <c r="L124" s="2" t="s">
        <v>340</v>
      </c>
    </row>
    <row r="125" spans="1:12" x14ac:dyDescent="0.3">
      <c r="A125" s="2" t="s">
        <v>341</v>
      </c>
      <c r="B125" s="2" t="s">
        <v>49</v>
      </c>
      <c r="C125" s="2" t="s">
        <v>43</v>
      </c>
      <c r="D125" s="2" t="s">
        <v>64</v>
      </c>
      <c r="E125" s="2" t="s">
        <v>52</v>
      </c>
      <c r="F125" s="3">
        <v>790000</v>
      </c>
      <c r="G125" s="2" t="s">
        <v>27</v>
      </c>
      <c r="H125" s="2" t="s">
        <v>28</v>
      </c>
      <c r="I125" s="2" t="s">
        <v>103</v>
      </c>
      <c r="J125" s="2" t="s">
        <v>68</v>
      </c>
      <c r="K125" s="2" t="s">
        <v>29</v>
      </c>
      <c r="L125" s="2" t="s">
        <v>342</v>
      </c>
    </row>
    <row r="126" spans="1:12" x14ac:dyDescent="0.3">
      <c r="A126" s="2" t="s">
        <v>343</v>
      </c>
      <c r="B126" s="2" t="s">
        <v>42</v>
      </c>
      <c r="C126" s="2" t="s">
        <v>112</v>
      </c>
      <c r="D126" s="2" t="s">
        <v>71</v>
      </c>
      <c r="E126" s="2" t="s">
        <v>116</v>
      </c>
      <c r="F126" s="3">
        <v>1555000</v>
      </c>
      <c r="G126" s="2" t="s">
        <v>17</v>
      </c>
      <c r="H126" s="2" t="s">
        <v>18</v>
      </c>
      <c r="I126" s="2" t="s">
        <v>45</v>
      </c>
      <c r="J126" s="2" t="s">
        <v>131</v>
      </c>
      <c r="K126" s="2" t="s">
        <v>29</v>
      </c>
      <c r="L126" s="2" t="s">
        <v>256</v>
      </c>
    </row>
    <row r="127" spans="1:12" x14ac:dyDescent="0.3">
      <c r="A127" s="2" t="s">
        <v>344</v>
      </c>
      <c r="B127" s="2" t="s">
        <v>62</v>
      </c>
      <c r="C127" s="2" t="s">
        <v>338</v>
      </c>
      <c r="D127" s="2" t="s">
        <v>26</v>
      </c>
      <c r="E127" s="2" t="s">
        <v>16</v>
      </c>
      <c r="F127" s="3">
        <v>880000</v>
      </c>
      <c r="G127" s="2" t="s">
        <v>27</v>
      </c>
      <c r="H127" s="2" t="s">
        <v>28</v>
      </c>
      <c r="I127" s="2" t="s">
        <v>20</v>
      </c>
      <c r="J127" s="2" t="s">
        <v>19</v>
      </c>
      <c r="K127" s="2" t="s">
        <v>38</v>
      </c>
      <c r="L127" s="2" t="s">
        <v>104</v>
      </c>
    </row>
    <row r="128" spans="1:12" x14ac:dyDescent="0.3">
      <c r="A128" s="2" t="s">
        <v>345</v>
      </c>
      <c r="B128" s="2" t="s">
        <v>34</v>
      </c>
      <c r="C128" s="2" t="s">
        <v>179</v>
      </c>
      <c r="D128" s="2" t="s">
        <v>26</v>
      </c>
      <c r="E128" s="2" t="s">
        <v>77</v>
      </c>
      <c r="F128" s="3">
        <v>3640000</v>
      </c>
      <c r="G128" s="2" t="s">
        <v>27</v>
      </c>
      <c r="H128" s="2" t="s">
        <v>18</v>
      </c>
      <c r="I128" s="2" t="s">
        <v>103</v>
      </c>
      <c r="J128" s="2" t="s">
        <v>39</v>
      </c>
      <c r="K128" s="2" t="s">
        <v>46</v>
      </c>
      <c r="L128" s="2" t="s">
        <v>346</v>
      </c>
    </row>
    <row r="129" spans="1:12" x14ac:dyDescent="0.3">
      <c r="A129" s="2" t="s">
        <v>347</v>
      </c>
      <c r="B129" s="2" t="s">
        <v>75</v>
      </c>
      <c r="C129" s="2" t="s">
        <v>112</v>
      </c>
      <c r="D129" s="2" t="s">
        <v>64</v>
      </c>
      <c r="E129" s="2" t="s">
        <v>52</v>
      </c>
      <c r="F129" s="3">
        <v>465000</v>
      </c>
      <c r="G129" s="2" t="s">
        <v>53</v>
      </c>
      <c r="H129" s="2" t="s">
        <v>28</v>
      </c>
      <c r="I129" s="2" t="s">
        <v>54</v>
      </c>
      <c r="J129" s="2" t="s">
        <v>21</v>
      </c>
      <c r="K129" s="2" t="s">
        <v>29</v>
      </c>
      <c r="L129" s="2" t="s">
        <v>32</v>
      </c>
    </row>
    <row r="130" spans="1:12" x14ac:dyDescent="0.3">
      <c r="A130" s="2" t="s">
        <v>348</v>
      </c>
      <c r="B130" s="2" t="s">
        <v>149</v>
      </c>
      <c r="C130" s="2" t="s">
        <v>58</v>
      </c>
      <c r="D130" s="2" t="s">
        <v>51</v>
      </c>
      <c r="E130" s="2" t="s">
        <v>116</v>
      </c>
      <c r="F130" s="3">
        <v>1380000</v>
      </c>
      <c r="G130" s="2" t="s">
        <v>27</v>
      </c>
      <c r="H130" s="2" t="s">
        <v>28</v>
      </c>
      <c r="I130" s="2" t="s">
        <v>19</v>
      </c>
      <c r="J130" s="2" t="s">
        <v>39</v>
      </c>
      <c r="K130" s="2" t="s">
        <v>72</v>
      </c>
      <c r="L130" s="2" t="s">
        <v>310</v>
      </c>
    </row>
    <row r="131" spans="1:12" x14ac:dyDescent="0.3">
      <c r="A131" s="2" t="s">
        <v>349</v>
      </c>
      <c r="B131" s="2" t="s">
        <v>13</v>
      </c>
      <c r="C131" s="2" t="s">
        <v>102</v>
      </c>
      <c r="D131" s="2" t="s">
        <v>15</v>
      </c>
      <c r="E131" s="2" t="s">
        <v>116</v>
      </c>
      <c r="F131" s="3">
        <v>1110000</v>
      </c>
      <c r="G131" s="2" t="s">
        <v>17</v>
      </c>
      <c r="H131" s="2" t="s">
        <v>18</v>
      </c>
      <c r="I131" s="2" t="s">
        <v>30</v>
      </c>
      <c r="J131" s="2" t="s">
        <v>45</v>
      </c>
      <c r="K131" s="2" t="s">
        <v>21</v>
      </c>
      <c r="L131" s="2" t="s">
        <v>40</v>
      </c>
    </row>
    <row r="132" spans="1:12" x14ac:dyDescent="0.3">
      <c r="A132" s="2" t="s">
        <v>350</v>
      </c>
      <c r="B132" s="2" t="s">
        <v>149</v>
      </c>
      <c r="C132" s="2" t="s">
        <v>67</v>
      </c>
      <c r="D132" s="2" t="s">
        <v>81</v>
      </c>
      <c r="E132" s="2" t="s">
        <v>116</v>
      </c>
      <c r="F132" s="3">
        <v>1270000</v>
      </c>
      <c r="G132" s="2" t="s">
        <v>27</v>
      </c>
      <c r="H132" s="2" t="s">
        <v>28</v>
      </c>
      <c r="I132" s="2" t="s">
        <v>38</v>
      </c>
      <c r="J132" s="2" t="s">
        <v>131</v>
      </c>
      <c r="K132" s="2" t="s">
        <v>72</v>
      </c>
      <c r="L132" s="2" t="s">
        <v>351</v>
      </c>
    </row>
    <row r="133" spans="1:12" x14ac:dyDescent="0.3">
      <c r="A133" s="2" t="s">
        <v>352</v>
      </c>
      <c r="B133" s="2" t="s">
        <v>34</v>
      </c>
      <c r="C133" s="2" t="s">
        <v>295</v>
      </c>
      <c r="D133" s="2" t="s">
        <v>15</v>
      </c>
      <c r="E133" s="2" t="s">
        <v>37</v>
      </c>
      <c r="F133" s="3">
        <v>1995000</v>
      </c>
      <c r="G133" s="2" t="s">
        <v>17</v>
      </c>
      <c r="H133" s="2" t="s">
        <v>18</v>
      </c>
      <c r="I133" s="2" t="s">
        <v>20</v>
      </c>
      <c r="J133" s="2" t="s">
        <v>30</v>
      </c>
      <c r="K133" s="2" t="s">
        <v>39</v>
      </c>
      <c r="L133" s="2" t="s">
        <v>353</v>
      </c>
    </row>
    <row r="134" spans="1:12" x14ac:dyDescent="0.3">
      <c r="A134" s="2" t="s">
        <v>354</v>
      </c>
      <c r="B134" s="2" t="s">
        <v>57</v>
      </c>
      <c r="C134" s="2" t="s">
        <v>283</v>
      </c>
      <c r="D134" s="2" t="s">
        <v>76</v>
      </c>
      <c r="E134" s="2" t="s">
        <v>52</v>
      </c>
      <c r="F134" s="3">
        <v>255000</v>
      </c>
      <c r="G134" s="2" t="s">
        <v>53</v>
      </c>
      <c r="H134" s="2" t="s">
        <v>18</v>
      </c>
      <c r="I134" s="2" t="s">
        <v>54</v>
      </c>
      <c r="J134" s="2" t="s">
        <v>21</v>
      </c>
      <c r="K134" s="2" t="s">
        <v>19</v>
      </c>
      <c r="L134" s="2" t="s">
        <v>355</v>
      </c>
    </row>
    <row r="135" spans="1:12" x14ac:dyDescent="0.3">
      <c r="A135" s="2" t="s">
        <v>356</v>
      </c>
      <c r="B135" s="2" t="s">
        <v>49</v>
      </c>
      <c r="C135" s="2" t="s">
        <v>357</v>
      </c>
      <c r="D135" s="2" t="s">
        <v>96</v>
      </c>
      <c r="E135" s="2" t="s">
        <v>16</v>
      </c>
      <c r="F135" s="3">
        <v>1010000</v>
      </c>
      <c r="G135" s="2" t="s">
        <v>27</v>
      </c>
      <c r="H135" s="2" t="s">
        <v>18</v>
      </c>
      <c r="I135" s="2" t="s">
        <v>21</v>
      </c>
      <c r="J135" s="2" t="s">
        <v>54</v>
      </c>
      <c r="K135" s="2" t="s">
        <v>19</v>
      </c>
      <c r="L135" s="2" t="s">
        <v>310</v>
      </c>
    </row>
    <row r="136" spans="1:12" x14ac:dyDescent="0.3">
      <c r="A136" s="2" t="s">
        <v>358</v>
      </c>
      <c r="B136" s="2" t="s">
        <v>42</v>
      </c>
      <c r="C136" s="2" t="s">
        <v>58</v>
      </c>
      <c r="D136" s="2" t="s">
        <v>81</v>
      </c>
      <c r="E136" s="2" t="s">
        <v>37</v>
      </c>
      <c r="F136" s="3">
        <v>2085000</v>
      </c>
      <c r="G136" s="2" t="s">
        <v>27</v>
      </c>
      <c r="H136" s="2" t="s">
        <v>59</v>
      </c>
      <c r="I136" s="2" t="s">
        <v>30</v>
      </c>
      <c r="J136" s="2" t="s">
        <v>20</v>
      </c>
      <c r="K136" s="2" t="s">
        <v>45</v>
      </c>
      <c r="L136" s="2" t="s">
        <v>359</v>
      </c>
    </row>
    <row r="137" spans="1:12" x14ac:dyDescent="0.3">
      <c r="A137" s="2" t="s">
        <v>360</v>
      </c>
      <c r="B137" s="2" t="s">
        <v>49</v>
      </c>
      <c r="C137" s="2" t="s">
        <v>357</v>
      </c>
      <c r="D137" s="2" t="s">
        <v>64</v>
      </c>
      <c r="E137" s="2" t="s">
        <v>37</v>
      </c>
      <c r="F137" s="3">
        <v>1795000</v>
      </c>
      <c r="G137" s="2" t="s">
        <v>27</v>
      </c>
      <c r="H137" s="2" t="s">
        <v>28</v>
      </c>
      <c r="I137" s="2" t="s">
        <v>19</v>
      </c>
      <c r="J137" s="2" t="s">
        <v>38</v>
      </c>
      <c r="K137" s="2" t="s">
        <v>72</v>
      </c>
      <c r="L137" s="2" t="s">
        <v>166</v>
      </c>
    </row>
    <row r="138" spans="1:12" x14ac:dyDescent="0.3">
      <c r="A138" s="2" t="s">
        <v>361</v>
      </c>
      <c r="B138" s="2" t="s">
        <v>34</v>
      </c>
      <c r="C138" s="2" t="s">
        <v>106</v>
      </c>
      <c r="D138" s="2" t="s">
        <v>15</v>
      </c>
      <c r="E138" s="2" t="s">
        <v>16</v>
      </c>
      <c r="F138" s="3">
        <v>820000</v>
      </c>
      <c r="G138" s="2" t="s">
        <v>27</v>
      </c>
      <c r="H138" s="2" t="s">
        <v>28</v>
      </c>
      <c r="I138" s="2" t="s">
        <v>20</v>
      </c>
      <c r="J138" s="2" t="s">
        <v>39</v>
      </c>
      <c r="K138" s="2" t="s">
        <v>38</v>
      </c>
      <c r="L138" s="2" t="s">
        <v>362</v>
      </c>
    </row>
    <row r="139" spans="1:12" x14ac:dyDescent="0.3">
      <c r="A139" s="2" t="s">
        <v>363</v>
      </c>
      <c r="B139" s="2" t="s">
        <v>42</v>
      </c>
      <c r="C139" s="2" t="s">
        <v>295</v>
      </c>
      <c r="D139" s="2" t="s">
        <v>64</v>
      </c>
      <c r="E139" s="2" t="s">
        <v>52</v>
      </c>
      <c r="F139" s="3">
        <v>205000</v>
      </c>
      <c r="G139" s="2" t="s">
        <v>53</v>
      </c>
      <c r="H139" s="2" t="s">
        <v>28</v>
      </c>
      <c r="I139" s="2" t="s">
        <v>46</v>
      </c>
      <c r="J139" s="2" t="s">
        <v>38</v>
      </c>
      <c r="K139" s="2" t="s">
        <v>45</v>
      </c>
      <c r="L139" s="2" t="s">
        <v>364</v>
      </c>
    </row>
    <row r="140" spans="1:12" x14ac:dyDescent="0.3">
      <c r="A140" s="2" t="s">
        <v>365</v>
      </c>
      <c r="B140" s="2" t="s">
        <v>49</v>
      </c>
      <c r="C140" s="2" t="s">
        <v>283</v>
      </c>
      <c r="D140" s="2" t="s">
        <v>81</v>
      </c>
      <c r="E140" s="2" t="s">
        <v>52</v>
      </c>
      <c r="F140" s="3">
        <v>790000</v>
      </c>
      <c r="G140" s="2" t="s">
        <v>27</v>
      </c>
      <c r="H140" s="2" t="s">
        <v>28</v>
      </c>
      <c r="I140" s="2" t="s">
        <v>54</v>
      </c>
      <c r="J140" s="2" t="s">
        <v>21</v>
      </c>
      <c r="K140" s="2" t="s">
        <v>45</v>
      </c>
      <c r="L140" s="2" t="s">
        <v>366</v>
      </c>
    </row>
    <row r="141" spans="1:12" x14ac:dyDescent="0.3">
      <c r="A141" s="2" t="s">
        <v>367</v>
      </c>
      <c r="B141" s="2" t="s">
        <v>178</v>
      </c>
      <c r="C141" s="2" t="s">
        <v>43</v>
      </c>
      <c r="D141" s="2" t="s">
        <v>81</v>
      </c>
      <c r="E141" s="2" t="s">
        <v>37</v>
      </c>
      <c r="F141" s="3">
        <v>1485000</v>
      </c>
      <c r="G141" s="2" t="s">
        <v>27</v>
      </c>
      <c r="H141" s="2" t="s">
        <v>18</v>
      </c>
      <c r="I141" s="2" t="s">
        <v>46</v>
      </c>
      <c r="J141" s="2" t="s">
        <v>68</v>
      </c>
      <c r="K141" s="2" t="s">
        <v>103</v>
      </c>
      <c r="L141" s="2" t="s">
        <v>368</v>
      </c>
    </row>
    <row r="142" spans="1:12" x14ac:dyDescent="0.3">
      <c r="A142" s="2" t="s">
        <v>369</v>
      </c>
      <c r="B142" s="2" t="s">
        <v>75</v>
      </c>
      <c r="C142" s="2" t="s">
        <v>286</v>
      </c>
      <c r="D142" s="2" t="s">
        <v>51</v>
      </c>
      <c r="E142" s="2" t="s">
        <v>37</v>
      </c>
      <c r="F142" s="3">
        <v>2060000</v>
      </c>
      <c r="G142" s="2" t="s">
        <v>27</v>
      </c>
      <c r="H142" s="2" t="s">
        <v>28</v>
      </c>
      <c r="I142" s="2" t="s">
        <v>38</v>
      </c>
      <c r="J142" s="2" t="s">
        <v>21</v>
      </c>
      <c r="K142" s="2" t="s">
        <v>20</v>
      </c>
      <c r="L142" s="2" t="s">
        <v>370</v>
      </c>
    </row>
    <row r="143" spans="1:12" x14ac:dyDescent="0.3">
      <c r="A143" s="2" t="s">
        <v>371</v>
      </c>
      <c r="B143" s="2" t="s">
        <v>42</v>
      </c>
      <c r="C143" s="2" t="s">
        <v>205</v>
      </c>
      <c r="D143" s="2" t="s">
        <v>36</v>
      </c>
      <c r="E143" s="2" t="s">
        <v>37</v>
      </c>
      <c r="F143" s="3">
        <v>1825000</v>
      </c>
      <c r="G143" s="2" t="s">
        <v>17</v>
      </c>
      <c r="H143" s="2" t="s">
        <v>18</v>
      </c>
      <c r="I143" s="2" t="s">
        <v>68</v>
      </c>
      <c r="J143" s="2" t="s">
        <v>20</v>
      </c>
      <c r="K143" s="2" t="s">
        <v>39</v>
      </c>
      <c r="L143" s="2" t="s">
        <v>245</v>
      </c>
    </row>
    <row r="144" spans="1:12" x14ac:dyDescent="0.3">
      <c r="A144" s="2" t="s">
        <v>372</v>
      </c>
      <c r="B144" s="2" t="s">
        <v>34</v>
      </c>
      <c r="C144" s="2" t="s">
        <v>305</v>
      </c>
      <c r="D144" s="2" t="s">
        <v>96</v>
      </c>
      <c r="E144" s="2" t="s">
        <v>116</v>
      </c>
      <c r="F144" s="3">
        <v>1370000</v>
      </c>
      <c r="G144" s="2" t="s">
        <v>27</v>
      </c>
      <c r="H144" s="2" t="s">
        <v>18</v>
      </c>
      <c r="I144" s="2" t="s">
        <v>68</v>
      </c>
      <c r="J144" s="2" t="s">
        <v>29</v>
      </c>
      <c r="K144" s="2" t="s">
        <v>103</v>
      </c>
      <c r="L144" s="2" t="s">
        <v>145</v>
      </c>
    </row>
    <row r="145" spans="1:12" x14ac:dyDescent="0.3">
      <c r="A145" s="2" t="s">
        <v>373</v>
      </c>
      <c r="B145" s="2" t="s">
        <v>13</v>
      </c>
      <c r="C145" s="2" t="s">
        <v>321</v>
      </c>
      <c r="D145" s="2" t="s">
        <v>71</v>
      </c>
      <c r="E145" s="2" t="s">
        <v>52</v>
      </c>
      <c r="F145" s="3">
        <v>500000</v>
      </c>
      <c r="G145" s="2" t="s">
        <v>27</v>
      </c>
      <c r="H145" s="2" t="s">
        <v>28</v>
      </c>
      <c r="I145" s="2" t="s">
        <v>46</v>
      </c>
      <c r="J145" s="2" t="s">
        <v>54</v>
      </c>
      <c r="K145" s="2" t="s">
        <v>19</v>
      </c>
      <c r="L145" s="2" t="s">
        <v>104</v>
      </c>
    </row>
    <row r="146" spans="1:12" x14ac:dyDescent="0.3">
      <c r="A146" s="2" t="s">
        <v>374</v>
      </c>
      <c r="B146" s="2" t="s">
        <v>75</v>
      </c>
      <c r="C146" s="2" t="s">
        <v>123</v>
      </c>
      <c r="D146" s="2" t="s">
        <v>26</v>
      </c>
      <c r="E146" s="2" t="s">
        <v>37</v>
      </c>
      <c r="F146" s="3">
        <v>2045000</v>
      </c>
      <c r="G146" s="2" t="s">
        <v>27</v>
      </c>
      <c r="H146" s="2" t="s">
        <v>28</v>
      </c>
      <c r="I146" s="2" t="s">
        <v>19</v>
      </c>
      <c r="J146" s="2" t="s">
        <v>31</v>
      </c>
      <c r="K146" s="2" t="s">
        <v>45</v>
      </c>
      <c r="L146" s="2" t="s">
        <v>137</v>
      </c>
    </row>
    <row r="147" spans="1:12" x14ac:dyDescent="0.3">
      <c r="A147" s="2" t="s">
        <v>375</v>
      </c>
      <c r="B147" s="2" t="s">
        <v>42</v>
      </c>
      <c r="C147" s="2" t="s">
        <v>194</v>
      </c>
      <c r="D147" s="2" t="s">
        <v>36</v>
      </c>
      <c r="E147" s="2" t="s">
        <v>37</v>
      </c>
      <c r="F147" s="3">
        <v>1420000</v>
      </c>
      <c r="G147" s="2" t="s">
        <v>27</v>
      </c>
      <c r="H147" s="2" t="s">
        <v>18</v>
      </c>
      <c r="I147" s="2" t="s">
        <v>46</v>
      </c>
      <c r="J147" s="2" t="s">
        <v>39</v>
      </c>
      <c r="K147" s="2" t="s">
        <v>38</v>
      </c>
      <c r="L147" s="2" t="s">
        <v>176</v>
      </c>
    </row>
    <row r="148" spans="1:12" x14ac:dyDescent="0.3">
      <c r="A148" s="2" t="s">
        <v>376</v>
      </c>
      <c r="B148" s="2" t="s">
        <v>57</v>
      </c>
      <c r="C148" s="2" t="s">
        <v>63</v>
      </c>
      <c r="D148" s="2" t="s">
        <v>71</v>
      </c>
      <c r="E148" s="2" t="s">
        <v>37</v>
      </c>
      <c r="F148" s="3">
        <v>1100000</v>
      </c>
      <c r="G148" s="2" t="s">
        <v>27</v>
      </c>
      <c r="H148" s="2" t="s">
        <v>18</v>
      </c>
      <c r="I148" s="2" t="s">
        <v>31</v>
      </c>
      <c r="J148" s="2" t="s">
        <v>54</v>
      </c>
      <c r="K148" s="2" t="s">
        <v>21</v>
      </c>
      <c r="L148" s="2" t="s">
        <v>377</v>
      </c>
    </row>
    <row r="149" spans="1:12" x14ac:dyDescent="0.3">
      <c r="A149" s="2" t="s">
        <v>378</v>
      </c>
      <c r="B149" s="2" t="s">
        <v>42</v>
      </c>
      <c r="C149" s="2" t="s">
        <v>139</v>
      </c>
      <c r="D149" s="2" t="s">
        <v>64</v>
      </c>
      <c r="E149" s="2" t="s">
        <v>116</v>
      </c>
      <c r="F149" s="3">
        <v>1225000</v>
      </c>
      <c r="G149" s="2" t="s">
        <v>27</v>
      </c>
      <c r="H149" s="2" t="s">
        <v>28</v>
      </c>
      <c r="I149" s="2" t="s">
        <v>45</v>
      </c>
      <c r="J149" s="2" t="s">
        <v>46</v>
      </c>
      <c r="K149" s="2" t="s">
        <v>38</v>
      </c>
      <c r="L149" s="2" t="s">
        <v>353</v>
      </c>
    </row>
    <row r="150" spans="1:12" x14ac:dyDescent="0.3">
      <c r="A150" s="2" t="s">
        <v>379</v>
      </c>
      <c r="B150" s="2" t="s">
        <v>75</v>
      </c>
      <c r="C150" s="2" t="s">
        <v>338</v>
      </c>
      <c r="D150" s="2" t="s">
        <v>96</v>
      </c>
      <c r="E150" s="2" t="s">
        <v>16</v>
      </c>
      <c r="F150" s="3">
        <v>940000</v>
      </c>
      <c r="G150" s="2" t="s">
        <v>27</v>
      </c>
      <c r="H150" s="2" t="s">
        <v>18</v>
      </c>
      <c r="I150" s="2" t="s">
        <v>68</v>
      </c>
      <c r="J150" s="2" t="s">
        <v>45</v>
      </c>
      <c r="K150" s="2" t="s">
        <v>30</v>
      </c>
      <c r="L150" s="2" t="s">
        <v>88</v>
      </c>
    </row>
    <row r="151" spans="1:12" x14ac:dyDescent="0.3">
      <c r="A151" s="2" t="s">
        <v>380</v>
      </c>
      <c r="B151" s="2" t="s">
        <v>57</v>
      </c>
      <c r="C151" s="2" t="s">
        <v>63</v>
      </c>
      <c r="D151" s="2" t="s">
        <v>51</v>
      </c>
      <c r="E151" s="2" t="s">
        <v>77</v>
      </c>
      <c r="F151" s="3">
        <v>2170000</v>
      </c>
      <c r="G151" s="2" t="s">
        <v>27</v>
      </c>
      <c r="H151" s="2" t="s">
        <v>18</v>
      </c>
      <c r="I151" s="2" t="s">
        <v>45</v>
      </c>
      <c r="J151" s="2" t="s">
        <v>72</v>
      </c>
      <c r="K151" s="2" t="s">
        <v>21</v>
      </c>
      <c r="L151" s="2" t="s">
        <v>381</v>
      </c>
    </row>
    <row r="152" spans="1:12" x14ac:dyDescent="0.3">
      <c r="A152" s="2" t="s">
        <v>382</v>
      </c>
      <c r="B152" s="2" t="s">
        <v>24</v>
      </c>
      <c r="C152" s="2" t="s">
        <v>191</v>
      </c>
      <c r="D152" s="2" t="s">
        <v>64</v>
      </c>
      <c r="E152" s="2" t="s">
        <v>37</v>
      </c>
      <c r="F152" s="3">
        <v>1000000</v>
      </c>
      <c r="G152" s="2" t="s">
        <v>17</v>
      </c>
      <c r="H152" s="2" t="s">
        <v>28</v>
      </c>
      <c r="I152" s="2" t="s">
        <v>30</v>
      </c>
      <c r="J152" s="2" t="s">
        <v>103</v>
      </c>
      <c r="K152" s="2" t="s">
        <v>19</v>
      </c>
      <c r="L152" s="2" t="s">
        <v>383</v>
      </c>
    </row>
    <row r="153" spans="1:12" x14ac:dyDescent="0.3">
      <c r="A153" s="2" t="s">
        <v>384</v>
      </c>
      <c r="B153" s="2" t="s">
        <v>62</v>
      </c>
      <c r="C153" s="2" t="s">
        <v>191</v>
      </c>
      <c r="D153" s="2" t="s">
        <v>76</v>
      </c>
      <c r="E153" s="2" t="s">
        <v>16</v>
      </c>
      <c r="F153" s="3">
        <v>1040000</v>
      </c>
      <c r="G153" s="2" t="s">
        <v>27</v>
      </c>
      <c r="H153" s="2" t="s">
        <v>59</v>
      </c>
      <c r="I153" s="2" t="s">
        <v>68</v>
      </c>
      <c r="J153" s="2" t="s">
        <v>30</v>
      </c>
      <c r="K153" s="2" t="s">
        <v>29</v>
      </c>
      <c r="L153" s="2" t="s">
        <v>385</v>
      </c>
    </row>
    <row r="154" spans="1:12" x14ac:dyDescent="0.3">
      <c r="A154" s="2" t="s">
        <v>386</v>
      </c>
      <c r="B154" s="2" t="s">
        <v>62</v>
      </c>
      <c r="C154" s="2" t="s">
        <v>281</v>
      </c>
      <c r="D154" s="2" t="s">
        <v>76</v>
      </c>
      <c r="E154" s="2" t="s">
        <v>77</v>
      </c>
      <c r="F154" s="3">
        <v>1795000</v>
      </c>
      <c r="G154" s="2" t="s">
        <v>17</v>
      </c>
      <c r="H154" s="2" t="s">
        <v>28</v>
      </c>
      <c r="I154" s="2" t="s">
        <v>103</v>
      </c>
      <c r="J154" s="2" t="s">
        <v>72</v>
      </c>
      <c r="K154" s="2" t="s">
        <v>31</v>
      </c>
      <c r="L154" s="2" t="s">
        <v>387</v>
      </c>
    </row>
    <row r="155" spans="1:12" x14ac:dyDescent="0.3">
      <c r="A155" s="2" t="s">
        <v>388</v>
      </c>
      <c r="B155" s="2" t="s">
        <v>149</v>
      </c>
      <c r="C155" s="2" t="s">
        <v>389</v>
      </c>
      <c r="D155" s="2" t="s">
        <v>44</v>
      </c>
      <c r="E155" s="2" t="s">
        <v>116</v>
      </c>
      <c r="F155" s="3">
        <v>1445000</v>
      </c>
      <c r="G155" s="2" t="s">
        <v>17</v>
      </c>
      <c r="H155" s="2" t="s">
        <v>18</v>
      </c>
      <c r="I155" s="2" t="s">
        <v>19</v>
      </c>
      <c r="J155" s="2" t="s">
        <v>72</v>
      </c>
      <c r="K155" s="2" t="s">
        <v>45</v>
      </c>
      <c r="L155" s="2" t="s">
        <v>332</v>
      </c>
    </row>
    <row r="156" spans="1:12" x14ac:dyDescent="0.3">
      <c r="A156" s="2" t="s">
        <v>390</v>
      </c>
      <c r="B156" s="2" t="s">
        <v>178</v>
      </c>
      <c r="C156" s="2" t="s">
        <v>277</v>
      </c>
      <c r="D156" s="2" t="s">
        <v>76</v>
      </c>
      <c r="E156" s="2" t="s">
        <v>116</v>
      </c>
      <c r="F156" s="3">
        <v>1305000</v>
      </c>
      <c r="G156" s="2" t="s">
        <v>27</v>
      </c>
      <c r="H156" s="2" t="s">
        <v>28</v>
      </c>
      <c r="I156" s="2" t="s">
        <v>20</v>
      </c>
      <c r="J156" s="2" t="s">
        <v>39</v>
      </c>
      <c r="K156" s="2" t="s">
        <v>72</v>
      </c>
      <c r="L156" s="2" t="s">
        <v>164</v>
      </c>
    </row>
    <row r="157" spans="1:12" x14ac:dyDescent="0.3">
      <c r="A157" s="2" t="s">
        <v>391</v>
      </c>
      <c r="B157" s="2" t="s">
        <v>57</v>
      </c>
      <c r="C157" s="2" t="s">
        <v>220</v>
      </c>
      <c r="D157" s="2" t="s">
        <v>96</v>
      </c>
      <c r="E157" s="2" t="s">
        <v>52</v>
      </c>
      <c r="F157" s="3">
        <v>470000</v>
      </c>
      <c r="G157" s="2" t="s">
        <v>27</v>
      </c>
      <c r="H157" s="2" t="s">
        <v>18</v>
      </c>
      <c r="I157" s="2" t="s">
        <v>21</v>
      </c>
      <c r="J157" s="2" t="s">
        <v>45</v>
      </c>
      <c r="K157" s="2" t="s">
        <v>19</v>
      </c>
      <c r="L157" s="2" t="s">
        <v>221</v>
      </c>
    </row>
    <row r="158" spans="1:12" x14ac:dyDescent="0.3">
      <c r="A158" s="2" t="s">
        <v>392</v>
      </c>
      <c r="B158" s="2" t="s">
        <v>49</v>
      </c>
      <c r="C158" s="2" t="s">
        <v>260</v>
      </c>
      <c r="D158" s="2" t="s">
        <v>44</v>
      </c>
      <c r="E158" s="2" t="s">
        <v>52</v>
      </c>
      <c r="F158" s="3">
        <v>425000</v>
      </c>
      <c r="G158" s="2" t="s">
        <v>53</v>
      </c>
      <c r="H158" s="2" t="s">
        <v>59</v>
      </c>
      <c r="I158" s="2" t="s">
        <v>20</v>
      </c>
      <c r="J158" s="2" t="s">
        <v>68</v>
      </c>
      <c r="K158" s="2" t="s">
        <v>103</v>
      </c>
      <c r="L158" s="2" t="s">
        <v>393</v>
      </c>
    </row>
    <row r="159" spans="1:12" x14ac:dyDescent="0.3">
      <c r="A159" s="2" t="s">
        <v>394</v>
      </c>
      <c r="B159" s="2" t="s">
        <v>62</v>
      </c>
      <c r="C159" s="2" t="s">
        <v>214</v>
      </c>
      <c r="D159" s="2" t="s">
        <v>76</v>
      </c>
      <c r="E159" s="2" t="s">
        <v>37</v>
      </c>
      <c r="F159" s="3">
        <v>1205000</v>
      </c>
      <c r="G159" s="2" t="s">
        <v>27</v>
      </c>
      <c r="H159" s="2" t="s">
        <v>18</v>
      </c>
      <c r="I159" s="2" t="s">
        <v>68</v>
      </c>
      <c r="J159" s="2" t="s">
        <v>29</v>
      </c>
      <c r="K159" s="2" t="s">
        <v>39</v>
      </c>
      <c r="L159" s="2" t="s">
        <v>135</v>
      </c>
    </row>
    <row r="160" spans="1:12" x14ac:dyDescent="0.3">
      <c r="A160" s="2" t="s">
        <v>395</v>
      </c>
      <c r="B160" s="2" t="s">
        <v>24</v>
      </c>
      <c r="C160" s="2" t="s">
        <v>396</v>
      </c>
      <c r="D160" s="2" t="s">
        <v>71</v>
      </c>
      <c r="E160" s="2" t="s">
        <v>37</v>
      </c>
      <c r="F160" s="3">
        <v>1055000</v>
      </c>
      <c r="G160" s="2" t="s">
        <v>17</v>
      </c>
      <c r="H160" s="2" t="s">
        <v>18</v>
      </c>
      <c r="I160" s="2" t="s">
        <v>131</v>
      </c>
      <c r="J160" s="2" t="s">
        <v>103</v>
      </c>
      <c r="K160" s="2" t="s">
        <v>46</v>
      </c>
      <c r="L160" s="2" t="s">
        <v>397</v>
      </c>
    </row>
    <row r="161" spans="1:12" x14ac:dyDescent="0.3">
      <c r="A161" s="2" t="s">
        <v>398</v>
      </c>
      <c r="B161" s="2" t="s">
        <v>178</v>
      </c>
      <c r="C161" s="2" t="s">
        <v>181</v>
      </c>
      <c r="D161" s="2" t="s">
        <v>71</v>
      </c>
      <c r="E161" s="2" t="s">
        <v>16</v>
      </c>
      <c r="F161" s="3">
        <v>600000</v>
      </c>
      <c r="G161" s="2" t="s">
        <v>17</v>
      </c>
      <c r="H161" s="2" t="s">
        <v>18</v>
      </c>
      <c r="I161" s="2" t="s">
        <v>20</v>
      </c>
      <c r="J161" s="2" t="s">
        <v>39</v>
      </c>
      <c r="K161" s="2" t="s">
        <v>46</v>
      </c>
      <c r="L161" s="2" t="s">
        <v>113</v>
      </c>
    </row>
    <row r="162" spans="1:12" x14ac:dyDescent="0.3">
      <c r="A162" s="2" t="s">
        <v>399</v>
      </c>
      <c r="B162" s="2" t="s">
        <v>149</v>
      </c>
      <c r="C162" s="2" t="s">
        <v>400</v>
      </c>
      <c r="D162" s="2" t="s">
        <v>81</v>
      </c>
      <c r="E162" s="2" t="s">
        <v>37</v>
      </c>
      <c r="F162" s="3">
        <v>1395000</v>
      </c>
      <c r="G162" s="2" t="s">
        <v>27</v>
      </c>
      <c r="H162" s="2" t="s">
        <v>28</v>
      </c>
      <c r="I162" s="2" t="s">
        <v>68</v>
      </c>
      <c r="J162" s="2" t="s">
        <v>103</v>
      </c>
      <c r="K162" s="2" t="s">
        <v>39</v>
      </c>
      <c r="L162" s="2" t="s">
        <v>401</v>
      </c>
    </row>
    <row r="163" spans="1:12" x14ac:dyDescent="0.3">
      <c r="A163" s="2" t="s">
        <v>402</v>
      </c>
      <c r="B163" s="2" t="s">
        <v>75</v>
      </c>
      <c r="C163" s="2" t="s">
        <v>357</v>
      </c>
      <c r="D163" s="2" t="s">
        <v>51</v>
      </c>
      <c r="E163" s="2" t="s">
        <v>37</v>
      </c>
      <c r="F163" s="3">
        <v>1155000</v>
      </c>
      <c r="G163" s="2" t="s">
        <v>27</v>
      </c>
      <c r="H163" s="2" t="s">
        <v>59</v>
      </c>
      <c r="I163" s="2" t="s">
        <v>72</v>
      </c>
      <c r="J163" s="2" t="s">
        <v>19</v>
      </c>
      <c r="K163" s="2" t="s">
        <v>54</v>
      </c>
      <c r="L163" s="2" t="s">
        <v>212</v>
      </c>
    </row>
    <row r="164" spans="1:12" x14ac:dyDescent="0.3">
      <c r="A164" s="2" t="s">
        <v>403</v>
      </c>
      <c r="B164" s="2" t="s">
        <v>34</v>
      </c>
      <c r="C164" s="2" t="s">
        <v>188</v>
      </c>
      <c r="D164" s="2" t="s">
        <v>64</v>
      </c>
      <c r="E164" s="2" t="s">
        <v>37</v>
      </c>
      <c r="F164" s="3">
        <v>1060000</v>
      </c>
      <c r="G164" s="2" t="s">
        <v>27</v>
      </c>
      <c r="H164" s="2" t="s">
        <v>18</v>
      </c>
      <c r="I164" s="2" t="s">
        <v>21</v>
      </c>
      <c r="J164" s="2" t="s">
        <v>20</v>
      </c>
      <c r="K164" s="2" t="s">
        <v>29</v>
      </c>
      <c r="L164" s="2" t="s">
        <v>366</v>
      </c>
    </row>
    <row r="165" spans="1:12" x14ac:dyDescent="0.3">
      <c r="A165" s="2" t="s">
        <v>404</v>
      </c>
      <c r="B165" s="2" t="s">
        <v>49</v>
      </c>
      <c r="C165" s="2" t="s">
        <v>152</v>
      </c>
      <c r="D165" s="2" t="s">
        <v>71</v>
      </c>
      <c r="E165" s="2" t="s">
        <v>52</v>
      </c>
      <c r="F165" s="3">
        <v>785000</v>
      </c>
      <c r="G165" s="2" t="s">
        <v>27</v>
      </c>
      <c r="H165" s="2" t="s">
        <v>18</v>
      </c>
      <c r="I165" s="2" t="s">
        <v>19</v>
      </c>
      <c r="J165" s="2" t="s">
        <v>31</v>
      </c>
      <c r="K165" s="2" t="s">
        <v>38</v>
      </c>
      <c r="L165" s="2" t="s">
        <v>405</v>
      </c>
    </row>
    <row r="166" spans="1:12" x14ac:dyDescent="0.3">
      <c r="A166" s="2" t="s">
        <v>406</v>
      </c>
      <c r="B166" s="2" t="s">
        <v>178</v>
      </c>
      <c r="C166" s="2" t="s">
        <v>58</v>
      </c>
      <c r="D166" s="2" t="s">
        <v>26</v>
      </c>
      <c r="E166" s="2" t="s">
        <v>52</v>
      </c>
      <c r="F166" s="3">
        <v>640000</v>
      </c>
      <c r="G166" s="2" t="s">
        <v>27</v>
      </c>
      <c r="H166" s="2" t="s">
        <v>28</v>
      </c>
      <c r="I166" s="2" t="s">
        <v>131</v>
      </c>
      <c r="J166" s="2" t="s">
        <v>29</v>
      </c>
      <c r="K166" s="2" t="s">
        <v>20</v>
      </c>
      <c r="L166" s="2" t="s">
        <v>252</v>
      </c>
    </row>
    <row r="167" spans="1:12" x14ac:dyDescent="0.3">
      <c r="A167" s="2" t="s">
        <v>407</v>
      </c>
      <c r="B167" s="2" t="s">
        <v>75</v>
      </c>
      <c r="C167" s="2" t="s">
        <v>80</v>
      </c>
      <c r="D167" s="2" t="s">
        <v>26</v>
      </c>
      <c r="E167" s="2" t="s">
        <v>52</v>
      </c>
      <c r="F167" s="3">
        <v>535000</v>
      </c>
      <c r="G167" s="2" t="s">
        <v>27</v>
      </c>
      <c r="H167" s="2" t="s">
        <v>28</v>
      </c>
      <c r="I167" s="2" t="s">
        <v>30</v>
      </c>
      <c r="J167" s="2" t="s">
        <v>45</v>
      </c>
      <c r="K167" s="2" t="s">
        <v>19</v>
      </c>
      <c r="L167" s="2" t="s">
        <v>408</v>
      </c>
    </row>
    <row r="168" spans="1:12" x14ac:dyDescent="0.3">
      <c r="A168" s="2" t="s">
        <v>409</v>
      </c>
      <c r="B168" s="2" t="s">
        <v>42</v>
      </c>
      <c r="C168" s="2" t="s">
        <v>155</v>
      </c>
      <c r="D168" s="2" t="s">
        <v>26</v>
      </c>
      <c r="E168" s="2" t="s">
        <v>16</v>
      </c>
      <c r="F168" s="3">
        <v>865000</v>
      </c>
      <c r="G168" s="2" t="s">
        <v>27</v>
      </c>
      <c r="H168" s="2" t="s">
        <v>28</v>
      </c>
      <c r="I168" s="2" t="s">
        <v>29</v>
      </c>
      <c r="J168" s="2" t="s">
        <v>45</v>
      </c>
      <c r="K168" s="2" t="s">
        <v>38</v>
      </c>
      <c r="L168" s="2" t="s">
        <v>153</v>
      </c>
    </row>
    <row r="169" spans="1:12" x14ac:dyDescent="0.3">
      <c r="A169" s="2" t="s">
        <v>410</v>
      </c>
      <c r="B169" s="2" t="s">
        <v>49</v>
      </c>
      <c r="C169" s="2" t="s">
        <v>260</v>
      </c>
      <c r="D169" s="2" t="s">
        <v>44</v>
      </c>
      <c r="E169" s="2" t="s">
        <v>52</v>
      </c>
      <c r="F169" s="3">
        <v>575000</v>
      </c>
      <c r="G169" s="2" t="s">
        <v>27</v>
      </c>
      <c r="H169" s="2" t="s">
        <v>28</v>
      </c>
      <c r="I169" s="2" t="s">
        <v>72</v>
      </c>
      <c r="J169" s="2" t="s">
        <v>131</v>
      </c>
      <c r="K169" s="2" t="s">
        <v>54</v>
      </c>
      <c r="L169" s="2" t="s">
        <v>411</v>
      </c>
    </row>
    <row r="170" spans="1:12" x14ac:dyDescent="0.3">
      <c r="A170" s="2" t="s">
        <v>412</v>
      </c>
      <c r="B170" s="2" t="s">
        <v>75</v>
      </c>
      <c r="C170" s="2" t="s">
        <v>400</v>
      </c>
      <c r="D170" s="2" t="s">
        <v>15</v>
      </c>
      <c r="E170" s="2" t="s">
        <v>52</v>
      </c>
      <c r="F170" s="3">
        <v>630000</v>
      </c>
      <c r="G170" s="2" t="s">
        <v>17</v>
      </c>
      <c r="H170" s="2" t="s">
        <v>28</v>
      </c>
      <c r="I170" s="2" t="s">
        <v>31</v>
      </c>
      <c r="J170" s="2" t="s">
        <v>21</v>
      </c>
      <c r="K170" s="2" t="s">
        <v>72</v>
      </c>
      <c r="L170" s="2" t="s">
        <v>413</v>
      </c>
    </row>
    <row r="171" spans="1:12" x14ac:dyDescent="0.3">
      <c r="A171" s="2" t="s">
        <v>414</v>
      </c>
      <c r="B171" s="2" t="s">
        <v>62</v>
      </c>
      <c r="C171" s="2" t="s">
        <v>188</v>
      </c>
      <c r="D171" s="2" t="s">
        <v>15</v>
      </c>
      <c r="E171" s="2" t="s">
        <v>77</v>
      </c>
      <c r="F171" s="3">
        <v>4370000</v>
      </c>
      <c r="G171" s="2" t="s">
        <v>27</v>
      </c>
      <c r="H171" s="2" t="s">
        <v>18</v>
      </c>
      <c r="I171" s="2" t="s">
        <v>20</v>
      </c>
      <c r="J171" s="2" t="s">
        <v>29</v>
      </c>
      <c r="K171" s="2" t="s">
        <v>45</v>
      </c>
      <c r="L171" s="2" t="s">
        <v>415</v>
      </c>
    </row>
    <row r="172" spans="1:12" x14ac:dyDescent="0.3">
      <c r="A172" s="2" t="s">
        <v>416</v>
      </c>
      <c r="B172" s="2" t="s">
        <v>42</v>
      </c>
      <c r="C172" s="2" t="s">
        <v>90</v>
      </c>
      <c r="D172" s="2" t="s">
        <v>36</v>
      </c>
      <c r="E172" s="2" t="s">
        <v>37</v>
      </c>
      <c r="F172" s="3">
        <v>1110000</v>
      </c>
      <c r="G172" s="2" t="s">
        <v>17</v>
      </c>
      <c r="H172" s="2" t="s">
        <v>18</v>
      </c>
      <c r="I172" s="2" t="s">
        <v>31</v>
      </c>
      <c r="J172" s="2" t="s">
        <v>21</v>
      </c>
      <c r="K172" s="2" t="s">
        <v>38</v>
      </c>
      <c r="L172" s="2" t="s">
        <v>417</v>
      </c>
    </row>
    <row r="173" spans="1:12" x14ac:dyDescent="0.3">
      <c r="A173" s="2" t="s">
        <v>418</v>
      </c>
      <c r="B173" s="2" t="s">
        <v>42</v>
      </c>
      <c r="C173" s="2" t="s">
        <v>249</v>
      </c>
      <c r="D173" s="2" t="s">
        <v>26</v>
      </c>
      <c r="E173" s="2" t="s">
        <v>116</v>
      </c>
      <c r="F173" s="3">
        <v>1485000</v>
      </c>
      <c r="G173" s="2" t="s">
        <v>27</v>
      </c>
      <c r="H173" s="2" t="s">
        <v>28</v>
      </c>
      <c r="I173" s="2" t="s">
        <v>68</v>
      </c>
      <c r="J173" s="2" t="s">
        <v>20</v>
      </c>
      <c r="K173" s="2" t="s">
        <v>45</v>
      </c>
      <c r="L173" s="2" t="s">
        <v>419</v>
      </c>
    </row>
    <row r="174" spans="1:12" x14ac:dyDescent="0.3">
      <c r="A174" s="2" t="s">
        <v>420</v>
      </c>
      <c r="B174" s="2" t="s">
        <v>49</v>
      </c>
      <c r="C174" s="2" t="s">
        <v>99</v>
      </c>
      <c r="D174" s="2" t="s">
        <v>51</v>
      </c>
      <c r="E174" s="2" t="s">
        <v>77</v>
      </c>
      <c r="F174" s="3">
        <v>2270000</v>
      </c>
      <c r="G174" s="2" t="s">
        <v>27</v>
      </c>
      <c r="H174" s="2" t="s">
        <v>28</v>
      </c>
      <c r="I174" s="2" t="s">
        <v>54</v>
      </c>
      <c r="J174" s="2" t="s">
        <v>72</v>
      </c>
      <c r="K174" s="2" t="s">
        <v>45</v>
      </c>
      <c r="L174" s="2" t="s">
        <v>230</v>
      </c>
    </row>
    <row r="175" spans="1:12" x14ac:dyDescent="0.3">
      <c r="A175" s="2" t="s">
        <v>421</v>
      </c>
      <c r="B175" s="2" t="s">
        <v>75</v>
      </c>
      <c r="C175" s="2" t="s">
        <v>139</v>
      </c>
      <c r="D175" s="2" t="s">
        <v>15</v>
      </c>
      <c r="E175" s="2" t="s">
        <v>16</v>
      </c>
      <c r="F175" s="3">
        <v>960000</v>
      </c>
      <c r="G175" s="2" t="s">
        <v>27</v>
      </c>
      <c r="H175" s="2" t="s">
        <v>28</v>
      </c>
      <c r="I175" s="2" t="s">
        <v>68</v>
      </c>
      <c r="J175" s="2" t="s">
        <v>19</v>
      </c>
      <c r="K175" s="2" t="s">
        <v>131</v>
      </c>
      <c r="L175" s="2" t="s">
        <v>422</v>
      </c>
    </row>
    <row r="176" spans="1:12" x14ac:dyDescent="0.3">
      <c r="A176" s="2" t="s">
        <v>423</v>
      </c>
      <c r="B176" s="2" t="s">
        <v>178</v>
      </c>
      <c r="C176" s="2" t="s">
        <v>106</v>
      </c>
      <c r="D176" s="2" t="s">
        <v>96</v>
      </c>
      <c r="E176" s="2" t="s">
        <v>37</v>
      </c>
      <c r="F176" s="3">
        <v>1745000</v>
      </c>
      <c r="G176" s="2" t="s">
        <v>27</v>
      </c>
      <c r="H176" s="2" t="s">
        <v>59</v>
      </c>
      <c r="I176" s="2" t="s">
        <v>38</v>
      </c>
      <c r="J176" s="2" t="s">
        <v>46</v>
      </c>
      <c r="K176" s="2" t="s">
        <v>131</v>
      </c>
      <c r="L176" s="2" t="s">
        <v>424</v>
      </c>
    </row>
    <row r="177" spans="1:12" x14ac:dyDescent="0.3">
      <c r="A177" s="2" t="s">
        <v>425</v>
      </c>
      <c r="B177" s="2" t="s">
        <v>13</v>
      </c>
      <c r="C177" s="2" t="s">
        <v>152</v>
      </c>
      <c r="D177" s="2" t="s">
        <v>36</v>
      </c>
      <c r="E177" s="2" t="s">
        <v>52</v>
      </c>
      <c r="F177" s="3">
        <v>525000</v>
      </c>
      <c r="G177" s="2" t="s">
        <v>27</v>
      </c>
      <c r="H177" s="2" t="s">
        <v>18</v>
      </c>
      <c r="I177" s="2" t="s">
        <v>72</v>
      </c>
      <c r="J177" s="2" t="s">
        <v>45</v>
      </c>
      <c r="K177" s="2" t="s">
        <v>103</v>
      </c>
      <c r="L177" s="2" t="s">
        <v>426</v>
      </c>
    </row>
    <row r="178" spans="1:12" x14ac:dyDescent="0.3">
      <c r="A178" s="2" t="s">
        <v>427</v>
      </c>
      <c r="B178" s="2" t="s">
        <v>34</v>
      </c>
      <c r="C178" s="2" t="s">
        <v>428</v>
      </c>
      <c r="D178" s="2" t="s">
        <v>36</v>
      </c>
      <c r="E178" s="2" t="s">
        <v>52</v>
      </c>
      <c r="F178" s="3">
        <v>315000</v>
      </c>
      <c r="G178" s="2" t="s">
        <v>53</v>
      </c>
      <c r="H178" s="2" t="s">
        <v>18</v>
      </c>
      <c r="I178" s="2" t="s">
        <v>21</v>
      </c>
      <c r="J178" s="2" t="s">
        <v>46</v>
      </c>
      <c r="K178" s="2" t="s">
        <v>103</v>
      </c>
      <c r="L178" s="2" t="s">
        <v>235</v>
      </c>
    </row>
    <row r="179" spans="1:12" x14ac:dyDescent="0.3">
      <c r="A179" s="2" t="s">
        <v>429</v>
      </c>
      <c r="B179" s="2" t="s">
        <v>178</v>
      </c>
      <c r="C179" s="2" t="s">
        <v>109</v>
      </c>
      <c r="D179" s="2" t="s">
        <v>71</v>
      </c>
      <c r="E179" s="2" t="s">
        <v>16</v>
      </c>
      <c r="F179" s="3">
        <v>620000</v>
      </c>
      <c r="G179" s="2" t="s">
        <v>27</v>
      </c>
      <c r="H179" s="2" t="s">
        <v>28</v>
      </c>
      <c r="I179" s="2" t="s">
        <v>29</v>
      </c>
      <c r="J179" s="2" t="s">
        <v>68</v>
      </c>
      <c r="K179" s="2" t="s">
        <v>20</v>
      </c>
      <c r="L179" s="2" t="s">
        <v>430</v>
      </c>
    </row>
    <row r="180" spans="1:12" x14ac:dyDescent="0.3">
      <c r="A180" s="2" t="s">
        <v>431</v>
      </c>
      <c r="B180" s="2" t="s">
        <v>13</v>
      </c>
      <c r="C180" s="2" t="s">
        <v>191</v>
      </c>
      <c r="D180" s="2" t="s">
        <v>81</v>
      </c>
      <c r="E180" s="2" t="s">
        <v>16</v>
      </c>
      <c r="F180" s="3">
        <v>540000</v>
      </c>
      <c r="G180" s="2" t="s">
        <v>27</v>
      </c>
      <c r="H180" s="2" t="s">
        <v>28</v>
      </c>
      <c r="I180" s="2" t="s">
        <v>54</v>
      </c>
      <c r="J180" s="2" t="s">
        <v>19</v>
      </c>
      <c r="K180" s="2" t="s">
        <v>72</v>
      </c>
      <c r="L180" s="2" t="s">
        <v>432</v>
      </c>
    </row>
    <row r="181" spans="1:12" x14ac:dyDescent="0.3">
      <c r="A181" s="2" t="s">
        <v>433</v>
      </c>
      <c r="B181" s="2" t="s">
        <v>49</v>
      </c>
      <c r="C181" s="2" t="s">
        <v>260</v>
      </c>
      <c r="D181" s="2" t="s">
        <v>64</v>
      </c>
      <c r="E181" s="2" t="s">
        <v>52</v>
      </c>
      <c r="F181" s="3">
        <v>680000</v>
      </c>
      <c r="G181" s="2" t="s">
        <v>17</v>
      </c>
      <c r="H181" s="2" t="s">
        <v>59</v>
      </c>
      <c r="I181" s="2" t="s">
        <v>54</v>
      </c>
      <c r="J181" s="2" t="s">
        <v>31</v>
      </c>
      <c r="K181" s="2" t="s">
        <v>68</v>
      </c>
      <c r="L181" s="2" t="s">
        <v>293</v>
      </c>
    </row>
    <row r="182" spans="1:12" x14ac:dyDescent="0.3">
      <c r="A182" s="2" t="s">
        <v>434</v>
      </c>
      <c r="B182" s="2" t="s">
        <v>149</v>
      </c>
      <c r="C182" s="2" t="s">
        <v>144</v>
      </c>
      <c r="D182" s="2" t="s">
        <v>76</v>
      </c>
      <c r="E182" s="2" t="s">
        <v>37</v>
      </c>
      <c r="F182" s="3">
        <v>1160000</v>
      </c>
      <c r="G182" s="2" t="s">
        <v>27</v>
      </c>
      <c r="H182" s="2" t="s">
        <v>28</v>
      </c>
      <c r="I182" s="2" t="s">
        <v>31</v>
      </c>
      <c r="J182" s="2" t="s">
        <v>19</v>
      </c>
      <c r="K182" s="2" t="s">
        <v>131</v>
      </c>
      <c r="L182" s="2" t="s">
        <v>415</v>
      </c>
    </row>
    <row r="183" spans="1:12" x14ac:dyDescent="0.3">
      <c r="A183" s="2" t="s">
        <v>435</v>
      </c>
      <c r="B183" s="2" t="s">
        <v>24</v>
      </c>
      <c r="C183" s="2" t="s">
        <v>188</v>
      </c>
      <c r="D183" s="2" t="s">
        <v>44</v>
      </c>
      <c r="E183" s="2" t="s">
        <v>116</v>
      </c>
      <c r="F183" s="3">
        <v>1585000</v>
      </c>
      <c r="G183" s="2" t="s">
        <v>27</v>
      </c>
      <c r="H183" s="2" t="s">
        <v>28</v>
      </c>
      <c r="I183" s="2" t="s">
        <v>103</v>
      </c>
      <c r="J183" s="2" t="s">
        <v>19</v>
      </c>
      <c r="K183" s="2" t="s">
        <v>29</v>
      </c>
      <c r="L183" s="2" t="s">
        <v>197</v>
      </c>
    </row>
    <row r="184" spans="1:12" x14ac:dyDescent="0.3">
      <c r="A184" s="2" t="s">
        <v>436</v>
      </c>
      <c r="B184" s="2" t="s">
        <v>62</v>
      </c>
      <c r="C184" s="2" t="s">
        <v>205</v>
      </c>
      <c r="D184" s="2" t="s">
        <v>44</v>
      </c>
      <c r="E184" s="2" t="s">
        <v>16</v>
      </c>
      <c r="F184" s="3">
        <v>535000</v>
      </c>
      <c r="G184" s="2" t="s">
        <v>27</v>
      </c>
      <c r="H184" s="2" t="s">
        <v>28</v>
      </c>
      <c r="I184" s="2" t="s">
        <v>45</v>
      </c>
      <c r="J184" s="2" t="s">
        <v>29</v>
      </c>
      <c r="K184" s="2" t="s">
        <v>46</v>
      </c>
      <c r="L184" s="2" t="s">
        <v>312</v>
      </c>
    </row>
    <row r="185" spans="1:12" x14ac:dyDescent="0.3">
      <c r="A185" s="2" t="s">
        <v>437</v>
      </c>
      <c r="B185" s="2" t="s">
        <v>75</v>
      </c>
      <c r="C185" s="2" t="s">
        <v>67</v>
      </c>
      <c r="D185" s="2" t="s">
        <v>76</v>
      </c>
      <c r="E185" s="2" t="s">
        <v>52</v>
      </c>
      <c r="F185" s="3">
        <v>685000</v>
      </c>
      <c r="G185" s="2" t="s">
        <v>27</v>
      </c>
      <c r="H185" s="2" t="s">
        <v>28</v>
      </c>
      <c r="I185" s="2" t="s">
        <v>31</v>
      </c>
      <c r="J185" s="2" t="s">
        <v>39</v>
      </c>
      <c r="K185" s="2" t="s">
        <v>45</v>
      </c>
      <c r="L185" s="2" t="s">
        <v>438</v>
      </c>
    </row>
    <row r="186" spans="1:12" x14ac:dyDescent="0.3">
      <c r="A186" s="2" t="s">
        <v>439</v>
      </c>
      <c r="B186" s="2" t="s">
        <v>49</v>
      </c>
      <c r="C186" s="2" t="s">
        <v>14</v>
      </c>
      <c r="D186" s="2" t="s">
        <v>26</v>
      </c>
      <c r="E186" s="2" t="s">
        <v>37</v>
      </c>
      <c r="F186" s="3">
        <v>2170000</v>
      </c>
      <c r="G186" s="2" t="s">
        <v>27</v>
      </c>
      <c r="H186" s="2" t="s">
        <v>59</v>
      </c>
      <c r="I186" s="2" t="s">
        <v>68</v>
      </c>
      <c r="J186" s="2" t="s">
        <v>20</v>
      </c>
      <c r="K186" s="2" t="s">
        <v>30</v>
      </c>
      <c r="L186" s="2" t="s">
        <v>359</v>
      </c>
    </row>
    <row r="187" spans="1:12" x14ac:dyDescent="0.3">
      <c r="A187" s="2" t="s">
        <v>440</v>
      </c>
      <c r="B187" s="2" t="s">
        <v>149</v>
      </c>
      <c r="C187" s="2" t="s">
        <v>441</v>
      </c>
      <c r="D187" s="2" t="s">
        <v>81</v>
      </c>
      <c r="E187" s="2" t="s">
        <v>16</v>
      </c>
      <c r="F187" s="3">
        <v>680000</v>
      </c>
      <c r="G187" s="2" t="s">
        <v>27</v>
      </c>
      <c r="H187" s="2" t="s">
        <v>18</v>
      </c>
      <c r="I187" s="2" t="s">
        <v>131</v>
      </c>
      <c r="J187" s="2" t="s">
        <v>38</v>
      </c>
      <c r="K187" s="2" t="s">
        <v>68</v>
      </c>
      <c r="L187" s="2" t="s">
        <v>442</v>
      </c>
    </row>
    <row r="188" spans="1:12" x14ac:dyDescent="0.3">
      <c r="A188" s="2" t="s">
        <v>443</v>
      </c>
      <c r="B188" s="2" t="s">
        <v>57</v>
      </c>
      <c r="C188" s="2" t="s">
        <v>249</v>
      </c>
      <c r="D188" s="2" t="s">
        <v>64</v>
      </c>
      <c r="E188" s="2" t="s">
        <v>116</v>
      </c>
      <c r="F188" s="3">
        <v>1425000</v>
      </c>
      <c r="G188" s="2" t="s">
        <v>27</v>
      </c>
      <c r="H188" s="2" t="s">
        <v>28</v>
      </c>
      <c r="I188" s="2" t="s">
        <v>131</v>
      </c>
      <c r="J188" s="2" t="s">
        <v>45</v>
      </c>
      <c r="K188" s="2" t="s">
        <v>103</v>
      </c>
      <c r="L188" s="2" t="s">
        <v>444</v>
      </c>
    </row>
    <row r="189" spans="1:12" x14ac:dyDescent="0.3">
      <c r="A189" s="2" t="s">
        <v>445</v>
      </c>
      <c r="B189" s="2" t="s">
        <v>49</v>
      </c>
      <c r="C189" s="2" t="s">
        <v>441</v>
      </c>
      <c r="D189" s="2" t="s">
        <v>71</v>
      </c>
      <c r="E189" s="2" t="s">
        <v>37</v>
      </c>
      <c r="F189" s="3">
        <v>2105000</v>
      </c>
      <c r="G189" s="2" t="s">
        <v>27</v>
      </c>
      <c r="H189" s="2" t="s">
        <v>18</v>
      </c>
      <c r="I189" s="2" t="s">
        <v>30</v>
      </c>
      <c r="J189" s="2" t="s">
        <v>19</v>
      </c>
      <c r="K189" s="2" t="s">
        <v>72</v>
      </c>
      <c r="L189" s="2" t="s">
        <v>88</v>
      </c>
    </row>
    <row r="190" spans="1:12" x14ac:dyDescent="0.3">
      <c r="A190" s="2" t="s">
        <v>446</v>
      </c>
      <c r="B190" s="2" t="s">
        <v>49</v>
      </c>
      <c r="C190" s="2" t="s">
        <v>99</v>
      </c>
      <c r="D190" s="2" t="s">
        <v>96</v>
      </c>
      <c r="E190" s="2" t="s">
        <v>37</v>
      </c>
      <c r="F190" s="3">
        <v>2105000</v>
      </c>
      <c r="G190" s="2" t="s">
        <v>17</v>
      </c>
      <c r="H190" s="2" t="s">
        <v>28</v>
      </c>
      <c r="I190" s="2" t="s">
        <v>31</v>
      </c>
      <c r="J190" s="2" t="s">
        <v>21</v>
      </c>
      <c r="K190" s="2" t="s">
        <v>54</v>
      </c>
      <c r="L190" s="2" t="s">
        <v>383</v>
      </c>
    </row>
    <row r="191" spans="1:12" x14ac:dyDescent="0.3">
      <c r="A191" s="2" t="s">
        <v>447</v>
      </c>
      <c r="B191" s="2" t="s">
        <v>178</v>
      </c>
      <c r="C191" s="2" t="s">
        <v>130</v>
      </c>
      <c r="D191" s="2" t="s">
        <v>44</v>
      </c>
      <c r="E191" s="2" t="s">
        <v>77</v>
      </c>
      <c r="F191" s="3">
        <v>4015000</v>
      </c>
      <c r="G191" s="2" t="s">
        <v>27</v>
      </c>
      <c r="H191" s="2" t="s">
        <v>28</v>
      </c>
      <c r="I191" s="2" t="s">
        <v>30</v>
      </c>
      <c r="J191" s="2" t="s">
        <v>20</v>
      </c>
      <c r="K191" s="2" t="s">
        <v>131</v>
      </c>
      <c r="L191" s="2" t="s">
        <v>225</v>
      </c>
    </row>
    <row r="192" spans="1:12" x14ac:dyDescent="0.3">
      <c r="A192" s="2" t="s">
        <v>448</v>
      </c>
      <c r="B192" s="2" t="s">
        <v>24</v>
      </c>
      <c r="C192" s="2" t="s">
        <v>84</v>
      </c>
      <c r="D192" s="2" t="s">
        <v>71</v>
      </c>
      <c r="E192" s="2" t="s">
        <v>52</v>
      </c>
      <c r="F192" s="3">
        <v>385000</v>
      </c>
      <c r="G192" s="2" t="s">
        <v>53</v>
      </c>
      <c r="H192" s="2" t="s">
        <v>28</v>
      </c>
      <c r="I192" s="2" t="s">
        <v>46</v>
      </c>
      <c r="J192" s="2" t="s">
        <v>45</v>
      </c>
      <c r="K192" s="2" t="s">
        <v>103</v>
      </c>
      <c r="L192" s="2" t="s">
        <v>266</v>
      </c>
    </row>
    <row r="193" spans="1:12" x14ac:dyDescent="0.3">
      <c r="A193" s="2" t="s">
        <v>449</v>
      </c>
      <c r="B193" s="2" t="s">
        <v>24</v>
      </c>
      <c r="C193" s="2" t="s">
        <v>220</v>
      </c>
      <c r="D193" s="2" t="s">
        <v>36</v>
      </c>
      <c r="E193" s="2" t="s">
        <v>16</v>
      </c>
      <c r="F193" s="3">
        <v>845000</v>
      </c>
      <c r="G193" s="2" t="s">
        <v>17</v>
      </c>
      <c r="H193" s="2" t="s">
        <v>59</v>
      </c>
      <c r="I193" s="2" t="s">
        <v>103</v>
      </c>
      <c r="J193" s="2" t="s">
        <v>39</v>
      </c>
      <c r="K193" s="2" t="s">
        <v>68</v>
      </c>
      <c r="L193" s="2" t="s">
        <v>450</v>
      </c>
    </row>
    <row r="194" spans="1:12" x14ac:dyDescent="0.3">
      <c r="A194" s="2" t="s">
        <v>451</v>
      </c>
      <c r="B194" s="2" t="s">
        <v>24</v>
      </c>
      <c r="C194" s="2" t="s">
        <v>217</v>
      </c>
      <c r="D194" s="2" t="s">
        <v>71</v>
      </c>
      <c r="E194" s="2" t="s">
        <v>16</v>
      </c>
      <c r="F194" s="3">
        <v>605000</v>
      </c>
      <c r="G194" s="2" t="s">
        <v>27</v>
      </c>
      <c r="H194" s="2" t="s">
        <v>18</v>
      </c>
      <c r="I194" s="2" t="s">
        <v>45</v>
      </c>
      <c r="J194" s="2" t="s">
        <v>21</v>
      </c>
      <c r="K194" s="2" t="s">
        <v>103</v>
      </c>
      <c r="L194" s="2" t="s">
        <v>452</v>
      </c>
    </row>
    <row r="195" spans="1:12" x14ac:dyDescent="0.3">
      <c r="A195" s="2" t="s">
        <v>453</v>
      </c>
      <c r="B195" s="2" t="s">
        <v>49</v>
      </c>
      <c r="C195" s="2" t="s">
        <v>271</v>
      </c>
      <c r="D195" s="2" t="s">
        <v>15</v>
      </c>
      <c r="E195" s="2" t="s">
        <v>52</v>
      </c>
      <c r="F195" s="3">
        <v>480000</v>
      </c>
      <c r="G195" s="2" t="s">
        <v>27</v>
      </c>
      <c r="H195" s="2" t="s">
        <v>28</v>
      </c>
      <c r="I195" s="2" t="s">
        <v>54</v>
      </c>
      <c r="J195" s="2" t="s">
        <v>31</v>
      </c>
      <c r="K195" s="2" t="s">
        <v>46</v>
      </c>
      <c r="L195" s="2" t="s">
        <v>117</v>
      </c>
    </row>
    <row r="196" spans="1:12" x14ac:dyDescent="0.3">
      <c r="A196" s="2" t="s">
        <v>454</v>
      </c>
      <c r="B196" s="2" t="s">
        <v>24</v>
      </c>
      <c r="C196" s="2" t="s">
        <v>295</v>
      </c>
      <c r="D196" s="2" t="s">
        <v>71</v>
      </c>
      <c r="E196" s="2" t="s">
        <v>16</v>
      </c>
      <c r="F196" s="3">
        <v>955000</v>
      </c>
      <c r="G196" s="2" t="s">
        <v>17</v>
      </c>
      <c r="H196" s="2" t="s">
        <v>59</v>
      </c>
      <c r="I196" s="2" t="s">
        <v>19</v>
      </c>
      <c r="J196" s="2" t="s">
        <v>103</v>
      </c>
      <c r="K196" s="2" t="s">
        <v>54</v>
      </c>
      <c r="L196" s="2" t="s">
        <v>455</v>
      </c>
    </row>
    <row r="197" spans="1:12" x14ac:dyDescent="0.3">
      <c r="A197" s="2" t="s">
        <v>456</v>
      </c>
      <c r="B197" s="2" t="s">
        <v>13</v>
      </c>
      <c r="C197" s="2" t="s">
        <v>441</v>
      </c>
      <c r="D197" s="2" t="s">
        <v>26</v>
      </c>
      <c r="E197" s="2" t="s">
        <v>16</v>
      </c>
      <c r="F197" s="3">
        <v>630000</v>
      </c>
      <c r="G197" s="2" t="s">
        <v>27</v>
      </c>
      <c r="H197" s="2" t="s">
        <v>59</v>
      </c>
      <c r="I197" s="2" t="s">
        <v>45</v>
      </c>
      <c r="J197" s="2" t="s">
        <v>21</v>
      </c>
      <c r="K197" s="2" t="s">
        <v>54</v>
      </c>
      <c r="L197" s="2" t="s">
        <v>223</v>
      </c>
    </row>
    <row r="198" spans="1:12" x14ac:dyDescent="0.3">
      <c r="A198" s="2" t="s">
        <v>457</v>
      </c>
      <c r="B198" s="2" t="s">
        <v>62</v>
      </c>
      <c r="C198" s="2" t="s">
        <v>125</v>
      </c>
      <c r="D198" s="2" t="s">
        <v>71</v>
      </c>
      <c r="E198" s="2" t="s">
        <v>52</v>
      </c>
      <c r="F198" s="3">
        <v>780000</v>
      </c>
      <c r="G198" s="2" t="s">
        <v>27</v>
      </c>
      <c r="H198" s="2" t="s">
        <v>18</v>
      </c>
      <c r="I198" s="2" t="s">
        <v>46</v>
      </c>
      <c r="J198" s="2" t="s">
        <v>30</v>
      </c>
      <c r="K198" s="2" t="s">
        <v>20</v>
      </c>
      <c r="L198" s="2" t="s">
        <v>262</v>
      </c>
    </row>
    <row r="199" spans="1:12" x14ac:dyDescent="0.3">
      <c r="A199" s="2" t="s">
        <v>458</v>
      </c>
      <c r="B199" s="2" t="s">
        <v>34</v>
      </c>
      <c r="C199" s="2" t="s">
        <v>112</v>
      </c>
      <c r="D199" s="2" t="s">
        <v>71</v>
      </c>
      <c r="E199" s="2" t="s">
        <v>37</v>
      </c>
      <c r="F199" s="3">
        <v>1850000</v>
      </c>
      <c r="G199" s="2" t="s">
        <v>27</v>
      </c>
      <c r="H199" s="2" t="s">
        <v>59</v>
      </c>
      <c r="I199" s="2" t="s">
        <v>103</v>
      </c>
      <c r="J199" s="2" t="s">
        <v>20</v>
      </c>
      <c r="K199" s="2" t="s">
        <v>30</v>
      </c>
      <c r="L199" s="2" t="s">
        <v>459</v>
      </c>
    </row>
    <row r="200" spans="1:12" x14ac:dyDescent="0.3">
      <c r="A200" s="2" t="s">
        <v>460</v>
      </c>
      <c r="B200" s="2" t="s">
        <v>49</v>
      </c>
      <c r="C200" s="2" t="s">
        <v>461</v>
      </c>
      <c r="D200" s="2" t="s">
        <v>44</v>
      </c>
      <c r="E200" s="2" t="s">
        <v>77</v>
      </c>
      <c r="F200" s="3">
        <v>3240000</v>
      </c>
      <c r="G200" s="2" t="s">
        <v>27</v>
      </c>
      <c r="H200" s="2" t="s">
        <v>28</v>
      </c>
      <c r="I200" s="2" t="s">
        <v>54</v>
      </c>
      <c r="J200" s="2" t="s">
        <v>19</v>
      </c>
      <c r="K200" s="2" t="s">
        <v>72</v>
      </c>
      <c r="L200" s="2" t="s">
        <v>462</v>
      </c>
    </row>
    <row r="201" spans="1:12" x14ac:dyDescent="0.3">
      <c r="A201" s="2" t="s">
        <v>463</v>
      </c>
      <c r="B201" s="2" t="s">
        <v>178</v>
      </c>
      <c r="C201" s="2" t="s">
        <v>283</v>
      </c>
      <c r="D201" s="2" t="s">
        <v>96</v>
      </c>
      <c r="E201" s="2" t="s">
        <v>16</v>
      </c>
      <c r="F201" s="3">
        <v>1005000</v>
      </c>
      <c r="G201" s="2" t="s">
        <v>27</v>
      </c>
      <c r="H201" s="2" t="s">
        <v>18</v>
      </c>
      <c r="I201" s="2" t="s">
        <v>29</v>
      </c>
      <c r="J201" s="2" t="s">
        <v>46</v>
      </c>
      <c r="K201" s="2" t="s">
        <v>45</v>
      </c>
      <c r="L201" s="2" t="s">
        <v>186</v>
      </c>
    </row>
    <row r="202" spans="1:12" x14ac:dyDescent="0.3">
      <c r="A202" s="2" t="s">
        <v>464</v>
      </c>
      <c r="B202" s="2" t="s">
        <v>13</v>
      </c>
      <c r="C202" s="2" t="s">
        <v>155</v>
      </c>
      <c r="D202" s="2" t="s">
        <v>96</v>
      </c>
      <c r="E202" s="2" t="s">
        <v>116</v>
      </c>
      <c r="F202" s="3">
        <v>1015000</v>
      </c>
      <c r="G202" s="2" t="s">
        <v>17</v>
      </c>
      <c r="H202" s="2" t="s">
        <v>18</v>
      </c>
      <c r="I202" s="2" t="s">
        <v>45</v>
      </c>
      <c r="J202" s="2" t="s">
        <v>72</v>
      </c>
      <c r="K202" s="2" t="s">
        <v>54</v>
      </c>
      <c r="L202" s="2" t="s">
        <v>126</v>
      </c>
    </row>
    <row r="203" spans="1:12" x14ac:dyDescent="0.3">
      <c r="A203" s="2" t="s">
        <v>465</v>
      </c>
      <c r="B203" s="2" t="s">
        <v>49</v>
      </c>
      <c r="C203" s="2" t="s">
        <v>115</v>
      </c>
      <c r="D203" s="2" t="s">
        <v>26</v>
      </c>
      <c r="E203" s="2" t="s">
        <v>16</v>
      </c>
      <c r="F203" s="3">
        <v>955000</v>
      </c>
      <c r="G203" s="2" t="s">
        <v>27</v>
      </c>
      <c r="H203" s="2" t="s">
        <v>28</v>
      </c>
      <c r="I203" s="2" t="s">
        <v>21</v>
      </c>
      <c r="J203" s="2" t="s">
        <v>54</v>
      </c>
      <c r="K203" s="2" t="s">
        <v>72</v>
      </c>
      <c r="L203" s="2" t="s">
        <v>466</v>
      </c>
    </row>
    <row r="204" spans="1:12" x14ac:dyDescent="0.3">
      <c r="A204" s="2" t="s">
        <v>467</v>
      </c>
      <c r="B204" s="2" t="s">
        <v>34</v>
      </c>
      <c r="C204" s="2" t="s">
        <v>144</v>
      </c>
      <c r="D204" s="2" t="s">
        <v>26</v>
      </c>
      <c r="E204" s="2" t="s">
        <v>37</v>
      </c>
      <c r="F204" s="3">
        <v>2025000</v>
      </c>
      <c r="G204" s="2" t="s">
        <v>27</v>
      </c>
      <c r="H204" s="2" t="s">
        <v>59</v>
      </c>
      <c r="I204" s="2" t="s">
        <v>72</v>
      </c>
      <c r="J204" s="2" t="s">
        <v>31</v>
      </c>
      <c r="K204" s="2" t="s">
        <v>103</v>
      </c>
      <c r="L204" s="2" t="s">
        <v>132</v>
      </c>
    </row>
    <row r="205" spans="1:12" x14ac:dyDescent="0.3">
      <c r="A205" s="2" t="s">
        <v>468</v>
      </c>
      <c r="B205" s="2" t="s">
        <v>42</v>
      </c>
      <c r="C205" s="2" t="s">
        <v>99</v>
      </c>
      <c r="D205" s="2" t="s">
        <v>64</v>
      </c>
      <c r="E205" s="2" t="s">
        <v>77</v>
      </c>
      <c r="F205" s="3">
        <v>2500000</v>
      </c>
      <c r="G205" s="2" t="s">
        <v>27</v>
      </c>
      <c r="H205" s="2" t="s">
        <v>28</v>
      </c>
      <c r="I205" s="2" t="s">
        <v>20</v>
      </c>
      <c r="J205" s="2" t="s">
        <v>54</v>
      </c>
      <c r="K205" s="2" t="s">
        <v>29</v>
      </c>
      <c r="L205" s="2" t="s">
        <v>469</v>
      </c>
    </row>
    <row r="206" spans="1:12" x14ac:dyDescent="0.3">
      <c r="A206" s="2" t="s">
        <v>470</v>
      </c>
      <c r="B206" s="2" t="s">
        <v>178</v>
      </c>
      <c r="C206" s="2" t="s">
        <v>87</v>
      </c>
      <c r="D206" s="2" t="s">
        <v>76</v>
      </c>
      <c r="E206" s="2" t="s">
        <v>116</v>
      </c>
      <c r="F206" s="3">
        <v>1680000</v>
      </c>
      <c r="G206" s="2" t="s">
        <v>27</v>
      </c>
      <c r="H206" s="2" t="s">
        <v>28</v>
      </c>
      <c r="I206" s="2" t="s">
        <v>21</v>
      </c>
      <c r="J206" s="2" t="s">
        <v>29</v>
      </c>
      <c r="K206" s="2" t="s">
        <v>38</v>
      </c>
      <c r="L206" s="2" t="s">
        <v>419</v>
      </c>
    </row>
    <row r="207" spans="1:12" x14ac:dyDescent="0.3">
      <c r="A207" s="2" t="s">
        <v>471</v>
      </c>
      <c r="B207" s="2" t="s">
        <v>57</v>
      </c>
      <c r="C207" s="2" t="s">
        <v>260</v>
      </c>
      <c r="D207" s="2" t="s">
        <v>71</v>
      </c>
      <c r="E207" s="2" t="s">
        <v>52</v>
      </c>
      <c r="F207" s="3">
        <v>360000</v>
      </c>
      <c r="G207" s="2" t="s">
        <v>17</v>
      </c>
      <c r="H207" s="2" t="s">
        <v>28</v>
      </c>
      <c r="I207" s="2" t="s">
        <v>54</v>
      </c>
      <c r="J207" s="2" t="s">
        <v>19</v>
      </c>
      <c r="K207" s="2" t="s">
        <v>21</v>
      </c>
      <c r="L207" s="2" t="s">
        <v>247</v>
      </c>
    </row>
    <row r="208" spans="1:12" x14ac:dyDescent="0.3">
      <c r="A208" s="2" t="s">
        <v>472</v>
      </c>
      <c r="B208" s="2" t="s">
        <v>149</v>
      </c>
      <c r="C208" s="2" t="s">
        <v>214</v>
      </c>
      <c r="D208" s="2" t="s">
        <v>44</v>
      </c>
      <c r="E208" s="2" t="s">
        <v>16</v>
      </c>
      <c r="F208" s="3">
        <v>655000</v>
      </c>
      <c r="G208" s="2" t="s">
        <v>27</v>
      </c>
      <c r="H208" s="2" t="s">
        <v>59</v>
      </c>
      <c r="I208" s="2" t="s">
        <v>72</v>
      </c>
      <c r="J208" s="2" t="s">
        <v>29</v>
      </c>
      <c r="K208" s="2" t="s">
        <v>46</v>
      </c>
      <c r="L208" s="2" t="s">
        <v>473</v>
      </c>
    </row>
    <row r="209" spans="1:12" x14ac:dyDescent="0.3">
      <c r="A209" s="2" t="s">
        <v>474</v>
      </c>
      <c r="B209" s="2" t="s">
        <v>49</v>
      </c>
      <c r="C209" s="2" t="s">
        <v>67</v>
      </c>
      <c r="D209" s="2" t="s">
        <v>36</v>
      </c>
      <c r="E209" s="2" t="s">
        <v>37</v>
      </c>
      <c r="F209" s="3">
        <v>1605000</v>
      </c>
      <c r="G209" s="2" t="s">
        <v>27</v>
      </c>
      <c r="H209" s="2" t="s">
        <v>28</v>
      </c>
      <c r="I209" s="2" t="s">
        <v>31</v>
      </c>
      <c r="J209" s="2" t="s">
        <v>131</v>
      </c>
      <c r="K209" s="2" t="s">
        <v>30</v>
      </c>
      <c r="L209" s="2" t="s">
        <v>438</v>
      </c>
    </row>
    <row r="210" spans="1:12" x14ac:dyDescent="0.3">
      <c r="A210" s="2" t="s">
        <v>475</v>
      </c>
      <c r="B210" s="2" t="s">
        <v>149</v>
      </c>
      <c r="C210" s="2" t="s">
        <v>461</v>
      </c>
      <c r="D210" s="2" t="s">
        <v>44</v>
      </c>
      <c r="E210" s="2" t="s">
        <v>116</v>
      </c>
      <c r="F210" s="3">
        <v>1545000</v>
      </c>
      <c r="G210" s="2" t="s">
        <v>27</v>
      </c>
      <c r="H210" s="2" t="s">
        <v>18</v>
      </c>
      <c r="I210" s="2" t="s">
        <v>45</v>
      </c>
      <c r="J210" s="2" t="s">
        <v>29</v>
      </c>
      <c r="K210" s="2" t="s">
        <v>131</v>
      </c>
      <c r="L210" s="2" t="s">
        <v>476</v>
      </c>
    </row>
    <row r="211" spans="1:12" x14ac:dyDescent="0.3">
      <c r="A211" s="2" t="s">
        <v>477</v>
      </c>
      <c r="B211" s="2" t="s">
        <v>57</v>
      </c>
      <c r="C211" s="2" t="s">
        <v>106</v>
      </c>
      <c r="D211" s="2" t="s">
        <v>64</v>
      </c>
      <c r="E211" s="2" t="s">
        <v>37</v>
      </c>
      <c r="F211" s="3">
        <v>1220000</v>
      </c>
      <c r="G211" s="2" t="s">
        <v>17</v>
      </c>
      <c r="H211" s="2" t="s">
        <v>28</v>
      </c>
      <c r="I211" s="2" t="s">
        <v>45</v>
      </c>
      <c r="J211" s="2" t="s">
        <v>54</v>
      </c>
      <c r="K211" s="2" t="s">
        <v>21</v>
      </c>
      <c r="L211" s="2" t="s">
        <v>184</v>
      </c>
    </row>
    <row r="212" spans="1:12" x14ac:dyDescent="0.3">
      <c r="A212" s="2" t="s">
        <v>478</v>
      </c>
      <c r="B212" s="2" t="s">
        <v>57</v>
      </c>
      <c r="C212" s="2" t="s">
        <v>172</v>
      </c>
      <c r="D212" s="2" t="s">
        <v>81</v>
      </c>
      <c r="E212" s="2" t="s">
        <v>52</v>
      </c>
      <c r="F212" s="3">
        <v>535000</v>
      </c>
      <c r="G212" s="2" t="s">
        <v>27</v>
      </c>
      <c r="H212" s="2" t="s">
        <v>28</v>
      </c>
      <c r="I212" s="2" t="s">
        <v>72</v>
      </c>
      <c r="J212" s="2" t="s">
        <v>68</v>
      </c>
      <c r="K212" s="2" t="s">
        <v>31</v>
      </c>
      <c r="L212" s="2" t="s">
        <v>291</v>
      </c>
    </row>
    <row r="213" spans="1:12" x14ac:dyDescent="0.3">
      <c r="A213" s="2" t="s">
        <v>479</v>
      </c>
      <c r="B213" s="2" t="s">
        <v>49</v>
      </c>
      <c r="C213" s="2" t="s">
        <v>249</v>
      </c>
      <c r="D213" s="2" t="s">
        <v>51</v>
      </c>
      <c r="E213" s="2" t="s">
        <v>16</v>
      </c>
      <c r="F213" s="3">
        <v>805000</v>
      </c>
      <c r="G213" s="2" t="s">
        <v>27</v>
      </c>
      <c r="H213" s="2" t="s">
        <v>28</v>
      </c>
      <c r="I213" s="2" t="s">
        <v>29</v>
      </c>
      <c r="J213" s="2" t="s">
        <v>72</v>
      </c>
      <c r="K213" s="2" t="s">
        <v>38</v>
      </c>
      <c r="L213" s="2" t="s">
        <v>480</v>
      </c>
    </row>
    <row r="214" spans="1:12" x14ac:dyDescent="0.3">
      <c r="A214" s="2" t="s">
        <v>481</v>
      </c>
      <c r="B214" s="2" t="s">
        <v>24</v>
      </c>
      <c r="C214" s="2" t="s">
        <v>112</v>
      </c>
      <c r="D214" s="2" t="s">
        <v>71</v>
      </c>
      <c r="E214" s="2" t="s">
        <v>52</v>
      </c>
      <c r="F214" s="3">
        <v>290000</v>
      </c>
      <c r="G214" s="2" t="s">
        <v>53</v>
      </c>
      <c r="H214" s="2" t="s">
        <v>28</v>
      </c>
      <c r="I214" s="2" t="s">
        <v>103</v>
      </c>
      <c r="J214" s="2" t="s">
        <v>21</v>
      </c>
      <c r="K214" s="2" t="s">
        <v>45</v>
      </c>
      <c r="L214" s="2" t="s">
        <v>482</v>
      </c>
    </row>
    <row r="215" spans="1:12" x14ac:dyDescent="0.3">
      <c r="A215" s="2" t="s">
        <v>483</v>
      </c>
      <c r="B215" s="2" t="s">
        <v>75</v>
      </c>
      <c r="C215" s="2" t="s">
        <v>321</v>
      </c>
      <c r="D215" s="2" t="s">
        <v>64</v>
      </c>
      <c r="E215" s="2" t="s">
        <v>52</v>
      </c>
      <c r="F215" s="3">
        <v>435000</v>
      </c>
      <c r="G215" s="2" t="s">
        <v>27</v>
      </c>
      <c r="H215" s="2" t="s">
        <v>28</v>
      </c>
      <c r="I215" s="2" t="s">
        <v>21</v>
      </c>
      <c r="J215" s="2" t="s">
        <v>19</v>
      </c>
      <c r="K215" s="2" t="s">
        <v>54</v>
      </c>
      <c r="L215" s="2" t="s">
        <v>401</v>
      </c>
    </row>
    <row r="216" spans="1:12" x14ac:dyDescent="0.3">
      <c r="A216" s="2" t="s">
        <v>484</v>
      </c>
      <c r="B216" s="2" t="s">
        <v>49</v>
      </c>
      <c r="C216" s="2" t="s">
        <v>163</v>
      </c>
      <c r="D216" s="2" t="s">
        <v>76</v>
      </c>
      <c r="E216" s="2" t="s">
        <v>77</v>
      </c>
      <c r="F216" s="3">
        <v>1620000</v>
      </c>
      <c r="G216" s="2" t="s">
        <v>27</v>
      </c>
      <c r="H216" s="2" t="s">
        <v>28</v>
      </c>
      <c r="I216" s="2" t="s">
        <v>29</v>
      </c>
      <c r="J216" s="2" t="s">
        <v>45</v>
      </c>
      <c r="K216" s="2" t="s">
        <v>31</v>
      </c>
      <c r="L216" s="2" t="s">
        <v>438</v>
      </c>
    </row>
    <row r="217" spans="1:12" x14ac:dyDescent="0.3">
      <c r="A217" s="2" t="s">
        <v>485</v>
      </c>
      <c r="B217" s="2" t="s">
        <v>62</v>
      </c>
      <c r="C217" s="2" t="s">
        <v>109</v>
      </c>
      <c r="D217" s="2" t="s">
        <v>81</v>
      </c>
      <c r="E217" s="2" t="s">
        <v>77</v>
      </c>
      <c r="F217" s="3">
        <v>3110000</v>
      </c>
      <c r="G217" s="2" t="s">
        <v>27</v>
      </c>
      <c r="H217" s="2" t="s">
        <v>59</v>
      </c>
      <c r="I217" s="2" t="s">
        <v>46</v>
      </c>
      <c r="J217" s="2" t="s">
        <v>29</v>
      </c>
      <c r="K217" s="2" t="s">
        <v>20</v>
      </c>
      <c r="L217" s="2" t="s">
        <v>486</v>
      </c>
    </row>
    <row r="218" spans="1:12" x14ac:dyDescent="0.3">
      <c r="A218" s="2" t="s">
        <v>487</v>
      </c>
      <c r="B218" s="2" t="s">
        <v>75</v>
      </c>
      <c r="C218" s="2" t="s">
        <v>102</v>
      </c>
      <c r="D218" s="2" t="s">
        <v>64</v>
      </c>
      <c r="E218" s="2" t="s">
        <v>37</v>
      </c>
      <c r="F218" s="3">
        <v>1415000</v>
      </c>
      <c r="G218" s="2" t="s">
        <v>27</v>
      </c>
      <c r="H218" s="2" t="s">
        <v>28</v>
      </c>
      <c r="I218" s="2" t="s">
        <v>45</v>
      </c>
      <c r="J218" s="2" t="s">
        <v>31</v>
      </c>
      <c r="K218" s="2" t="s">
        <v>68</v>
      </c>
      <c r="L218" s="2" t="s">
        <v>297</v>
      </c>
    </row>
    <row r="219" spans="1:12" x14ac:dyDescent="0.3">
      <c r="A219" s="2" t="s">
        <v>488</v>
      </c>
      <c r="B219" s="2" t="s">
        <v>42</v>
      </c>
      <c r="C219" s="2" t="s">
        <v>260</v>
      </c>
      <c r="D219" s="2" t="s">
        <v>71</v>
      </c>
      <c r="E219" s="2" t="s">
        <v>52</v>
      </c>
      <c r="F219" s="3">
        <v>500000</v>
      </c>
      <c r="G219" s="2" t="s">
        <v>17</v>
      </c>
      <c r="H219" s="2" t="s">
        <v>28</v>
      </c>
      <c r="I219" s="2" t="s">
        <v>68</v>
      </c>
      <c r="J219" s="2" t="s">
        <v>45</v>
      </c>
      <c r="K219" s="2" t="s">
        <v>39</v>
      </c>
      <c r="L219" s="2" t="s">
        <v>489</v>
      </c>
    </row>
    <row r="220" spans="1:12" x14ac:dyDescent="0.3">
      <c r="A220" s="2" t="s">
        <v>490</v>
      </c>
      <c r="B220" s="2" t="s">
        <v>24</v>
      </c>
      <c r="C220" s="2" t="s">
        <v>286</v>
      </c>
      <c r="D220" s="2" t="s">
        <v>26</v>
      </c>
      <c r="E220" s="2" t="s">
        <v>52</v>
      </c>
      <c r="F220" s="3">
        <v>670000</v>
      </c>
      <c r="G220" s="2" t="s">
        <v>27</v>
      </c>
      <c r="H220" s="2" t="s">
        <v>28</v>
      </c>
      <c r="I220" s="2" t="s">
        <v>19</v>
      </c>
      <c r="J220" s="2" t="s">
        <v>46</v>
      </c>
      <c r="K220" s="2" t="s">
        <v>68</v>
      </c>
      <c r="L220" s="2" t="s">
        <v>297</v>
      </c>
    </row>
    <row r="221" spans="1:12" x14ac:dyDescent="0.3">
      <c r="A221" s="2" t="s">
        <v>491</v>
      </c>
      <c r="B221" s="2" t="s">
        <v>149</v>
      </c>
      <c r="C221" s="2" t="s">
        <v>260</v>
      </c>
      <c r="D221" s="2" t="s">
        <v>44</v>
      </c>
      <c r="E221" s="2" t="s">
        <v>16</v>
      </c>
      <c r="F221" s="3">
        <v>1010000</v>
      </c>
      <c r="G221" s="2" t="s">
        <v>27</v>
      </c>
      <c r="H221" s="2" t="s">
        <v>28</v>
      </c>
      <c r="I221" s="2" t="s">
        <v>20</v>
      </c>
      <c r="J221" s="2" t="s">
        <v>19</v>
      </c>
      <c r="K221" s="2" t="s">
        <v>131</v>
      </c>
      <c r="L221" s="2" t="s">
        <v>289</v>
      </c>
    </row>
    <row r="222" spans="1:12" x14ac:dyDescent="0.3">
      <c r="A222" s="2" t="s">
        <v>492</v>
      </c>
      <c r="B222" s="2" t="s">
        <v>42</v>
      </c>
      <c r="C222" s="2" t="s">
        <v>357</v>
      </c>
      <c r="D222" s="2" t="s">
        <v>44</v>
      </c>
      <c r="E222" s="2" t="s">
        <v>116</v>
      </c>
      <c r="F222" s="3">
        <v>1120000</v>
      </c>
      <c r="G222" s="2" t="s">
        <v>27</v>
      </c>
      <c r="H222" s="2" t="s">
        <v>59</v>
      </c>
      <c r="I222" s="2" t="s">
        <v>54</v>
      </c>
      <c r="J222" s="2" t="s">
        <v>39</v>
      </c>
      <c r="K222" s="2" t="s">
        <v>68</v>
      </c>
      <c r="L222" s="2" t="s">
        <v>493</v>
      </c>
    </row>
    <row r="223" spans="1:12" x14ac:dyDescent="0.3">
      <c r="A223" s="2" t="s">
        <v>494</v>
      </c>
      <c r="B223" s="2" t="s">
        <v>178</v>
      </c>
      <c r="C223" s="2" t="s">
        <v>139</v>
      </c>
      <c r="D223" s="2" t="s">
        <v>96</v>
      </c>
      <c r="E223" s="2" t="s">
        <v>52</v>
      </c>
      <c r="F223" s="3">
        <v>725000</v>
      </c>
      <c r="G223" s="2" t="s">
        <v>27</v>
      </c>
      <c r="H223" s="2" t="s">
        <v>59</v>
      </c>
      <c r="I223" s="2" t="s">
        <v>68</v>
      </c>
      <c r="J223" s="2" t="s">
        <v>38</v>
      </c>
      <c r="K223" s="2" t="s">
        <v>131</v>
      </c>
      <c r="L223" s="2" t="s">
        <v>209</v>
      </c>
    </row>
    <row r="224" spans="1:12" x14ac:dyDescent="0.3">
      <c r="A224" s="2" t="s">
        <v>495</v>
      </c>
      <c r="B224" s="2" t="s">
        <v>42</v>
      </c>
      <c r="C224" s="2" t="s">
        <v>461</v>
      </c>
      <c r="D224" s="2" t="s">
        <v>96</v>
      </c>
      <c r="E224" s="2" t="s">
        <v>52</v>
      </c>
      <c r="F224" s="3">
        <v>430000</v>
      </c>
      <c r="G224" s="2" t="s">
        <v>27</v>
      </c>
      <c r="H224" s="2" t="s">
        <v>28</v>
      </c>
      <c r="I224" s="2" t="s">
        <v>38</v>
      </c>
      <c r="J224" s="2" t="s">
        <v>45</v>
      </c>
      <c r="K224" s="2" t="s">
        <v>30</v>
      </c>
      <c r="L224" s="2" t="s">
        <v>496</v>
      </c>
    </row>
    <row r="225" spans="1:12" x14ac:dyDescent="0.3">
      <c r="A225" s="2" t="s">
        <v>497</v>
      </c>
      <c r="B225" s="2" t="s">
        <v>24</v>
      </c>
      <c r="C225" s="2" t="s">
        <v>338</v>
      </c>
      <c r="D225" s="2" t="s">
        <v>64</v>
      </c>
      <c r="E225" s="2" t="s">
        <v>77</v>
      </c>
      <c r="F225" s="3">
        <v>2370000</v>
      </c>
      <c r="G225" s="2" t="s">
        <v>27</v>
      </c>
      <c r="H225" s="2" t="s">
        <v>28</v>
      </c>
      <c r="I225" s="2" t="s">
        <v>103</v>
      </c>
      <c r="J225" s="2" t="s">
        <v>19</v>
      </c>
      <c r="K225" s="2" t="s">
        <v>20</v>
      </c>
      <c r="L225" s="2" t="s">
        <v>498</v>
      </c>
    </row>
    <row r="226" spans="1:12" x14ac:dyDescent="0.3">
      <c r="A226" s="2" t="s">
        <v>499</v>
      </c>
      <c r="B226" s="2" t="s">
        <v>13</v>
      </c>
      <c r="C226" s="2" t="s">
        <v>175</v>
      </c>
      <c r="D226" s="2" t="s">
        <v>15</v>
      </c>
      <c r="E226" s="2" t="s">
        <v>52</v>
      </c>
      <c r="F226" s="3">
        <v>770000</v>
      </c>
      <c r="G226" s="2" t="s">
        <v>27</v>
      </c>
      <c r="H226" s="2" t="s">
        <v>18</v>
      </c>
      <c r="I226" s="2" t="s">
        <v>21</v>
      </c>
      <c r="J226" s="2" t="s">
        <v>29</v>
      </c>
      <c r="K226" s="2" t="s">
        <v>54</v>
      </c>
      <c r="L226" s="2" t="s">
        <v>212</v>
      </c>
    </row>
    <row r="227" spans="1:12" x14ac:dyDescent="0.3">
      <c r="A227" s="2" t="s">
        <v>500</v>
      </c>
      <c r="B227" s="2" t="s">
        <v>24</v>
      </c>
      <c r="C227" s="2" t="s">
        <v>80</v>
      </c>
      <c r="D227" s="2" t="s">
        <v>64</v>
      </c>
      <c r="E227" s="2" t="s">
        <v>16</v>
      </c>
      <c r="F227" s="3">
        <v>770000</v>
      </c>
      <c r="G227" s="2" t="s">
        <v>27</v>
      </c>
      <c r="H227" s="2" t="s">
        <v>18</v>
      </c>
      <c r="I227" s="2" t="s">
        <v>39</v>
      </c>
      <c r="J227" s="2" t="s">
        <v>103</v>
      </c>
      <c r="K227" s="2" t="s">
        <v>19</v>
      </c>
      <c r="L227" s="2" t="s">
        <v>245</v>
      </c>
    </row>
    <row r="228" spans="1:12" x14ac:dyDescent="0.3">
      <c r="A228" s="2" t="s">
        <v>501</v>
      </c>
      <c r="B228" s="2" t="s">
        <v>49</v>
      </c>
      <c r="C228" s="2" t="s">
        <v>115</v>
      </c>
      <c r="D228" s="2" t="s">
        <v>15</v>
      </c>
      <c r="E228" s="2" t="s">
        <v>52</v>
      </c>
      <c r="F228" s="3">
        <v>290000</v>
      </c>
      <c r="G228" s="2" t="s">
        <v>53</v>
      </c>
      <c r="H228" s="2" t="s">
        <v>28</v>
      </c>
      <c r="I228" s="2" t="s">
        <v>31</v>
      </c>
      <c r="J228" s="2" t="s">
        <v>29</v>
      </c>
      <c r="K228" s="2" t="s">
        <v>68</v>
      </c>
      <c r="L228" s="2" t="s">
        <v>442</v>
      </c>
    </row>
    <row r="229" spans="1:12" x14ac:dyDescent="0.3">
      <c r="A229" s="2" t="s">
        <v>502</v>
      </c>
      <c r="B229" s="2" t="s">
        <v>57</v>
      </c>
      <c r="C229" s="2" t="s">
        <v>119</v>
      </c>
      <c r="D229" s="2" t="s">
        <v>64</v>
      </c>
      <c r="E229" s="2" t="s">
        <v>116</v>
      </c>
      <c r="F229" s="3">
        <v>1495000</v>
      </c>
      <c r="G229" s="2" t="s">
        <v>27</v>
      </c>
      <c r="H229" s="2" t="s">
        <v>28</v>
      </c>
      <c r="I229" s="2" t="s">
        <v>29</v>
      </c>
      <c r="J229" s="2" t="s">
        <v>72</v>
      </c>
      <c r="K229" s="2" t="s">
        <v>39</v>
      </c>
      <c r="L229" s="2" t="s">
        <v>482</v>
      </c>
    </row>
    <row r="230" spans="1:12" x14ac:dyDescent="0.3">
      <c r="A230" s="2" t="s">
        <v>503</v>
      </c>
      <c r="B230" s="2" t="s">
        <v>24</v>
      </c>
      <c r="C230" s="2" t="s">
        <v>87</v>
      </c>
      <c r="D230" s="2" t="s">
        <v>15</v>
      </c>
      <c r="E230" s="2" t="s">
        <v>52</v>
      </c>
      <c r="F230" s="3">
        <v>585000</v>
      </c>
      <c r="G230" s="2" t="s">
        <v>27</v>
      </c>
      <c r="H230" s="2" t="s">
        <v>28</v>
      </c>
      <c r="I230" s="2" t="s">
        <v>19</v>
      </c>
      <c r="J230" s="2" t="s">
        <v>21</v>
      </c>
      <c r="K230" s="2" t="s">
        <v>131</v>
      </c>
      <c r="L230" s="2" t="s">
        <v>279</v>
      </c>
    </row>
    <row r="231" spans="1:12" x14ac:dyDescent="0.3">
      <c r="A231" s="2" t="s">
        <v>504</v>
      </c>
      <c r="B231" s="2" t="s">
        <v>149</v>
      </c>
      <c r="C231" s="2" t="s">
        <v>205</v>
      </c>
      <c r="D231" s="2" t="s">
        <v>15</v>
      </c>
      <c r="E231" s="2" t="s">
        <v>52</v>
      </c>
      <c r="F231" s="3">
        <v>755000</v>
      </c>
      <c r="G231" s="2" t="s">
        <v>27</v>
      </c>
      <c r="H231" s="2" t="s">
        <v>59</v>
      </c>
      <c r="I231" s="2" t="s">
        <v>72</v>
      </c>
      <c r="J231" s="2" t="s">
        <v>31</v>
      </c>
      <c r="K231" s="2" t="s">
        <v>131</v>
      </c>
      <c r="L231" s="2" t="s">
        <v>505</v>
      </c>
    </row>
    <row r="232" spans="1:12" x14ac:dyDescent="0.3">
      <c r="A232" s="2" t="s">
        <v>506</v>
      </c>
      <c r="B232" s="2" t="s">
        <v>178</v>
      </c>
      <c r="C232" s="2" t="s">
        <v>58</v>
      </c>
      <c r="D232" s="2" t="s">
        <v>64</v>
      </c>
      <c r="E232" s="2" t="s">
        <v>37</v>
      </c>
      <c r="F232" s="3">
        <v>1415000</v>
      </c>
      <c r="G232" s="2" t="s">
        <v>27</v>
      </c>
      <c r="H232" s="2" t="s">
        <v>28</v>
      </c>
      <c r="I232" s="2" t="s">
        <v>20</v>
      </c>
      <c r="J232" s="2" t="s">
        <v>46</v>
      </c>
      <c r="K232" s="2" t="s">
        <v>21</v>
      </c>
      <c r="L232" s="2" t="s">
        <v>507</v>
      </c>
    </row>
    <row r="233" spans="1:12" x14ac:dyDescent="0.3">
      <c r="A233" s="2" t="s">
        <v>508</v>
      </c>
      <c r="B233" s="2" t="s">
        <v>62</v>
      </c>
      <c r="C233" s="2" t="s">
        <v>95</v>
      </c>
      <c r="D233" s="2" t="s">
        <v>44</v>
      </c>
      <c r="E233" s="2" t="s">
        <v>77</v>
      </c>
      <c r="F233" s="3">
        <v>2750000</v>
      </c>
      <c r="G233" s="2" t="s">
        <v>27</v>
      </c>
      <c r="H233" s="2" t="s">
        <v>28</v>
      </c>
      <c r="I233" s="2" t="s">
        <v>68</v>
      </c>
      <c r="J233" s="2" t="s">
        <v>46</v>
      </c>
      <c r="K233" s="2" t="s">
        <v>20</v>
      </c>
      <c r="L233" s="2" t="s">
        <v>430</v>
      </c>
    </row>
    <row r="234" spans="1:12" x14ac:dyDescent="0.3">
      <c r="A234" s="2" t="s">
        <v>509</v>
      </c>
      <c r="B234" s="2" t="s">
        <v>34</v>
      </c>
      <c r="C234" s="2" t="s">
        <v>214</v>
      </c>
      <c r="D234" s="2" t="s">
        <v>44</v>
      </c>
      <c r="E234" s="2" t="s">
        <v>16</v>
      </c>
      <c r="F234" s="3">
        <v>885000</v>
      </c>
      <c r="G234" s="2" t="s">
        <v>27</v>
      </c>
      <c r="H234" s="2" t="s">
        <v>59</v>
      </c>
      <c r="I234" s="2" t="s">
        <v>20</v>
      </c>
      <c r="J234" s="2" t="s">
        <v>38</v>
      </c>
      <c r="K234" s="2" t="s">
        <v>29</v>
      </c>
      <c r="L234" s="2" t="s">
        <v>510</v>
      </c>
    </row>
    <row r="235" spans="1:12" x14ac:dyDescent="0.3">
      <c r="A235" s="2" t="s">
        <v>511</v>
      </c>
      <c r="B235" s="2" t="s">
        <v>149</v>
      </c>
      <c r="C235" s="2" t="s">
        <v>106</v>
      </c>
      <c r="D235" s="2" t="s">
        <v>51</v>
      </c>
      <c r="E235" s="2" t="s">
        <v>37</v>
      </c>
      <c r="F235" s="3">
        <v>1540000</v>
      </c>
      <c r="G235" s="2" t="s">
        <v>27</v>
      </c>
      <c r="H235" s="2" t="s">
        <v>18</v>
      </c>
      <c r="I235" s="2" t="s">
        <v>68</v>
      </c>
      <c r="J235" s="2" t="s">
        <v>19</v>
      </c>
      <c r="K235" s="2" t="s">
        <v>45</v>
      </c>
      <c r="L235" s="2" t="s">
        <v>415</v>
      </c>
    </row>
    <row r="236" spans="1:12" x14ac:dyDescent="0.3">
      <c r="A236" s="2" t="s">
        <v>512</v>
      </c>
      <c r="B236" s="2" t="s">
        <v>24</v>
      </c>
      <c r="C236" s="2" t="s">
        <v>58</v>
      </c>
      <c r="D236" s="2" t="s">
        <v>71</v>
      </c>
      <c r="E236" s="2" t="s">
        <v>52</v>
      </c>
      <c r="F236" s="3">
        <v>285000</v>
      </c>
      <c r="G236" s="2" t="s">
        <v>53</v>
      </c>
      <c r="H236" s="2" t="s">
        <v>28</v>
      </c>
      <c r="I236" s="2" t="s">
        <v>45</v>
      </c>
      <c r="J236" s="2" t="s">
        <v>39</v>
      </c>
      <c r="K236" s="2" t="s">
        <v>103</v>
      </c>
      <c r="L236" s="2" t="s">
        <v>147</v>
      </c>
    </row>
    <row r="237" spans="1:12" x14ac:dyDescent="0.3">
      <c r="A237" s="2" t="s">
        <v>513</v>
      </c>
      <c r="B237" s="2" t="s">
        <v>75</v>
      </c>
      <c r="C237" s="2" t="s">
        <v>119</v>
      </c>
      <c r="D237" s="2" t="s">
        <v>36</v>
      </c>
      <c r="E237" s="2" t="s">
        <v>77</v>
      </c>
      <c r="F237" s="3">
        <v>1820000</v>
      </c>
      <c r="G237" s="2" t="s">
        <v>27</v>
      </c>
      <c r="H237" s="2" t="s">
        <v>28</v>
      </c>
      <c r="I237" s="2" t="s">
        <v>72</v>
      </c>
      <c r="J237" s="2" t="s">
        <v>54</v>
      </c>
      <c r="K237" s="2" t="s">
        <v>45</v>
      </c>
      <c r="L237" s="2" t="s">
        <v>332</v>
      </c>
    </row>
    <row r="238" spans="1:12" x14ac:dyDescent="0.3">
      <c r="A238" s="2" t="s">
        <v>514</v>
      </c>
      <c r="B238" s="2" t="s">
        <v>42</v>
      </c>
      <c r="C238" s="2" t="s">
        <v>25</v>
      </c>
      <c r="D238" s="2" t="s">
        <v>26</v>
      </c>
      <c r="E238" s="2" t="s">
        <v>52</v>
      </c>
      <c r="F238" s="3">
        <v>740000</v>
      </c>
      <c r="G238" s="2" t="s">
        <v>27</v>
      </c>
      <c r="H238" s="2" t="s">
        <v>18</v>
      </c>
      <c r="I238" s="2" t="s">
        <v>29</v>
      </c>
      <c r="J238" s="2" t="s">
        <v>31</v>
      </c>
      <c r="K238" s="2" t="s">
        <v>68</v>
      </c>
      <c r="L238" s="2" t="s">
        <v>515</v>
      </c>
    </row>
    <row r="239" spans="1:12" x14ac:dyDescent="0.3">
      <c r="A239" s="2" t="s">
        <v>516</v>
      </c>
      <c r="B239" s="2" t="s">
        <v>42</v>
      </c>
      <c r="C239" s="2" t="s">
        <v>115</v>
      </c>
      <c r="D239" s="2" t="s">
        <v>51</v>
      </c>
      <c r="E239" s="2" t="s">
        <v>116</v>
      </c>
      <c r="F239" s="3">
        <v>885000</v>
      </c>
      <c r="G239" s="2" t="s">
        <v>27</v>
      </c>
      <c r="H239" s="2" t="s">
        <v>28</v>
      </c>
      <c r="I239" s="2" t="s">
        <v>45</v>
      </c>
      <c r="J239" s="2" t="s">
        <v>54</v>
      </c>
      <c r="K239" s="2" t="s">
        <v>20</v>
      </c>
      <c r="L239" s="2" t="s">
        <v>182</v>
      </c>
    </row>
    <row r="240" spans="1:12" x14ac:dyDescent="0.3">
      <c r="A240" s="2" t="s">
        <v>517</v>
      </c>
      <c r="B240" s="2" t="s">
        <v>178</v>
      </c>
      <c r="C240" s="2" t="s">
        <v>268</v>
      </c>
      <c r="D240" s="2" t="s">
        <v>44</v>
      </c>
      <c r="E240" s="2" t="s">
        <v>77</v>
      </c>
      <c r="F240" s="3">
        <v>2015000</v>
      </c>
      <c r="G240" s="2" t="s">
        <v>27</v>
      </c>
      <c r="H240" s="2" t="s">
        <v>28</v>
      </c>
      <c r="I240" s="2" t="s">
        <v>19</v>
      </c>
      <c r="J240" s="2" t="s">
        <v>68</v>
      </c>
      <c r="K240" s="2" t="s">
        <v>46</v>
      </c>
      <c r="L240" s="2" t="s">
        <v>364</v>
      </c>
    </row>
    <row r="241" spans="1:12" x14ac:dyDescent="0.3">
      <c r="A241" s="2" t="s">
        <v>518</v>
      </c>
      <c r="B241" s="2" t="s">
        <v>34</v>
      </c>
      <c r="C241" s="2" t="s">
        <v>181</v>
      </c>
      <c r="D241" s="2" t="s">
        <v>64</v>
      </c>
      <c r="E241" s="2" t="s">
        <v>116</v>
      </c>
      <c r="F241" s="3">
        <v>845000</v>
      </c>
      <c r="G241" s="2" t="s">
        <v>27</v>
      </c>
      <c r="H241" s="2" t="s">
        <v>28</v>
      </c>
      <c r="I241" s="2" t="s">
        <v>38</v>
      </c>
      <c r="J241" s="2" t="s">
        <v>103</v>
      </c>
      <c r="K241" s="2" t="s">
        <v>30</v>
      </c>
      <c r="L241" s="2" t="s">
        <v>519</v>
      </c>
    </row>
    <row r="242" spans="1:12" x14ac:dyDescent="0.3">
      <c r="A242" s="2" t="s">
        <v>520</v>
      </c>
      <c r="B242" s="2" t="s">
        <v>57</v>
      </c>
      <c r="C242" s="2" t="s">
        <v>211</v>
      </c>
      <c r="D242" s="2" t="s">
        <v>26</v>
      </c>
      <c r="E242" s="2" t="s">
        <v>52</v>
      </c>
      <c r="F242" s="3">
        <v>415000</v>
      </c>
      <c r="G242" s="2" t="s">
        <v>53</v>
      </c>
      <c r="H242" s="2" t="s">
        <v>28</v>
      </c>
      <c r="I242" s="2" t="s">
        <v>31</v>
      </c>
      <c r="J242" s="2" t="s">
        <v>72</v>
      </c>
      <c r="K242" s="2" t="s">
        <v>21</v>
      </c>
      <c r="L242" s="2" t="s">
        <v>521</v>
      </c>
    </row>
    <row r="243" spans="1:12" x14ac:dyDescent="0.3">
      <c r="A243" s="2" t="s">
        <v>522</v>
      </c>
      <c r="B243" s="2" t="s">
        <v>24</v>
      </c>
      <c r="C243" s="2" t="s">
        <v>14</v>
      </c>
      <c r="D243" s="2" t="s">
        <v>96</v>
      </c>
      <c r="E243" s="2" t="s">
        <v>52</v>
      </c>
      <c r="F243" s="3">
        <v>460000</v>
      </c>
      <c r="G243" s="2" t="s">
        <v>27</v>
      </c>
      <c r="H243" s="2" t="s">
        <v>18</v>
      </c>
      <c r="I243" s="2" t="s">
        <v>46</v>
      </c>
      <c r="J243" s="2" t="s">
        <v>45</v>
      </c>
      <c r="K243" s="2" t="s">
        <v>39</v>
      </c>
      <c r="L243" s="2" t="s">
        <v>401</v>
      </c>
    </row>
    <row r="244" spans="1:12" x14ac:dyDescent="0.3">
      <c r="A244" s="2" t="s">
        <v>523</v>
      </c>
      <c r="B244" s="2" t="s">
        <v>42</v>
      </c>
      <c r="C244" s="2" t="s">
        <v>214</v>
      </c>
      <c r="D244" s="2" t="s">
        <v>64</v>
      </c>
      <c r="E244" s="2" t="s">
        <v>77</v>
      </c>
      <c r="F244" s="3">
        <v>2960000</v>
      </c>
      <c r="G244" s="2" t="s">
        <v>27</v>
      </c>
      <c r="H244" s="2" t="s">
        <v>59</v>
      </c>
      <c r="I244" s="2" t="s">
        <v>29</v>
      </c>
      <c r="J244" s="2" t="s">
        <v>38</v>
      </c>
      <c r="K244" s="2" t="s">
        <v>46</v>
      </c>
      <c r="L244" s="2" t="s">
        <v>316</v>
      </c>
    </row>
    <row r="245" spans="1:12" x14ac:dyDescent="0.3">
      <c r="A245" s="2" t="s">
        <v>524</v>
      </c>
      <c r="B245" s="2" t="s">
        <v>42</v>
      </c>
      <c r="C245" s="2" t="s">
        <v>35</v>
      </c>
      <c r="D245" s="2" t="s">
        <v>96</v>
      </c>
      <c r="E245" s="2" t="s">
        <v>52</v>
      </c>
      <c r="F245" s="3">
        <v>390000</v>
      </c>
      <c r="G245" s="2" t="s">
        <v>53</v>
      </c>
      <c r="H245" s="2" t="s">
        <v>28</v>
      </c>
      <c r="I245" s="2" t="s">
        <v>20</v>
      </c>
      <c r="J245" s="2" t="s">
        <v>103</v>
      </c>
      <c r="K245" s="2" t="s">
        <v>38</v>
      </c>
      <c r="L245" s="2" t="s">
        <v>97</v>
      </c>
    </row>
    <row r="246" spans="1:12" x14ac:dyDescent="0.3">
      <c r="A246" s="2" t="s">
        <v>525</v>
      </c>
      <c r="B246" s="2" t="s">
        <v>34</v>
      </c>
      <c r="C246" s="2" t="s">
        <v>109</v>
      </c>
      <c r="D246" s="2" t="s">
        <v>36</v>
      </c>
      <c r="E246" s="2" t="s">
        <v>37</v>
      </c>
      <c r="F246" s="3">
        <v>1900000</v>
      </c>
      <c r="G246" s="2" t="s">
        <v>27</v>
      </c>
      <c r="H246" s="2" t="s">
        <v>59</v>
      </c>
      <c r="I246" s="2" t="s">
        <v>31</v>
      </c>
      <c r="J246" s="2" t="s">
        <v>46</v>
      </c>
      <c r="K246" s="2" t="s">
        <v>20</v>
      </c>
      <c r="L246" s="2" t="s">
        <v>362</v>
      </c>
    </row>
    <row r="247" spans="1:12" x14ac:dyDescent="0.3">
      <c r="A247" s="2" t="s">
        <v>526</v>
      </c>
      <c r="B247" s="2" t="s">
        <v>49</v>
      </c>
      <c r="C247" s="2" t="s">
        <v>205</v>
      </c>
      <c r="D247" s="2" t="s">
        <v>26</v>
      </c>
      <c r="E247" s="2" t="s">
        <v>52</v>
      </c>
      <c r="F247" s="3">
        <v>610000</v>
      </c>
      <c r="G247" s="2" t="s">
        <v>27</v>
      </c>
      <c r="H247" s="2" t="s">
        <v>59</v>
      </c>
      <c r="I247" s="2" t="s">
        <v>54</v>
      </c>
      <c r="J247" s="2" t="s">
        <v>19</v>
      </c>
      <c r="K247" s="2" t="s">
        <v>31</v>
      </c>
      <c r="L247" s="2" t="s">
        <v>336</v>
      </c>
    </row>
    <row r="248" spans="1:12" x14ac:dyDescent="0.3">
      <c r="A248" s="2" t="s">
        <v>527</v>
      </c>
      <c r="B248" s="2" t="s">
        <v>57</v>
      </c>
      <c r="C248" s="2" t="s">
        <v>80</v>
      </c>
      <c r="D248" s="2" t="s">
        <v>15</v>
      </c>
      <c r="E248" s="2" t="s">
        <v>16</v>
      </c>
      <c r="F248" s="3">
        <v>970000</v>
      </c>
      <c r="G248" s="2" t="s">
        <v>17</v>
      </c>
      <c r="H248" s="2" t="s">
        <v>18</v>
      </c>
      <c r="I248" s="2" t="s">
        <v>19</v>
      </c>
      <c r="J248" s="2" t="s">
        <v>103</v>
      </c>
      <c r="K248" s="2" t="s">
        <v>45</v>
      </c>
      <c r="L248" s="2" t="s">
        <v>110</v>
      </c>
    </row>
    <row r="249" spans="1:12" x14ac:dyDescent="0.3">
      <c r="A249" s="2" t="s">
        <v>528</v>
      </c>
      <c r="B249" s="2" t="s">
        <v>42</v>
      </c>
      <c r="C249" s="2" t="s">
        <v>95</v>
      </c>
      <c r="D249" s="2" t="s">
        <v>96</v>
      </c>
      <c r="E249" s="2" t="s">
        <v>52</v>
      </c>
      <c r="F249" s="3">
        <v>420000</v>
      </c>
      <c r="G249" s="2" t="s">
        <v>27</v>
      </c>
      <c r="H249" s="2" t="s">
        <v>28</v>
      </c>
      <c r="I249" s="2" t="s">
        <v>103</v>
      </c>
      <c r="J249" s="2" t="s">
        <v>68</v>
      </c>
      <c r="K249" s="2" t="s">
        <v>20</v>
      </c>
      <c r="L249" s="2" t="s">
        <v>415</v>
      </c>
    </row>
    <row r="250" spans="1:12" x14ac:dyDescent="0.3">
      <c r="A250" s="2" t="s">
        <v>529</v>
      </c>
      <c r="B250" s="2" t="s">
        <v>62</v>
      </c>
      <c r="C250" s="2" t="s">
        <v>530</v>
      </c>
      <c r="D250" s="2" t="s">
        <v>44</v>
      </c>
      <c r="E250" s="2" t="s">
        <v>16</v>
      </c>
      <c r="F250" s="3">
        <v>1080000</v>
      </c>
      <c r="G250" s="2" t="s">
        <v>17</v>
      </c>
      <c r="H250" s="2" t="s">
        <v>28</v>
      </c>
      <c r="I250" s="2" t="s">
        <v>45</v>
      </c>
      <c r="J250" s="2" t="s">
        <v>19</v>
      </c>
      <c r="K250" s="2" t="s">
        <v>20</v>
      </c>
      <c r="L250" s="2" t="s">
        <v>531</v>
      </c>
    </row>
    <row r="251" spans="1:12" x14ac:dyDescent="0.3">
      <c r="A251" s="2" t="s">
        <v>532</v>
      </c>
      <c r="B251" s="2" t="s">
        <v>178</v>
      </c>
      <c r="C251" s="2" t="s">
        <v>25</v>
      </c>
      <c r="D251" s="2" t="s">
        <v>44</v>
      </c>
      <c r="E251" s="2" t="s">
        <v>16</v>
      </c>
      <c r="F251" s="3">
        <v>785000</v>
      </c>
      <c r="G251" s="2" t="s">
        <v>27</v>
      </c>
      <c r="H251" s="2" t="s">
        <v>59</v>
      </c>
      <c r="I251" s="2" t="s">
        <v>19</v>
      </c>
      <c r="J251" s="2" t="s">
        <v>29</v>
      </c>
      <c r="K251" s="2" t="s">
        <v>68</v>
      </c>
      <c r="L251" s="2" t="s">
        <v>533</v>
      </c>
    </row>
    <row r="252" spans="1:12" x14ac:dyDescent="0.3">
      <c r="A252" s="2" t="s">
        <v>534</v>
      </c>
      <c r="B252" s="2" t="s">
        <v>13</v>
      </c>
      <c r="C252" s="2" t="s">
        <v>63</v>
      </c>
      <c r="D252" s="2" t="s">
        <v>15</v>
      </c>
      <c r="E252" s="2" t="s">
        <v>37</v>
      </c>
      <c r="F252" s="3">
        <v>1395000</v>
      </c>
      <c r="G252" s="2" t="s">
        <v>27</v>
      </c>
      <c r="H252" s="2" t="s">
        <v>59</v>
      </c>
      <c r="I252" s="2" t="s">
        <v>19</v>
      </c>
      <c r="J252" s="2" t="s">
        <v>103</v>
      </c>
      <c r="K252" s="2" t="s">
        <v>21</v>
      </c>
      <c r="L252" s="2" t="s">
        <v>150</v>
      </c>
    </row>
    <row r="253" spans="1:12" x14ac:dyDescent="0.3">
      <c r="A253" s="2" t="s">
        <v>535</v>
      </c>
      <c r="B253" s="2" t="s">
        <v>57</v>
      </c>
      <c r="C253" s="2" t="s">
        <v>281</v>
      </c>
      <c r="D253" s="2" t="s">
        <v>36</v>
      </c>
      <c r="E253" s="2" t="s">
        <v>37</v>
      </c>
      <c r="F253" s="3">
        <v>1450000</v>
      </c>
      <c r="G253" s="2" t="s">
        <v>17</v>
      </c>
      <c r="H253" s="2" t="s">
        <v>28</v>
      </c>
      <c r="I253" s="2" t="s">
        <v>38</v>
      </c>
      <c r="J253" s="2" t="s">
        <v>31</v>
      </c>
      <c r="K253" s="2" t="s">
        <v>19</v>
      </c>
      <c r="L253" s="2" t="s">
        <v>536</v>
      </c>
    </row>
    <row r="254" spans="1:12" x14ac:dyDescent="0.3">
      <c r="A254" s="2" t="s">
        <v>537</v>
      </c>
      <c r="B254" s="2" t="s">
        <v>57</v>
      </c>
      <c r="C254" s="2" t="s">
        <v>175</v>
      </c>
      <c r="D254" s="2" t="s">
        <v>81</v>
      </c>
      <c r="E254" s="2" t="s">
        <v>116</v>
      </c>
      <c r="F254" s="3">
        <v>1210000</v>
      </c>
      <c r="G254" s="2" t="s">
        <v>27</v>
      </c>
      <c r="H254" s="2" t="s">
        <v>28</v>
      </c>
      <c r="I254" s="2" t="s">
        <v>72</v>
      </c>
      <c r="J254" s="2" t="s">
        <v>21</v>
      </c>
      <c r="K254" s="2" t="s">
        <v>19</v>
      </c>
      <c r="L254" s="2" t="s">
        <v>538</v>
      </c>
    </row>
    <row r="255" spans="1:12" x14ac:dyDescent="0.3">
      <c r="A255" s="2" t="s">
        <v>539</v>
      </c>
      <c r="B255" s="2" t="s">
        <v>57</v>
      </c>
      <c r="C255" s="2" t="s">
        <v>50</v>
      </c>
      <c r="D255" s="2" t="s">
        <v>71</v>
      </c>
      <c r="E255" s="2" t="s">
        <v>116</v>
      </c>
      <c r="F255" s="3">
        <v>1645000</v>
      </c>
      <c r="G255" s="2" t="s">
        <v>27</v>
      </c>
      <c r="H255" s="2" t="s">
        <v>18</v>
      </c>
      <c r="I255" s="2" t="s">
        <v>54</v>
      </c>
      <c r="J255" s="2" t="s">
        <v>45</v>
      </c>
      <c r="K255" s="2" t="s">
        <v>68</v>
      </c>
      <c r="L255" s="2" t="s">
        <v>340</v>
      </c>
    </row>
    <row r="256" spans="1:12" x14ac:dyDescent="0.3">
      <c r="A256" s="2" t="s">
        <v>540</v>
      </c>
      <c r="B256" s="2" t="s">
        <v>62</v>
      </c>
      <c r="C256" s="2" t="s">
        <v>152</v>
      </c>
      <c r="D256" s="2" t="s">
        <v>26</v>
      </c>
      <c r="E256" s="2" t="s">
        <v>77</v>
      </c>
      <c r="F256" s="3">
        <v>3340000</v>
      </c>
      <c r="G256" s="2" t="s">
        <v>17</v>
      </c>
      <c r="H256" s="2" t="s">
        <v>28</v>
      </c>
      <c r="I256" s="2" t="s">
        <v>29</v>
      </c>
      <c r="J256" s="2" t="s">
        <v>19</v>
      </c>
      <c r="K256" s="2" t="s">
        <v>30</v>
      </c>
      <c r="L256" s="2" t="s">
        <v>541</v>
      </c>
    </row>
    <row r="257" spans="1:12" x14ac:dyDescent="0.3">
      <c r="A257" s="2" t="s">
        <v>542</v>
      </c>
      <c r="B257" s="2" t="s">
        <v>178</v>
      </c>
      <c r="C257" s="2" t="s">
        <v>144</v>
      </c>
      <c r="D257" s="2" t="s">
        <v>64</v>
      </c>
      <c r="E257" s="2" t="s">
        <v>77</v>
      </c>
      <c r="F257" s="3">
        <v>2010000</v>
      </c>
      <c r="G257" s="2" t="s">
        <v>27</v>
      </c>
      <c r="H257" s="2" t="s">
        <v>28</v>
      </c>
      <c r="I257" s="2" t="s">
        <v>20</v>
      </c>
      <c r="J257" s="2" t="s">
        <v>39</v>
      </c>
      <c r="K257" s="2" t="s">
        <v>19</v>
      </c>
      <c r="L257" s="2" t="s">
        <v>279</v>
      </c>
    </row>
    <row r="258" spans="1:12" x14ac:dyDescent="0.3">
      <c r="A258" s="2" t="s">
        <v>543</v>
      </c>
      <c r="B258" s="2" t="s">
        <v>49</v>
      </c>
      <c r="C258" s="2" t="s">
        <v>179</v>
      </c>
      <c r="D258" s="2" t="s">
        <v>44</v>
      </c>
      <c r="E258" s="2" t="s">
        <v>116</v>
      </c>
      <c r="F258" s="3">
        <v>1080000</v>
      </c>
      <c r="G258" s="2" t="s">
        <v>27</v>
      </c>
      <c r="H258" s="2" t="s">
        <v>18</v>
      </c>
      <c r="I258" s="2" t="s">
        <v>45</v>
      </c>
      <c r="J258" s="2" t="s">
        <v>31</v>
      </c>
      <c r="K258" s="2" t="s">
        <v>72</v>
      </c>
      <c r="L258" s="2" t="s">
        <v>329</v>
      </c>
    </row>
    <row r="259" spans="1:12" x14ac:dyDescent="0.3">
      <c r="A259" s="2" t="s">
        <v>544</v>
      </c>
      <c r="B259" s="2" t="s">
        <v>57</v>
      </c>
      <c r="C259" s="2" t="s">
        <v>109</v>
      </c>
      <c r="D259" s="2" t="s">
        <v>26</v>
      </c>
      <c r="E259" s="2" t="s">
        <v>52</v>
      </c>
      <c r="F259" s="3">
        <v>400000</v>
      </c>
      <c r="G259" s="2" t="s">
        <v>53</v>
      </c>
      <c r="H259" s="2" t="s">
        <v>18</v>
      </c>
      <c r="I259" s="2" t="s">
        <v>31</v>
      </c>
      <c r="J259" s="2" t="s">
        <v>21</v>
      </c>
      <c r="K259" s="2" t="s">
        <v>54</v>
      </c>
      <c r="L259" s="2" t="s">
        <v>545</v>
      </c>
    </row>
    <row r="260" spans="1:12" x14ac:dyDescent="0.3">
      <c r="A260" s="2" t="s">
        <v>546</v>
      </c>
      <c r="B260" s="2" t="s">
        <v>57</v>
      </c>
      <c r="C260" s="2" t="s">
        <v>461</v>
      </c>
      <c r="D260" s="2" t="s">
        <v>64</v>
      </c>
      <c r="E260" s="2" t="s">
        <v>77</v>
      </c>
      <c r="F260" s="3">
        <v>3385000</v>
      </c>
      <c r="G260" s="2" t="s">
        <v>27</v>
      </c>
      <c r="H260" s="2" t="s">
        <v>28</v>
      </c>
      <c r="I260" s="2" t="s">
        <v>45</v>
      </c>
      <c r="J260" s="2" t="s">
        <v>21</v>
      </c>
      <c r="K260" s="2" t="s">
        <v>31</v>
      </c>
      <c r="L260" s="2" t="s">
        <v>166</v>
      </c>
    </row>
    <row r="261" spans="1:12" x14ac:dyDescent="0.3">
      <c r="A261" s="2" t="s">
        <v>547</v>
      </c>
      <c r="B261" s="2" t="s">
        <v>57</v>
      </c>
      <c r="C261" s="2" t="s">
        <v>548</v>
      </c>
      <c r="D261" s="2" t="s">
        <v>36</v>
      </c>
      <c r="E261" s="2" t="s">
        <v>116</v>
      </c>
      <c r="F261" s="3">
        <v>1700000</v>
      </c>
      <c r="G261" s="2" t="s">
        <v>27</v>
      </c>
      <c r="H261" s="2" t="s">
        <v>28</v>
      </c>
      <c r="I261" s="2" t="s">
        <v>31</v>
      </c>
      <c r="J261" s="2" t="s">
        <v>54</v>
      </c>
      <c r="K261" s="2" t="s">
        <v>20</v>
      </c>
      <c r="L261" s="2" t="s">
        <v>476</v>
      </c>
    </row>
    <row r="262" spans="1:12" x14ac:dyDescent="0.3">
      <c r="A262" s="2" t="s">
        <v>549</v>
      </c>
      <c r="B262" s="2" t="s">
        <v>24</v>
      </c>
      <c r="C262" s="2" t="s">
        <v>191</v>
      </c>
      <c r="D262" s="2" t="s">
        <v>15</v>
      </c>
      <c r="E262" s="2" t="s">
        <v>16</v>
      </c>
      <c r="F262" s="3">
        <v>645000</v>
      </c>
      <c r="G262" s="2" t="s">
        <v>27</v>
      </c>
      <c r="H262" s="2" t="s">
        <v>59</v>
      </c>
      <c r="I262" s="2" t="s">
        <v>20</v>
      </c>
      <c r="J262" s="2" t="s">
        <v>45</v>
      </c>
      <c r="K262" s="2" t="s">
        <v>54</v>
      </c>
      <c r="L262" s="2" t="s">
        <v>550</v>
      </c>
    </row>
    <row r="263" spans="1:12" x14ac:dyDescent="0.3">
      <c r="A263" s="2" t="s">
        <v>551</v>
      </c>
      <c r="B263" s="2" t="s">
        <v>24</v>
      </c>
      <c r="C263" s="2" t="s">
        <v>109</v>
      </c>
      <c r="D263" s="2" t="s">
        <v>71</v>
      </c>
      <c r="E263" s="2" t="s">
        <v>37</v>
      </c>
      <c r="F263" s="3">
        <v>1630000</v>
      </c>
      <c r="G263" s="2" t="s">
        <v>27</v>
      </c>
      <c r="H263" s="2" t="s">
        <v>59</v>
      </c>
      <c r="I263" s="2" t="s">
        <v>29</v>
      </c>
      <c r="J263" s="2" t="s">
        <v>131</v>
      </c>
      <c r="K263" s="2" t="s">
        <v>31</v>
      </c>
      <c r="L263" s="2" t="s">
        <v>164</v>
      </c>
    </row>
    <row r="264" spans="1:12" x14ac:dyDescent="0.3">
      <c r="A264" s="2" t="s">
        <v>552</v>
      </c>
      <c r="B264" s="2" t="s">
        <v>75</v>
      </c>
      <c r="C264" s="2" t="s">
        <v>181</v>
      </c>
      <c r="D264" s="2" t="s">
        <v>96</v>
      </c>
      <c r="E264" s="2" t="s">
        <v>37</v>
      </c>
      <c r="F264" s="3">
        <v>2090000</v>
      </c>
      <c r="G264" s="2" t="s">
        <v>27</v>
      </c>
      <c r="H264" s="2" t="s">
        <v>28</v>
      </c>
      <c r="I264" s="2" t="s">
        <v>21</v>
      </c>
      <c r="J264" s="2" t="s">
        <v>72</v>
      </c>
      <c r="K264" s="2" t="s">
        <v>39</v>
      </c>
      <c r="L264" s="2" t="s">
        <v>553</v>
      </c>
    </row>
    <row r="265" spans="1:12" x14ac:dyDescent="0.3">
      <c r="A265" s="2" t="s">
        <v>554</v>
      </c>
      <c r="B265" s="2" t="s">
        <v>75</v>
      </c>
      <c r="C265" s="2" t="s">
        <v>109</v>
      </c>
      <c r="D265" s="2" t="s">
        <v>36</v>
      </c>
      <c r="E265" s="2" t="s">
        <v>116</v>
      </c>
      <c r="F265" s="3">
        <v>900000</v>
      </c>
      <c r="G265" s="2" t="s">
        <v>27</v>
      </c>
      <c r="H265" s="2" t="s">
        <v>28</v>
      </c>
      <c r="I265" s="2" t="s">
        <v>30</v>
      </c>
      <c r="J265" s="2" t="s">
        <v>46</v>
      </c>
      <c r="K265" s="2" t="s">
        <v>39</v>
      </c>
      <c r="L265" s="2" t="s">
        <v>55</v>
      </c>
    </row>
    <row r="266" spans="1:12" x14ac:dyDescent="0.3">
      <c r="A266" s="2" t="s">
        <v>555</v>
      </c>
      <c r="B266" s="2" t="s">
        <v>57</v>
      </c>
      <c r="C266" s="2" t="s">
        <v>305</v>
      </c>
      <c r="D266" s="2" t="s">
        <v>64</v>
      </c>
      <c r="E266" s="2" t="s">
        <v>77</v>
      </c>
      <c r="F266" s="3">
        <v>1600000</v>
      </c>
      <c r="G266" s="2" t="s">
        <v>27</v>
      </c>
      <c r="H266" s="2" t="s">
        <v>28</v>
      </c>
      <c r="I266" s="2" t="s">
        <v>21</v>
      </c>
      <c r="J266" s="2" t="s">
        <v>45</v>
      </c>
      <c r="K266" s="2" t="s">
        <v>131</v>
      </c>
      <c r="L266" s="2" t="s">
        <v>553</v>
      </c>
    </row>
    <row r="267" spans="1:12" x14ac:dyDescent="0.3">
      <c r="A267" s="2" t="s">
        <v>556</v>
      </c>
      <c r="B267" s="2" t="s">
        <v>24</v>
      </c>
      <c r="C267" s="2" t="s">
        <v>205</v>
      </c>
      <c r="D267" s="2" t="s">
        <v>26</v>
      </c>
      <c r="E267" s="2" t="s">
        <v>52</v>
      </c>
      <c r="F267" s="3">
        <v>495000</v>
      </c>
      <c r="G267" s="2" t="s">
        <v>53</v>
      </c>
      <c r="H267" s="2" t="s">
        <v>28</v>
      </c>
      <c r="I267" s="2" t="s">
        <v>38</v>
      </c>
      <c r="J267" s="2" t="s">
        <v>103</v>
      </c>
      <c r="K267" s="2" t="s">
        <v>68</v>
      </c>
      <c r="L267" s="2" t="s">
        <v>318</v>
      </c>
    </row>
    <row r="268" spans="1:12" x14ac:dyDescent="0.3">
      <c r="A268" s="2" t="s">
        <v>557</v>
      </c>
      <c r="B268" s="2" t="s">
        <v>34</v>
      </c>
      <c r="C268" s="2" t="s">
        <v>389</v>
      </c>
      <c r="D268" s="2" t="s">
        <v>76</v>
      </c>
      <c r="E268" s="2" t="s">
        <v>116</v>
      </c>
      <c r="F268" s="3">
        <v>960000</v>
      </c>
      <c r="G268" s="2" t="s">
        <v>27</v>
      </c>
      <c r="H268" s="2" t="s">
        <v>28</v>
      </c>
      <c r="I268" s="2" t="s">
        <v>103</v>
      </c>
      <c r="J268" s="2" t="s">
        <v>30</v>
      </c>
      <c r="K268" s="2" t="s">
        <v>39</v>
      </c>
      <c r="L268" s="2" t="s">
        <v>545</v>
      </c>
    </row>
    <row r="269" spans="1:12" x14ac:dyDescent="0.3">
      <c r="A269" s="2" t="s">
        <v>558</v>
      </c>
      <c r="B269" s="2" t="s">
        <v>62</v>
      </c>
      <c r="C269" s="2" t="s">
        <v>63</v>
      </c>
      <c r="D269" s="2" t="s">
        <v>81</v>
      </c>
      <c r="E269" s="2" t="s">
        <v>116</v>
      </c>
      <c r="F269" s="3">
        <v>965000</v>
      </c>
      <c r="G269" s="2" t="s">
        <v>27</v>
      </c>
      <c r="H269" s="2" t="s">
        <v>28</v>
      </c>
      <c r="I269" s="2" t="s">
        <v>30</v>
      </c>
      <c r="J269" s="2" t="s">
        <v>39</v>
      </c>
      <c r="K269" s="2" t="s">
        <v>20</v>
      </c>
      <c r="L269" s="2" t="s">
        <v>559</v>
      </c>
    </row>
    <row r="270" spans="1:12" x14ac:dyDescent="0.3">
      <c r="A270" s="2" t="s">
        <v>560</v>
      </c>
      <c r="B270" s="2" t="s">
        <v>149</v>
      </c>
      <c r="C270" s="2" t="s">
        <v>283</v>
      </c>
      <c r="D270" s="2" t="s">
        <v>64</v>
      </c>
      <c r="E270" s="2" t="s">
        <v>52</v>
      </c>
      <c r="F270" s="3">
        <v>690000</v>
      </c>
      <c r="G270" s="2" t="s">
        <v>27</v>
      </c>
      <c r="H270" s="2" t="s">
        <v>28</v>
      </c>
      <c r="I270" s="2" t="s">
        <v>19</v>
      </c>
      <c r="J270" s="2" t="s">
        <v>131</v>
      </c>
      <c r="K270" s="2" t="s">
        <v>46</v>
      </c>
      <c r="L270" s="2" t="s">
        <v>368</v>
      </c>
    </row>
    <row r="271" spans="1:12" x14ac:dyDescent="0.3">
      <c r="A271" s="2" t="s">
        <v>561</v>
      </c>
      <c r="B271" s="2" t="s">
        <v>62</v>
      </c>
      <c r="C271" s="2" t="s">
        <v>396</v>
      </c>
      <c r="D271" s="2" t="s">
        <v>96</v>
      </c>
      <c r="E271" s="2" t="s">
        <v>16</v>
      </c>
      <c r="F271" s="3">
        <v>1050000</v>
      </c>
      <c r="G271" s="2" t="s">
        <v>27</v>
      </c>
      <c r="H271" s="2" t="s">
        <v>59</v>
      </c>
      <c r="I271" s="2" t="s">
        <v>30</v>
      </c>
      <c r="J271" s="2" t="s">
        <v>20</v>
      </c>
      <c r="K271" s="2" t="s">
        <v>72</v>
      </c>
      <c r="L271" s="2" t="s">
        <v>170</v>
      </c>
    </row>
    <row r="272" spans="1:12" x14ac:dyDescent="0.3">
      <c r="A272" s="2" t="s">
        <v>562</v>
      </c>
      <c r="B272" s="2" t="s">
        <v>24</v>
      </c>
      <c r="C272" s="2" t="s">
        <v>283</v>
      </c>
      <c r="D272" s="2" t="s">
        <v>36</v>
      </c>
      <c r="E272" s="2" t="s">
        <v>116</v>
      </c>
      <c r="F272" s="3">
        <v>815000</v>
      </c>
      <c r="G272" s="2" t="s">
        <v>27</v>
      </c>
      <c r="H272" s="2" t="s">
        <v>28</v>
      </c>
      <c r="I272" s="2" t="s">
        <v>131</v>
      </c>
      <c r="J272" s="2" t="s">
        <v>54</v>
      </c>
      <c r="K272" s="2" t="s">
        <v>45</v>
      </c>
      <c r="L272" s="2" t="s">
        <v>563</v>
      </c>
    </row>
    <row r="273" spans="1:12" x14ac:dyDescent="0.3">
      <c r="A273" s="2" t="s">
        <v>564</v>
      </c>
      <c r="B273" s="2" t="s">
        <v>149</v>
      </c>
      <c r="C273" s="2" t="s">
        <v>260</v>
      </c>
      <c r="D273" s="2" t="s">
        <v>76</v>
      </c>
      <c r="E273" s="2" t="s">
        <v>37</v>
      </c>
      <c r="F273" s="3">
        <v>1095000</v>
      </c>
      <c r="G273" s="2" t="s">
        <v>27</v>
      </c>
      <c r="H273" s="2" t="s">
        <v>18</v>
      </c>
      <c r="I273" s="2" t="s">
        <v>131</v>
      </c>
      <c r="J273" s="2" t="s">
        <v>72</v>
      </c>
      <c r="K273" s="2" t="s">
        <v>68</v>
      </c>
      <c r="L273" s="2" t="s">
        <v>455</v>
      </c>
    </row>
    <row r="274" spans="1:12" x14ac:dyDescent="0.3">
      <c r="A274" s="2" t="s">
        <v>565</v>
      </c>
      <c r="B274" s="2" t="s">
        <v>49</v>
      </c>
      <c r="C274" s="2" t="s">
        <v>50</v>
      </c>
      <c r="D274" s="2" t="s">
        <v>64</v>
      </c>
      <c r="E274" s="2" t="s">
        <v>116</v>
      </c>
      <c r="F274" s="3">
        <v>1570000</v>
      </c>
      <c r="G274" s="2" t="s">
        <v>27</v>
      </c>
      <c r="H274" s="2" t="s">
        <v>28</v>
      </c>
      <c r="I274" s="2" t="s">
        <v>72</v>
      </c>
      <c r="J274" s="2" t="s">
        <v>31</v>
      </c>
      <c r="K274" s="2" t="s">
        <v>19</v>
      </c>
      <c r="L274" s="2" t="s">
        <v>254</v>
      </c>
    </row>
    <row r="275" spans="1:12" x14ac:dyDescent="0.3">
      <c r="A275" s="2" t="s">
        <v>566</v>
      </c>
      <c r="B275" s="2" t="s">
        <v>42</v>
      </c>
      <c r="C275" s="2" t="s">
        <v>87</v>
      </c>
      <c r="D275" s="2" t="s">
        <v>96</v>
      </c>
      <c r="E275" s="2" t="s">
        <v>16</v>
      </c>
      <c r="F275" s="3">
        <v>775000</v>
      </c>
      <c r="G275" s="2" t="s">
        <v>27</v>
      </c>
      <c r="H275" s="2" t="s">
        <v>28</v>
      </c>
      <c r="I275" s="2" t="s">
        <v>20</v>
      </c>
      <c r="J275" s="2" t="s">
        <v>38</v>
      </c>
      <c r="K275" s="2" t="s">
        <v>39</v>
      </c>
      <c r="L275" s="2" t="s">
        <v>567</v>
      </c>
    </row>
    <row r="276" spans="1:12" x14ac:dyDescent="0.3">
      <c r="A276" s="2" t="s">
        <v>568</v>
      </c>
      <c r="B276" s="2" t="s">
        <v>34</v>
      </c>
      <c r="C276" s="2" t="s">
        <v>80</v>
      </c>
      <c r="D276" s="2" t="s">
        <v>36</v>
      </c>
      <c r="E276" s="2" t="s">
        <v>116</v>
      </c>
      <c r="F276" s="3">
        <v>1735000</v>
      </c>
      <c r="G276" s="2" t="s">
        <v>27</v>
      </c>
      <c r="H276" s="2" t="s">
        <v>18</v>
      </c>
      <c r="I276" s="2" t="s">
        <v>103</v>
      </c>
      <c r="J276" s="2" t="s">
        <v>20</v>
      </c>
      <c r="K276" s="2" t="s">
        <v>39</v>
      </c>
      <c r="L276" s="2" t="s">
        <v>415</v>
      </c>
    </row>
    <row r="277" spans="1:12" x14ac:dyDescent="0.3">
      <c r="A277" s="2" t="s">
        <v>569</v>
      </c>
      <c r="B277" s="2" t="s">
        <v>42</v>
      </c>
      <c r="C277" s="2" t="s">
        <v>211</v>
      </c>
      <c r="D277" s="2" t="s">
        <v>15</v>
      </c>
      <c r="E277" s="2" t="s">
        <v>37</v>
      </c>
      <c r="F277" s="3">
        <v>1365000</v>
      </c>
      <c r="G277" s="2" t="s">
        <v>27</v>
      </c>
      <c r="H277" s="2" t="s">
        <v>28</v>
      </c>
      <c r="I277" s="2" t="s">
        <v>45</v>
      </c>
      <c r="J277" s="2" t="s">
        <v>68</v>
      </c>
      <c r="K277" s="2" t="s">
        <v>38</v>
      </c>
      <c r="L277" s="2" t="s">
        <v>570</v>
      </c>
    </row>
    <row r="278" spans="1:12" x14ac:dyDescent="0.3">
      <c r="A278" s="2" t="s">
        <v>571</v>
      </c>
      <c r="B278" s="2" t="s">
        <v>49</v>
      </c>
      <c r="C278" s="2" t="s">
        <v>99</v>
      </c>
      <c r="D278" s="2" t="s">
        <v>36</v>
      </c>
      <c r="E278" s="2" t="s">
        <v>16</v>
      </c>
      <c r="F278" s="3">
        <v>675000</v>
      </c>
      <c r="G278" s="2" t="s">
        <v>17</v>
      </c>
      <c r="H278" s="2" t="s">
        <v>18</v>
      </c>
      <c r="I278" s="2" t="s">
        <v>45</v>
      </c>
      <c r="J278" s="2" t="s">
        <v>54</v>
      </c>
      <c r="K278" s="2" t="s">
        <v>72</v>
      </c>
      <c r="L278" s="2" t="s">
        <v>297</v>
      </c>
    </row>
    <row r="279" spans="1:12" x14ac:dyDescent="0.3">
      <c r="A279" s="2" t="s">
        <v>572</v>
      </c>
      <c r="B279" s="2" t="s">
        <v>34</v>
      </c>
      <c r="C279" s="2" t="s">
        <v>428</v>
      </c>
      <c r="D279" s="2" t="s">
        <v>51</v>
      </c>
      <c r="E279" s="2" t="s">
        <v>77</v>
      </c>
      <c r="F279" s="3">
        <v>3145000</v>
      </c>
      <c r="G279" s="2" t="s">
        <v>27</v>
      </c>
      <c r="H279" s="2" t="s">
        <v>59</v>
      </c>
      <c r="I279" s="2" t="s">
        <v>46</v>
      </c>
      <c r="J279" s="2" t="s">
        <v>31</v>
      </c>
      <c r="K279" s="2" t="s">
        <v>39</v>
      </c>
      <c r="L279" s="2" t="s">
        <v>573</v>
      </c>
    </row>
    <row r="280" spans="1:12" x14ac:dyDescent="0.3">
      <c r="A280" s="2" t="s">
        <v>574</v>
      </c>
      <c r="B280" s="2" t="s">
        <v>149</v>
      </c>
      <c r="C280" s="2" t="s">
        <v>214</v>
      </c>
      <c r="D280" s="2" t="s">
        <v>26</v>
      </c>
      <c r="E280" s="2" t="s">
        <v>16</v>
      </c>
      <c r="F280" s="3">
        <v>640000</v>
      </c>
      <c r="G280" s="2" t="s">
        <v>27</v>
      </c>
      <c r="H280" s="2" t="s">
        <v>28</v>
      </c>
      <c r="I280" s="2" t="s">
        <v>72</v>
      </c>
      <c r="J280" s="2" t="s">
        <v>46</v>
      </c>
      <c r="K280" s="2" t="s">
        <v>29</v>
      </c>
      <c r="L280" s="2" t="s">
        <v>575</v>
      </c>
    </row>
    <row r="281" spans="1:12" x14ac:dyDescent="0.3">
      <c r="A281" s="2" t="s">
        <v>576</v>
      </c>
      <c r="B281" s="2" t="s">
        <v>149</v>
      </c>
      <c r="C281" s="2" t="s">
        <v>63</v>
      </c>
      <c r="D281" s="2" t="s">
        <v>51</v>
      </c>
      <c r="E281" s="2" t="s">
        <v>116</v>
      </c>
      <c r="F281" s="3">
        <v>1405000</v>
      </c>
      <c r="G281" s="2" t="s">
        <v>27</v>
      </c>
      <c r="H281" s="2" t="s">
        <v>18</v>
      </c>
      <c r="I281" s="2" t="s">
        <v>39</v>
      </c>
      <c r="J281" s="2" t="s">
        <v>131</v>
      </c>
      <c r="K281" s="2" t="s">
        <v>45</v>
      </c>
      <c r="L281" s="2" t="s">
        <v>245</v>
      </c>
    </row>
    <row r="282" spans="1:12" x14ac:dyDescent="0.3">
      <c r="A282" s="2" t="s">
        <v>577</v>
      </c>
      <c r="B282" s="2" t="s">
        <v>49</v>
      </c>
      <c r="C282" s="2" t="s">
        <v>87</v>
      </c>
      <c r="D282" s="2" t="s">
        <v>26</v>
      </c>
      <c r="E282" s="2" t="s">
        <v>37</v>
      </c>
      <c r="F282" s="3">
        <v>1630000</v>
      </c>
      <c r="G282" s="2" t="s">
        <v>27</v>
      </c>
      <c r="H282" s="2" t="s">
        <v>28</v>
      </c>
      <c r="I282" s="2" t="s">
        <v>38</v>
      </c>
      <c r="J282" s="2" t="s">
        <v>31</v>
      </c>
      <c r="K282" s="2" t="s">
        <v>30</v>
      </c>
      <c r="L282" s="2" t="s">
        <v>85</v>
      </c>
    </row>
    <row r="283" spans="1:12" x14ac:dyDescent="0.3">
      <c r="A283" s="2" t="s">
        <v>578</v>
      </c>
      <c r="B283" s="2" t="s">
        <v>49</v>
      </c>
      <c r="C283" s="2" t="s">
        <v>205</v>
      </c>
      <c r="D283" s="2" t="s">
        <v>71</v>
      </c>
      <c r="E283" s="2" t="s">
        <v>52</v>
      </c>
      <c r="F283" s="3">
        <v>755000</v>
      </c>
      <c r="G283" s="2" t="s">
        <v>27</v>
      </c>
      <c r="H283" s="2" t="s">
        <v>28</v>
      </c>
      <c r="I283" s="2" t="s">
        <v>72</v>
      </c>
      <c r="J283" s="2" t="s">
        <v>54</v>
      </c>
      <c r="K283" s="2" t="s">
        <v>30</v>
      </c>
      <c r="L283" s="2" t="s">
        <v>310</v>
      </c>
    </row>
    <row r="284" spans="1:12" x14ac:dyDescent="0.3">
      <c r="A284" s="2" t="s">
        <v>579</v>
      </c>
      <c r="B284" s="2" t="s">
        <v>62</v>
      </c>
      <c r="C284" s="2" t="s">
        <v>123</v>
      </c>
      <c r="D284" s="2" t="s">
        <v>76</v>
      </c>
      <c r="E284" s="2" t="s">
        <v>52</v>
      </c>
      <c r="F284" s="3">
        <v>410000</v>
      </c>
      <c r="G284" s="2" t="s">
        <v>53</v>
      </c>
      <c r="H284" s="2" t="s">
        <v>59</v>
      </c>
      <c r="I284" s="2" t="s">
        <v>20</v>
      </c>
      <c r="J284" s="2" t="s">
        <v>19</v>
      </c>
      <c r="K284" s="2" t="s">
        <v>29</v>
      </c>
      <c r="L284" s="2" t="s">
        <v>533</v>
      </c>
    </row>
    <row r="285" spans="1:12" x14ac:dyDescent="0.3">
      <c r="A285" s="2" t="s">
        <v>580</v>
      </c>
      <c r="B285" s="2" t="s">
        <v>149</v>
      </c>
      <c r="C285" s="2" t="s">
        <v>441</v>
      </c>
      <c r="D285" s="2" t="s">
        <v>15</v>
      </c>
      <c r="E285" s="2" t="s">
        <v>16</v>
      </c>
      <c r="F285" s="3">
        <v>785000</v>
      </c>
      <c r="G285" s="2" t="s">
        <v>27</v>
      </c>
      <c r="H285" s="2" t="s">
        <v>18</v>
      </c>
      <c r="I285" s="2" t="s">
        <v>131</v>
      </c>
      <c r="J285" s="2" t="s">
        <v>46</v>
      </c>
      <c r="K285" s="2" t="s">
        <v>19</v>
      </c>
      <c r="L285" s="2" t="s">
        <v>411</v>
      </c>
    </row>
    <row r="286" spans="1:12" x14ac:dyDescent="0.3">
      <c r="A286" s="2" t="s">
        <v>581</v>
      </c>
      <c r="B286" s="2" t="s">
        <v>149</v>
      </c>
      <c r="C286" s="2" t="s">
        <v>144</v>
      </c>
      <c r="D286" s="2" t="s">
        <v>71</v>
      </c>
      <c r="E286" s="2" t="s">
        <v>116</v>
      </c>
      <c r="F286" s="3">
        <v>930000</v>
      </c>
      <c r="G286" s="2" t="s">
        <v>17</v>
      </c>
      <c r="H286" s="2" t="s">
        <v>28</v>
      </c>
      <c r="I286" s="2" t="s">
        <v>30</v>
      </c>
      <c r="J286" s="2" t="s">
        <v>39</v>
      </c>
      <c r="K286" s="2" t="s">
        <v>46</v>
      </c>
      <c r="L286" s="2" t="s">
        <v>289</v>
      </c>
    </row>
    <row r="287" spans="1:12" x14ac:dyDescent="0.3">
      <c r="A287" s="2" t="s">
        <v>582</v>
      </c>
      <c r="B287" s="2" t="s">
        <v>149</v>
      </c>
      <c r="C287" s="2" t="s">
        <v>175</v>
      </c>
      <c r="D287" s="2" t="s">
        <v>76</v>
      </c>
      <c r="E287" s="2" t="s">
        <v>16</v>
      </c>
      <c r="F287" s="3">
        <v>975000</v>
      </c>
      <c r="G287" s="2" t="s">
        <v>27</v>
      </c>
      <c r="H287" s="2" t="s">
        <v>28</v>
      </c>
      <c r="I287" s="2" t="s">
        <v>131</v>
      </c>
      <c r="J287" s="2" t="s">
        <v>45</v>
      </c>
      <c r="K287" s="2" t="s">
        <v>46</v>
      </c>
      <c r="L287" s="2" t="s">
        <v>583</v>
      </c>
    </row>
    <row r="288" spans="1:12" x14ac:dyDescent="0.3">
      <c r="A288" s="2" t="s">
        <v>584</v>
      </c>
      <c r="B288" s="2" t="s">
        <v>57</v>
      </c>
      <c r="C288" s="2" t="s">
        <v>286</v>
      </c>
      <c r="D288" s="2" t="s">
        <v>26</v>
      </c>
      <c r="E288" s="2" t="s">
        <v>52</v>
      </c>
      <c r="F288" s="3">
        <v>405000</v>
      </c>
      <c r="G288" s="2" t="s">
        <v>53</v>
      </c>
      <c r="H288" s="2" t="s">
        <v>18</v>
      </c>
      <c r="I288" s="2" t="s">
        <v>30</v>
      </c>
      <c r="J288" s="2" t="s">
        <v>131</v>
      </c>
      <c r="K288" s="2" t="s">
        <v>21</v>
      </c>
      <c r="L288" s="2" t="s">
        <v>397</v>
      </c>
    </row>
    <row r="289" spans="1:12" x14ac:dyDescent="0.3">
      <c r="A289" s="2" t="s">
        <v>585</v>
      </c>
      <c r="B289" s="2" t="s">
        <v>178</v>
      </c>
      <c r="C289" s="2" t="s">
        <v>125</v>
      </c>
      <c r="D289" s="2" t="s">
        <v>96</v>
      </c>
      <c r="E289" s="2" t="s">
        <v>52</v>
      </c>
      <c r="F289" s="3">
        <v>765000</v>
      </c>
      <c r="G289" s="2" t="s">
        <v>27</v>
      </c>
      <c r="H289" s="2" t="s">
        <v>18</v>
      </c>
      <c r="I289" s="2" t="s">
        <v>39</v>
      </c>
      <c r="J289" s="2" t="s">
        <v>38</v>
      </c>
      <c r="K289" s="2" t="s">
        <v>31</v>
      </c>
      <c r="L289" s="2" t="s">
        <v>100</v>
      </c>
    </row>
    <row r="290" spans="1:12" x14ac:dyDescent="0.3">
      <c r="A290" s="2" t="s">
        <v>586</v>
      </c>
      <c r="B290" s="2" t="s">
        <v>75</v>
      </c>
      <c r="C290" s="2" t="s">
        <v>461</v>
      </c>
      <c r="D290" s="2" t="s">
        <v>26</v>
      </c>
      <c r="E290" s="2" t="s">
        <v>116</v>
      </c>
      <c r="F290" s="3">
        <v>1430000</v>
      </c>
      <c r="G290" s="2" t="s">
        <v>27</v>
      </c>
      <c r="H290" s="2" t="s">
        <v>28</v>
      </c>
      <c r="I290" s="2" t="s">
        <v>30</v>
      </c>
      <c r="J290" s="2" t="s">
        <v>19</v>
      </c>
      <c r="K290" s="2" t="s">
        <v>31</v>
      </c>
      <c r="L290" s="2" t="s">
        <v>587</v>
      </c>
    </row>
    <row r="291" spans="1:12" x14ac:dyDescent="0.3">
      <c r="A291" s="2" t="s">
        <v>588</v>
      </c>
      <c r="B291" s="2" t="s">
        <v>49</v>
      </c>
      <c r="C291" s="2" t="s">
        <v>14</v>
      </c>
      <c r="D291" s="2" t="s">
        <v>96</v>
      </c>
      <c r="E291" s="2" t="s">
        <v>16</v>
      </c>
      <c r="F291" s="3">
        <v>655000</v>
      </c>
      <c r="G291" s="2" t="s">
        <v>27</v>
      </c>
      <c r="H291" s="2" t="s">
        <v>18</v>
      </c>
      <c r="I291" s="2" t="s">
        <v>31</v>
      </c>
      <c r="J291" s="2" t="s">
        <v>21</v>
      </c>
      <c r="K291" s="2" t="s">
        <v>19</v>
      </c>
      <c r="L291" s="2" t="s">
        <v>266</v>
      </c>
    </row>
    <row r="292" spans="1:12" x14ac:dyDescent="0.3">
      <c r="A292" s="2" t="s">
        <v>589</v>
      </c>
      <c r="B292" s="2" t="s">
        <v>75</v>
      </c>
      <c r="C292" s="2" t="s">
        <v>441</v>
      </c>
      <c r="D292" s="2" t="s">
        <v>15</v>
      </c>
      <c r="E292" s="2" t="s">
        <v>37</v>
      </c>
      <c r="F292" s="3">
        <v>1105000</v>
      </c>
      <c r="G292" s="2" t="s">
        <v>27</v>
      </c>
      <c r="H292" s="2" t="s">
        <v>28</v>
      </c>
      <c r="I292" s="2" t="s">
        <v>31</v>
      </c>
      <c r="J292" s="2" t="s">
        <v>54</v>
      </c>
      <c r="K292" s="2" t="s">
        <v>68</v>
      </c>
      <c r="L292" s="2" t="s">
        <v>243</v>
      </c>
    </row>
    <row r="293" spans="1:12" x14ac:dyDescent="0.3">
      <c r="A293" s="2" t="s">
        <v>590</v>
      </c>
      <c r="B293" s="2" t="s">
        <v>62</v>
      </c>
      <c r="C293" s="2" t="s">
        <v>95</v>
      </c>
      <c r="D293" s="2" t="s">
        <v>64</v>
      </c>
      <c r="E293" s="2" t="s">
        <v>116</v>
      </c>
      <c r="F293" s="3">
        <v>1525000</v>
      </c>
      <c r="G293" s="2" t="s">
        <v>27</v>
      </c>
      <c r="H293" s="2" t="s">
        <v>28</v>
      </c>
      <c r="I293" s="2" t="s">
        <v>20</v>
      </c>
      <c r="J293" s="2" t="s">
        <v>54</v>
      </c>
      <c r="K293" s="2" t="s">
        <v>72</v>
      </c>
      <c r="L293" s="2" t="s">
        <v>342</v>
      </c>
    </row>
    <row r="294" spans="1:12" x14ac:dyDescent="0.3">
      <c r="A294" s="2" t="s">
        <v>591</v>
      </c>
      <c r="B294" s="2" t="s">
        <v>24</v>
      </c>
      <c r="C294" s="2" t="s">
        <v>214</v>
      </c>
      <c r="D294" s="2" t="s">
        <v>51</v>
      </c>
      <c r="E294" s="2" t="s">
        <v>37</v>
      </c>
      <c r="F294" s="3">
        <v>1930000</v>
      </c>
      <c r="G294" s="2" t="s">
        <v>27</v>
      </c>
      <c r="H294" s="2" t="s">
        <v>18</v>
      </c>
      <c r="I294" s="2" t="s">
        <v>39</v>
      </c>
      <c r="J294" s="2" t="s">
        <v>72</v>
      </c>
      <c r="K294" s="2" t="s">
        <v>20</v>
      </c>
      <c r="L294" s="2" t="s">
        <v>322</v>
      </c>
    </row>
    <row r="295" spans="1:12" x14ac:dyDescent="0.3">
      <c r="A295" s="2" t="s">
        <v>592</v>
      </c>
      <c r="B295" s="2" t="s">
        <v>178</v>
      </c>
      <c r="C295" s="2" t="s">
        <v>191</v>
      </c>
      <c r="D295" s="2" t="s">
        <v>36</v>
      </c>
      <c r="E295" s="2" t="s">
        <v>116</v>
      </c>
      <c r="F295" s="3">
        <v>850000</v>
      </c>
      <c r="G295" s="2" t="s">
        <v>27</v>
      </c>
      <c r="H295" s="2" t="s">
        <v>28</v>
      </c>
      <c r="I295" s="2" t="s">
        <v>39</v>
      </c>
      <c r="J295" s="2" t="s">
        <v>68</v>
      </c>
      <c r="K295" s="2" t="s">
        <v>31</v>
      </c>
      <c r="L295" s="2" t="s">
        <v>559</v>
      </c>
    </row>
    <row r="296" spans="1:12" x14ac:dyDescent="0.3">
      <c r="A296" s="2" t="s">
        <v>593</v>
      </c>
      <c r="B296" s="2" t="s">
        <v>178</v>
      </c>
      <c r="C296" s="2" t="s">
        <v>152</v>
      </c>
      <c r="D296" s="2" t="s">
        <v>26</v>
      </c>
      <c r="E296" s="2" t="s">
        <v>37</v>
      </c>
      <c r="F296" s="3">
        <v>1760000</v>
      </c>
      <c r="G296" s="2" t="s">
        <v>17</v>
      </c>
      <c r="H296" s="2" t="s">
        <v>59</v>
      </c>
      <c r="I296" s="2" t="s">
        <v>20</v>
      </c>
      <c r="J296" s="2" t="s">
        <v>46</v>
      </c>
      <c r="K296" s="2" t="s">
        <v>131</v>
      </c>
      <c r="L296" s="2" t="s">
        <v>303</v>
      </c>
    </row>
    <row r="297" spans="1:12" x14ac:dyDescent="0.3">
      <c r="A297" s="2" t="s">
        <v>594</v>
      </c>
      <c r="B297" s="2" t="s">
        <v>62</v>
      </c>
      <c r="C297" s="2" t="s">
        <v>321</v>
      </c>
      <c r="D297" s="2" t="s">
        <v>36</v>
      </c>
      <c r="E297" s="2" t="s">
        <v>52</v>
      </c>
      <c r="F297" s="3">
        <v>225000</v>
      </c>
      <c r="G297" s="2" t="s">
        <v>53</v>
      </c>
      <c r="H297" s="2" t="s">
        <v>28</v>
      </c>
      <c r="I297" s="2" t="s">
        <v>20</v>
      </c>
      <c r="J297" s="2" t="s">
        <v>38</v>
      </c>
      <c r="K297" s="2" t="s">
        <v>68</v>
      </c>
      <c r="L297" s="2" t="s">
        <v>595</v>
      </c>
    </row>
    <row r="298" spans="1:12" x14ac:dyDescent="0.3">
      <c r="A298" s="2" t="s">
        <v>596</v>
      </c>
      <c r="B298" s="2" t="s">
        <v>49</v>
      </c>
      <c r="C298" s="2" t="s">
        <v>288</v>
      </c>
      <c r="D298" s="2" t="s">
        <v>51</v>
      </c>
      <c r="E298" s="2" t="s">
        <v>52</v>
      </c>
      <c r="F298" s="3">
        <v>285000</v>
      </c>
      <c r="G298" s="2" t="s">
        <v>53</v>
      </c>
      <c r="H298" s="2" t="s">
        <v>59</v>
      </c>
      <c r="I298" s="2" t="s">
        <v>72</v>
      </c>
      <c r="J298" s="2" t="s">
        <v>21</v>
      </c>
      <c r="K298" s="2" t="s">
        <v>103</v>
      </c>
      <c r="L298" s="2" t="s">
        <v>587</v>
      </c>
    </row>
    <row r="299" spans="1:12" x14ac:dyDescent="0.3">
      <c r="A299" s="2" t="s">
        <v>597</v>
      </c>
      <c r="B299" s="2" t="s">
        <v>34</v>
      </c>
      <c r="C299" s="2" t="s">
        <v>63</v>
      </c>
      <c r="D299" s="2" t="s">
        <v>81</v>
      </c>
      <c r="E299" s="2" t="s">
        <v>77</v>
      </c>
      <c r="F299" s="3">
        <v>4450000</v>
      </c>
      <c r="G299" s="2" t="s">
        <v>27</v>
      </c>
      <c r="H299" s="2" t="s">
        <v>18</v>
      </c>
      <c r="I299" s="2" t="s">
        <v>46</v>
      </c>
      <c r="J299" s="2" t="s">
        <v>45</v>
      </c>
      <c r="K299" s="2" t="s">
        <v>54</v>
      </c>
      <c r="L299" s="2" t="s">
        <v>40</v>
      </c>
    </row>
    <row r="300" spans="1:12" x14ac:dyDescent="0.3">
      <c r="A300" s="2" t="s">
        <v>598</v>
      </c>
      <c r="B300" s="2" t="s">
        <v>57</v>
      </c>
      <c r="C300" s="2" t="s">
        <v>321</v>
      </c>
      <c r="D300" s="2" t="s">
        <v>81</v>
      </c>
      <c r="E300" s="2" t="s">
        <v>77</v>
      </c>
      <c r="F300" s="3">
        <v>2650000</v>
      </c>
      <c r="G300" s="2" t="s">
        <v>27</v>
      </c>
      <c r="H300" s="2" t="s">
        <v>28</v>
      </c>
      <c r="I300" s="2" t="s">
        <v>54</v>
      </c>
      <c r="J300" s="2" t="s">
        <v>19</v>
      </c>
      <c r="K300" s="2" t="s">
        <v>21</v>
      </c>
      <c r="L300" s="2" t="s">
        <v>533</v>
      </c>
    </row>
    <row r="301" spans="1:12" x14ac:dyDescent="0.3">
      <c r="A301" s="2" t="s">
        <v>599</v>
      </c>
      <c r="B301" s="2" t="s">
        <v>75</v>
      </c>
      <c r="C301" s="2" t="s">
        <v>211</v>
      </c>
      <c r="D301" s="2" t="s">
        <v>44</v>
      </c>
      <c r="E301" s="2" t="s">
        <v>77</v>
      </c>
      <c r="F301" s="3">
        <v>4020000</v>
      </c>
      <c r="G301" s="2" t="s">
        <v>27</v>
      </c>
      <c r="H301" s="2" t="s">
        <v>28</v>
      </c>
      <c r="I301" s="2" t="s">
        <v>39</v>
      </c>
      <c r="J301" s="2" t="s">
        <v>29</v>
      </c>
      <c r="K301" s="2" t="s">
        <v>45</v>
      </c>
      <c r="L301" s="2" t="s">
        <v>600</v>
      </c>
    </row>
    <row r="302" spans="1:12" x14ac:dyDescent="0.3">
      <c r="A302" s="2" t="s">
        <v>601</v>
      </c>
      <c r="B302" s="2" t="s">
        <v>49</v>
      </c>
      <c r="C302" s="2" t="s">
        <v>93</v>
      </c>
      <c r="D302" s="2" t="s">
        <v>15</v>
      </c>
      <c r="E302" s="2" t="s">
        <v>77</v>
      </c>
      <c r="F302" s="3">
        <v>1725000</v>
      </c>
      <c r="G302" s="2" t="s">
        <v>27</v>
      </c>
      <c r="H302" s="2" t="s">
        <v>28</v>
      </c>
      <c r="I302" s="2" t="s">
        <v>54</v>
      </c>
      <c r="J302" s="2" t="s">
        <v>45</v>
      </c>
      <c r="K302" s="2" t="s">
        <v>21</v>
      </c>
      <c r="L302" s="2" t="s">
        <v>128</v>
      </c>
    </row>
    <row r="303" spans="1:12" x14ac:dyDescent="0.3">
      <c r="A303" s="2" t="s">
        <v>602</v>
      </c>
      <c r="B303" s="2" t="s">
        <v>24</v>
      </c>
      <c r="C303" s="2" t="s">
        <v>152</v>
      </c>
      <c r="D303" s="2" t="s">
        <v>76</v>
      </c>
      <c r="E303" s="2" t="s">
        <v>77</v>
      </c>
      <c r="F303" s="3">
        <v>4025000</v>
      </c>
      <c r="G303" s="2" t="s">
        <v>27</v>
      </c>
      <c r="H303" s="2" t="s">
        <v>28</v>
      </c>
      <c r="I303" s="2" t="s">
        <v>103</v>
      </c>
      <c r="J303" s="2" t="s">
        <v>20</v>
      </c>
      <c r="K303" s="2" t="s">
        <v>39</v>
      </c>
      <c r="L303" s="2" t="s">
        <v>128</v>
      </c>
    </row>
    <row r="304" spans="1:12" x14ac:dyDescent="0.3">
      <c r="A304" s="2" t="s">
        <v>603</v>
      </c>
      <c r="B304" s="2" t="s">
        <v>57</v>
      </c>
      <c r="C304" s="2" t="s">
        <v>109</v>
      </c>
      <c r="D304" s="2" t="s">
        <v>96</v>
      </c>
      <c r="E304" s="2" t="s">
        <v>52</v>
      </c>
      <c r="F304" s="3">
        <v>385000</v>
      </c>
      <c r="G304" s="2" t="s">
        <v>17</v>
      </c>
      <c r="H304" s="2" t="s">
        <v>18</v>
      </c>
      <c r="I304" s="2" t="s">
        <v>103</v>
      </c>
      <c r="J304" s="2" t="s">
        <v>19</v>
      </c>
      <c r="K304" s="2" t="s">
        <v>21</v>
      </c>
      <c r="L304" s="2" t="s">
        <v>201</v>
      </c>
    </row>
    <row r="305" spans="1:12" x14ac:dyDescent="0.3">
      <c r="A305" s="2" t="s">
        <v>604</v>
      </c>
      <c r="B305" s="2" t="s">
        <v>57</v>
      </c>
      <c r="C305" s="2" t="s">
        <v>93</v>
      </c>
      <c r="D305" s="2" t="s">
        <v>81</v>
      </c>
      <c r="E305" s="2" t="s">
        <v>116</v>
      </c>
      <c r="F305" s="3">
        <v>880000</v>
      </c>
      <c r="G305" s="2" t="s">
        <v>27</v>
      </c>
      <c r="H305" s="2" t="s">
        <v>28</v>
      </c>
      <c r="I305" s="2" t="s">
        <v>31</v>
      </c>
      <c r="J305" s="2" t="s">
        <v>19</v>
      </c>
      <c r="K305" s="2" t="s">
        <v>45</v>
      </c>
      <c r="L305" s="2" t="s">
        <v>482</v>
      </c>
    </row>
    <row r="306" spans="1:12" x14ac:dyDescent="0.3">
      <c r="A306" s="2" t="s">
        <v>605</v>
      </c>
      <c r="B306" s="2" t="s">
        <v>178</v>
      </c>
      <c r="C306" s="2" t="s">
        <v>43</v>
      </c>
      <c r="D306" s="2" t="s">
        <v>15</v>
      </c>
      <c r="E306" s="2" t="s">
        <v>77</v>
      </c>
      <c r="F306" s="3">
        <v>1800000</v>
      </c>
      <c r="G306" s="2" t="s">
        <v>27</v>
      </c>
      <c r="H306" s="2" t="s">
        <v>59</v>
      </c>
      <c r="I306" s="2" t="s">
        <v>39</v>
      </c>
      <c r="J306" s="2" t="s">
        <v>20</v>
      </c>
      <c r="K306" s="2" t="s">
        <v>131</v>
      </c>
      <c r="L306" s="2" t="s">
        <v>142</v>
      </c>
    </row>
    <row r="307" spans="1:12" x14ac:dyDescent="0.3">
      <c r="A307" s="2" t="s">
        <v>606</v>
      </c>
      <c r="B307" s="2" t="s">
        <v>178</v>
      </c>
      <c r="C307" s="2" t="s">
        <v>288</v>
      </c>
      <c r="D307" s="2" t="s">
        <v>81</v>
      </c>
      <c r="E307" s="2" t="s">
        <v>116</v>
      </c>
      <c r="F307" s="3">
        <v>1030000</v>
      </c>
      <c r="G307" s="2" t="s">
        <v>27</v>
      </c>
      <c r="H307" s="2" t="s">
        <v>28</v>
      </c>
      <c r="I307" s="2" t="s">
        <v>20</v>
      </c>
      <c r="J307" s="2" t="s">
        <v>131</v>
      </c>
      <c r="K307" s="2" t="s">
        <v>46</v>
      </c>
      <c r="L307" s="2" t="s">
        <v>607</v>
      </c>
    </row>
    <row r="308" spans="1:12" x14ac:dyDescent="0.3">
      <c r="A308" s="2" t="s">
        <v>608</v>
      </c>
      <c r="B308" s="2" t="s">
        <v>42</v>
      </c>
      <c r="C308" s="2" t="s">
        <v>63</v>
      </c>
      <c r="D308" s="2" t="s">
        <v>36</v>
      </c>
      <c r="E308" s="2" t="s">
        <v>52</v>
      </c>
      <c r="F308" s="3">
        <v>355000</v>
      </c>
      <c r="G308" s="2" t="s">
        <v>17</v>
      </c>
      <c r="H308" s="2" t="s">
        <v>18</v>
      </c>
      <c r="I308" s="2" t="s">
        <v>38</v>
      </c>
      <c r="J308" s="2" t="s">
        <v>46</v>
      </c>
      <c r="K308" s="2" t="s">
        <v>20</v>
      </c>
      <c r="L308" s="2" t="s">
        <v>273</v>
      </c>
    </row>
    <row r="309" spans="1:12" x14ac:dyDescent="0.3">
      <c r="A309" s="2" t="s">
        <v>609</v>
      </c>
      <c r="B309" s="2" t="s">
        <v>42</v>
      </c>
      <c r="C309" s="2" t="s">
        <v>95</v>
      </c>
      <c r="D309" s="2" t="s">
        <v>51</v>
      </c>
      <c r="E309" s="2" t="s">
        <v>116</v>
      </c>
      <c r="F309" s="3">
        <v>1490000</v>
      </c>
      <c r="G309" s="2" t="s">
        <v>17</v>
      </c>
      <c r="H309" s="2" t="s">
        <v>18</v>
      </c>
      <c r="I309" s="2" t="s">
        <v>31</v>
      </c>
      <c r="J309" s="2" t="s">
        <v>38</v>
      </c>
      <c r="K309" s="2" t="s">
        <v>20</v>
      </c>
      <c r="L309" s="2" t="s">
        <v>610</v>
      </c>
    </row>
    <row r="310" spans="1:12" x14ac:dyDescent="0.3">
      <c r="A310" s="2" t="s">
        <v>611</v>
      </c>
      <c r="B310" s="2" t="s">
        <v>75</v>
      </c>
      <c r="C310" s="2" t="s">
        <v>188</v>
      </c>
      <c r="D310" s="2" t="s">
        <v>44</v>
      </c>
      <c r="E310" s="2" t="s">
        <v>77</v>
      </c>
      <c r="F310" s="3">
        <v>3260000</v>
      </c>
      <c r="G310" s="2" t="s">
        <v>17</v>
      </c>
      <c r="H310" s="2" t="s">
        <v>59</v>
      </c>
      <c r="I310" s="2" t="s">
        <v>31</v>
      </c>
      <c r="J310" s="2" t="s">
        <v>54</v>
      </c>
      <c r="K310" s="2" t="s">
        <v>72</v>
      </c>
      <c r="L310" s="2" t="s">
        <v>22</v>
      </c>
    </row>
    <row r="311" spans="1:12" x14ac:dyDescent="0.3">
      <c r="A311" s="2" t="s">
        <v>612</v>
      </c>
      <c r="B311" s="2" t="s">
        <v>75</v>
      </c>
      <c r="C311" s="2" t="s">
        <v>461</v>
      </c>
      <c r="D311" s="2" t="s">
        <v>44</v>
      </c>
      <c r="E311" s="2" t="s">
        <v>116</v>
      </c>
      <c r="F311" s="3">
        <v>1030000</v>
      </c>
      <c r="G311" s="2" t="s">
        <v>27</v>
      </c>
      <c r="H311" s="2" t="s">
        <v>28</v>
      </c>
      <c r="I311" s="2" t="s">
        <v>21</v>
      </c>
      <c r="J311" s="2" t="s">
        <v>46</v>
      </c>
      <c r="K311" s="2" t="s">
        <v>54</v>
      </c>
      <c r="L311" s="2" t="s">
        <v>613</v>
      </c>
    </row>
    <row r="312" spans="1:12" x14ac:dyDescent="0.3">
      <c r="A312" s="2" t="s">
        <v>614</v>
      </c>
      <c r="B312" s="2" t="s">
        <v>149</v>
      </c>
      <c r="C312" s="2" t="s">
        <v>288</v>
      </c>
      <c r="D312" s="2" t="s">
        <v>15</v>
      </c>
      <c r="E312" s="2" t="s">
        <v>16</v>
      </c>
      <c r="F312" s="3">
        <v>1030000</v>
      </c>
      <c r="G312" s="2" t="s">
        <v>27</v>
      </c>
      <c r="H312" s="2" t="s">
        <v>18</v>
      </c>
      <c r="I312" s="2" t="s">
        <v>72</v>
      </c>
      <c r="J312" s="2" t="s">
        <v>29</v>
      </c>
      <c r="K312" s="2" t="s">
        <v>19</v>
      </c>
      <c r="L312" s="2" t="s">
        <v>615</v>
      </c>
    </row>
    <row r="313" spans="1:12" x14ac:dyDescent="0.3">
      <c r="A313" s="2" t="s">
        <v>616</v>
      </c>
      <c r="B313" s="2" t="s">
        <v>149</v>
      </c>
      <c r="C313" s="2" t="s">
        <v>271</v>
      </c>
      <c r="D313" s="2" t="s">
        <v>26</v>
      </c>
      <c r="E313" s="2" t="s">
        <v>77</v>
      </c>
      <c r="F313" s="3">
        <v>3355000</v>
      </c>
      <c r="G313" s="2" t="s">
        <v>27</v>
      </c>
      <c r="H313" s="2" t="s">
        <v>18</v>
      </c>
      <c r="I313" s="2" t="s">
        <v>39</v>
      </c>
      <c r="J313" s="2" t="s">
        <v>30</v>
      </c>
      <c r="K313" s="2" t="s">
        <v>131</v>
      </c>
      <c r="L313" s="2" t="s">
        <v>617</v>
      </c>
    </row>
    <row r="314" spans="1:12" x14ac:dyDescent="0.3">
      <c r="A314" s="2" t="s">
        <v>618</v>
      </c>
      <c r="B314" s="2" t="s">
        <v>62</v>
      </c>
      <c r="C314" s="2" t="s">
        <v>181</v>
      </c>
      <c r="D314" s="2" t="s">
        <v>26</v>
      </c>
      <c r="E314" s="2" t="s">
        <v>52</v>
      </c>
      <c r="F314" s="3">
        <v>755000</v>
      </c>
      <c r="G314" s="2" t="s">
        <v>27</v>
      </c>
      <c r="H314" s="2" t="s">
        <v>59</v>
      </c>
      <c r="I314" s="2" t="s">
        <v>31</v>
      </c>
      <c r="J314" s="2" t="s">
        <v>30</v>
      </c>
      <c r="K314" s="2" t="s">
        <v>20</v>
      </c>
      <c r="L314" s="2" t="s">
        <v>387</v>
      </c>
    </row>
    <row r="315" spans="1:12" x14ac:dyDescent="0.3">
      <c r="A315" s="2" t="s">
        <v>619</v>
      </c>
      <c r="B315" s="2" t="s">
        <v>34</v>
      </c>
      <c r="C315" s="2" t="s">
        <v>50</v>
      </c>
      <c r="D315" s="2" t="s">
        <v>76</v>
      </c>
      <c r="E315" s="2" t="s">
        <v>37</v>
      </c>
      <c r="F315" s="3">
        <v>1240000</v>
      </c>
      <c r="G315" s="2" t="s">
        <v>27</v>
      </c>
      <c r="H315" s="2" t="s">
        <v>28</v>
      </c>
      <c r="I315" s="2" t="s">
        <v>72</v>
      </c>
      <c r="J315" s="2" t="s">
        <v>38</v>
      </c>
      <c r="K315" s="2" t="s">
        <v>29</v>
      </c>
      <c r="L315" s="2" t="s">
        <v>620</v>
      </c>
    </row>
    <row r="316" spans="1:12" x14ac:dyDescent="0.3">
      <c r="A316" s="2" t="s">
        <v>621</v>
      </c>
      <c r="B316" s="2" t="s">
        <v>13</v>
      </c>
      <c r="C316" s="2" t="s">
        <v>194</v>
      </c>
      <c r="D316" s="2" t="s">
        <v>15</v>
      </c>
      <c r="E316" s="2" t="s">
        <v>16</v>
      </c>
      <c r="F316" s="3">
        <v>775000</v>
      </c>
      <c r="G316" s="2" t="s">
        <v>27</v>
      </c>
      <c r="H316" s="2" t="s">
        <v>18</v>
      </c>
      <c r="I316" s="2" t="s">
        <v>45</v>
      </c>
      <c r="J316" s="2" t="s">
        <v>19</v>
      </c>
      <c r="K316" s="2" t="s">
        <v>38</v>
      </c>
      <c r="L316" s="2" t="s">
        <v>314</v>
      </c>
    </row>
    <row r="317" spans="1:12" x14ac:dyDescent="0.3">
      <c r="A317" s="2" t="s">
        <v>622</v>
      </c>
      <c r="B317" s="2" t="s">
        <v>34</v>
      </c>
      <c r="C317" s="2" t="s">
        <v>357</v>
      </c>
      <c r="D317" s="2" t="s">
        <v>76</v>
      </c>
      <c r="E317" s="2" t="s">
        <v>37</v>
      </c>
      <c r="F317" s="3">
        <v>2040000</v>
      </c>
      <c r="G317" s="2" t="s">
        <v>27</v>
      </c>
      <c r="H317" s="2" t="s">
        <v>18</v>
      </c>
      <c r="I317" s="2" t="s">
        <v>39</v>
      </c>
      <c r="J317" s="2" t="s">
        <v>45</v>
      </c>
      <c r="K317" s="2" t="s">
        <v>31</v>
      </c>
      <c r="L317" s="2" t="s">
        <v>65</v>
      </c>
    </row>
    <row r="318" spans="1:12" x14ac:dyDescent="0.3">
      <c r="A318" s="2" t="s">
        <v>623</v>
      </c>
      <c r="B318" s="2" t="s">
        <v>62</v>
      </c>
      <c r="C318" s="2" t="s">
        <v>530</v>
      </c>
      <c r="D318" s="2" t="s">
        <v>36</v>
      </c>
      <c r="E318" s="2" t="s">
        <v>52</v>
      </c>
      <c r="F318" s="3">
        <v>250000</v>
      </c>
      <c r="G318" s="2" t="s">
        <v>53</v>
      </c>
      <c r="H318" s="2" t="s">
        <v>28</v>
      </c>
      <c r="I318" s="2" t="s">
        <v>20</v>
      </c>
      <c r="J318" s="2" t="s">
        <v>30</v>
      </c>
      <c r="K318" s="2" t="s">
        <v>45</v>
      </c>
      <c r="L318" s="2" t="s">
        <v>624</v>
      </c>
    </row>
    <row r="319" spans="1:12" x14ac:dyDescent="0.3">
      <c r="A319" s="2" t="s">
        <v>625</v>
      </c>
      <c r="B319" s="2" t="s">
        <v>57</v>
      </c>
      <c r="C319" s="2" t="s">
        <v>160</v>
      </c>
      <c r="D319" s="2" t="s">
        <v>76</v>
      </c>
      <c r="E319" s="2" t="s">
        <v>77</v>
      </c>
      <c r="F319" s="3">
        <v>3185000</v>
      </c>
      <c r="G319" s="2" t="s">
        <v>27</v>
      </c>
      <c r="H319" s="2" t="s">
        <v>18</v>
      </c>
      <c r="I319" s="2" t="s">
        <v>45</v>
      </c>
      <c r="J319" s="2" t="s">
        <v>72</v>
      </c>
      <c r="K319" s="2" t="s">
        <v>103</v>
      </c>
      <c r="L319" s="2" t="s">
        <v>486</v>
      </c>
    </row>
    <row r="320" spans="1:12" x14ac:dyDescent="0.3">
      <c r="A320" s="2" t="s">
        <v>626</v>
      </c>
      <c r="B320" s="2" t="s">
        <v>57</v>
      </c>
      <c r="C320" s="2" t="s">
        <v>102</v>
      </c>
      <c r="D320" s="2" t="s">
        <v>15</v>
      </c>
      <c r="E320" s="2" t="s">
        <v>77</v>
      </c>
      <c r="F320" s="3">
        <v>3065000</v>
      </c>
      <c r="G320" s="2" t="s">
        <v>27</v>
      </c>
      <c r="H320" s="2" t="s">
        <v>28</v>
      </c>
      <c r="I320" s="2" t="s">
        <v>29</v>
      </c>
      <c r="J320" s="2" t="s">
        <v>31</v>
      </c>
      <c r="K320" s="2" t="s">
        <v>45</v>
      </c>
      <c r="L320" s="2" t="s">
        <v>627</v>
      </c>
    </row>
    <row r="321" spans="1:12" x14ac:dyDescent="0.3">
      <c r="A321" s="2" t="s">
        <v>628</v>
      </c>
      <c r="B321" s="2" t="s">
        <v>62</v>
      </c>
      <c r="C321" s="2" t="s">
        <v>396</v>
      </c>
      <c r="D321" s="2" t="s">
        <v>44</v>
      </c>
      <c r="E321" s="2" t="s">
        <v>37</v>
      </c>
      <c r="F321" s="3">
        <v>1890000</v>
      </c>
      <c r="G321" s="2" t="s">
        <v>17</v>
      </c>
      <c r="H321" s="2" t="s">
        <v>28</v>
      </c>
      <c r="I321" s="2" t="s">
        <v>20</v>
      </c>
      <c r="J321" s="2" t="s">
        <v>45</v>
      </c>
      <c r="K321" s="2" t="s">
        <v>31</v>
      </c>
      <c r="L321" s="2" t="s">
        <v>424</v>
      </c>
    </row>
    <row r="322" spans="1:12" x14ac:dyDescent="0.3">
      <c r="A322" s="2" t="s">
        <v>629</v>
      </c>
      <c r="B322" s="2" t="s">
        <v>42</v>
      </c>
      <c r="C322" s="2" t="s">
        <v>268</v>
      </c>
      <c r="D322" s="2" t="s">
        <v>71</v>
      </c>
      <c r="E322" s="2" t="s">
        <v>116</v>
      </c>
      <c r="F322" s="3">
        <v>1140000</v>
      </c>
      <c r="G322" s="2" t="s">
        <v>17</v>
      </c>
      <c r="H322" s="2" t="s">
        <v>18</v>
      </c>
      <c r="I322" s="2" t="s">
        <v>29</v>
      </c>
      <c r="J322" s="2" t="s">
        <v>45</v>
      </c>
      <c r="K322" s="2" t="s">
        <v>38</v>
      </c>
      <c r="L322" s="2" t="s">
        <v>316</v>
      </c>
    </row>
    <row r="323" spans="1:12" x14ac:dyDescent="0.3">
      <c r="A323" s="2" t="s">
        <v>630</v>
      </c>
      <c r="B323" s="2" t="s">
        <v>75</v>
      </c>
      <c r="C323" s="2" t="s">
        <v>84</v>
      </c>
      <c r="D323" s="2" t="s">
        <v>71</v>
      </c>
      <c r="E323" s="2" t="s">
        <v>37</v>
      </c>
      <c r="F323" s="3">
        <v>2145000</v>
      </c>
      <c r="G323" s="2" t="s">
        <v>27</v>
      </c>
      <c r="H323" s="2" t="s">
        <v>18</v>
      </c>
      <c r="I323" s="2" t="s">
        <v>29</v>
      </c>
      <c r="J323" s="2" t="s">
        <v>45</v>
      </c>
      <c r="K323" s="2" t="s">
        <v>46</v>
      </c>
      <c r="L323" s="2" t="s">
        <v>256</v>
      </c>
    </row>
    <row r="324" spans="1:12" x14ac:dyDescent="0.3">
      <c r="A324" s="2" t="s">
        <v>631</v>
      </c>
      <c r="B324" s="2" t="s">
        <v>42</v>
      </c>
      <c r="C324" s="2" t="s">
        <v>428</v>
      </c>
      <c r="D324" s="2" t="s">
        <v>81</v>
      </c>
      <c r="E324" s="2" t="s">
        <v>16</v>
      </c>
      <c r="F324" s="3">
        <v>885000</v>
      </c>
      <c r="G324" s="2" t="s">
        <v>27</v>
      </c>
      <c r="H324" s="2" t="s">
        <v>28</v>
      </c>
      <c r="I324" s="2" t="s">
        <v>103</v>
      </c>
      <c r="J324" s="2" t="s">
        <v>45</v>
      </c>
      <c r="K324" s="2" t="s">
        <v>21</v>
      </c>
      <c r="L324" s="2" t="s">
        <v>387</v>
      </c>
    </row>
    <row r="325" spans="1:12" x14ac:dyDescent="0.3">
      <c r="A325" s="2" t="s">
        <v>632</v>
      </c>
      <c r="B325" s="2" t="s">
        <v>13</v>
      </c>
      <c r="C325" s="2" t="s">
        <v>80</v>
      </c>
      <c r="D325" s="2" t="s">
        <v>71</v>
      </c>
      <c r="E325" s="2" t="s">
        <v>16</v>
      </c>
      <c r="F325" s="3">
        <v>655000</v>
      </c>
      <c r="G325" s="2" t="s">
        <v>27</v>
      </c>
      <c r="H325" s="2" t="s">
        <v>28</v>
      </c>
      <c r="I325" s="2" t="s">
        <v>19</v>
      </c>
      <c r="J325" s="2" t="s">
        <v>131</v>
      </c>
      <c r="K325" s="2" t="s">
        <v>54</v>
      </c>
      <c r="L325" s="2" t="s">
        <v>633</v>
      </c>
    </row>
    <row r="326" spans="1:12" x14ac:dyDescent="0.3">
      <c r="A326" s="2" t="s">
        <v>634</v>
      </c>
      <c r="B326" s="2" t="s">
        <v>178</v>
      </c>
      <c r="C326" s="2" t="s">
        <v>102</v>
      </c>
      <c r="D326" s="2" t="s">
        <v>96</v>
      </c>
      <c r="E326" s="2" t="s">
        <v>116</v>
      </c>
      <c r="F326" s="3">
        <v>1010000</v>
      </c>
      <c r="G326" s="2" t="s">
        <v>27</v>
      </c>
      <c r="H326" s="2" t="s">
        <v>28</v>
      </c>
      <c r="I326" s="2" t="s">
        <v>45</v>
      </c>
      <c r="J326" s="2" t="s">
        <v>20</v>
      </c>
      <c r="K326" s="2" t="s">
        <v>39</v>
      </c>
      <c r="L326" s="2" t="s">
        <v>173</v>
      </c>
    </row>
    <row r="327" spans="1:12" x14ac:dyDescent="0.3">
      <c r="A327" s="2" t="s">
        <v>635</v>
      </c>
      <c r="B327" s="2" t="s">
        <v>13</v>
      </c>
      <c r="C327" s="2" t="s">
        <v>389</v>
      </c>
      <c r="D327" s="2" t="s">
        <v>71</v>
      </c>
      <c r="E327" s="2" t="s">
        <v>16</v>
      </c>
      <c r="F327" s="3">
        <v>910000</v>
      </c>
      <c r="G327" s="2" t="s">
        <v>27</v>
      </c>
      <c r="H327" s="2" t="s">
        <v>28</v>
      </c>
      <c r="I327" s="2" t="s">
        <v>29</v>
      </c>
      <c r="J327" s="2" t="s">
        <v>131</v>
      </c>
      <c r="K327" s="2" t="s">
        <v>54</v>
      </c>
      <c r="L327" s="2" t="s">
        <v>636</v>
      </c>
    </row>
    <row r="328" spans="1:12" x14ac:dyDescent="0.3">
      <c r="A328" s="2" t="s">
        <v>637</v>
      </c>
      <c r="B328" s="2" t="s">
        <v>75</v>
      </c>
      <c r="C328" s="2" t="s">
        <v>338</v>
      </c>
      <c r="D328" s="2" t="s">
        <v>15</v>
      </c>
      <c r="E328" s="2" t="s">
        <v>37</v>
      </c>
      <c r="F328" s="3">
        <v>2030000</v>
      </c>
      <c r="G328" s="2" t="s">
        <v>27</v>
      </c>
      <c r="H328" s="2" t="s">
        <v>59</v>
      </c>
      <c r="I328" s="2" t="s">
        <v>54</v>
      </c>
      <c r="J328" s="2" t="s">
        <v>45</v>
      </c>
      <c r="K328" s="2" t="s">
        <v>72</v>
      </c>
      <c r="L328" s="2" t="s">
        <v>496</v>
      </c>
    </row>
    <row r="329" spans="1:12" x14ac:dyDescent="0.3">
      <c r="A329" s="2" t="s">
        <v>638</v>
      </c>
      <c r="B329" s="2" t="s">
        <v>62</v>
      </c>
      <c r="C329" s="2" t="s">
        <v>242</v>
      </c>
      <c r="D329" s="2" t="s">
        <v>44</v>
      </c>
      <c r="E329" s="2" t="s">
        <v>116</v>
      </c>
      <c r="F329" s="3">
        <v>1600000</v>
      </c>
      <c r="G329" s="2" t="s">
        <v>27</v>
      </c>
      <c r="H329" s="2" t="s">
        <v>59</v>
      </c>
      <c r="I329" s="2" t="s">
        <v>19</v>
      </c>
      <c r="J329" s="2" t="s">
        <v>20</v>
      </c>
      <c r="K329" s="2" t="s">
        <v>29</v>
      </c>
      <c r="L329" s="2" t="s">
        <v>170</v>
      </c>
    </row>
    <row r="330" spans="1:12" x14ac:dyDescent="0.3">
      <c r="A330" s="2" t="s">
        <v>639</v>
      </c>
      <c r="B330" s="2" t="s">
        <v>42</v>
      </c>
      <c r="C330" s="2" t="s">
        <v>95</v>
      </c>
      <c r="D330" s="2" t="s">
        <v>71</v>
      </c>
      <c r="E330" s="2" t="s">
        <v>52</v>
      </c>
      <c r="F330" s="3">
        <v>320000</v>
      </c>
      <c r="G330" s="2" t="s">
        <v>53</v>
      </c>
      <c r="H330" s="2" t="s">
        <v>28</v>
      </c>
      <c r="I330" s="2" t="s">
        <v>39</v>
      </c>
      <c r="J330" s="2" t="s">
        <v>68</v>
      </c>
      <c r="K330" s="2" t="s">
        <v>131</v>
      </c>
      <c r="L330" s="2" t="s">
        <v>640</v>
      </c>
    </row>
    <row r="331" spans="1:12" x14ac:dyDescent="0.3">
      <c r="A331" s="2" t="s">
        <v>641</v>
      </c>
      <c r="B331" s="2" t="s">
        <v>13</v>
      </c>
      <c r="C331" s="2" t="s">
        <v>208</v>
      </c>
      <c r="D331" s="2" t="s">
        <v>26</v>
      </c>
      <c r="E331" s="2" t="s">
        <v>52</v>
      </c>
      <c r="F331" s="3">
        <v>345000</v>
      </c>
      <c r="G331" s="2" t="s">
        <v>53</v>
      </c>
      <c r="H331" s="2" t="s">
        <v>18</v>
      </c>
      <c r="I331" s="2" t="s">
        <v>54</v>
      </c>
      <c r="J331" s="2" t="s">
        <v>19</v>
      </c>
      <c r="K331" s="2" t="s">
        <v>21</v>
      </c>
      <c r="L331" s="2" t="s">
        <v>432</v>
      </c>
    </row>
    <row r="332" spans="1:12" x14ac:dyDescent="0.3">
      <c r="A332" s="2" t="s">
        <v>642</v>
      </c>
      <c r="B332" s="2" t="s">
        <v>13</v>
      </c>
      <c r="C332" s="2" t="s">
        <v>321</v>
      </c>
      <c r="D332" s="2" t="s">
        <v>76</v>
      </c>
      <c r="E332" s="2" t="s">
        <v>116</v>
      </c>
      <c r="F332" s="3">
        <v>1245000</v>
      </c>
      <c r="G332" s="2" t="s">
        <v>27</v>
      </c>
      <c r="H332" s="2" t="s">
        <v>28</v>
      </c>
      <c r="I332" s="2" t="s">
        <v>21</v>
      </c>
      <c r="J332" s="2" t="s">
        <v>46</v>
      </c>
      <c r="K332" s="2" t="s">
        <v>72</v>
      </c>
      <c r="L332" s="2" t="s">
        <v>643</v>
      </c>
    </row>
    <row r="333" spans="1:12" x14ac:dyDescent="0.3">
      <c r="A333" s="2" t="s">
        <v>644</v>
      </c>
      <c r="B333" s="2" t="s">
        <v>62</v>
      </c>
      <c r="C333" s="2" t="s">
        <v>112</v>
      </c>
      <c r="D333" s="2" t="s">
        <v>26</v>
      </c>
      <c r="E333" s="2" t="s">
        <v>37</v>
      </c>
      <c r="F333" s="3">
        <v>1210000</v>
      </c>
      <c r="G333" s="2" t="s">
        <v>27</v>
      </c>
      <c r="H333" s="2" t="s">
        <v>18</v>
      </c>
      <c r="I333" s="2" t="s">
        <v>30</v>
      </c>
      <c r="J333" s="2" t="s">
        <v>46</v>
      </c>
      <c r="K333" s="2" t="s">
        <v>20</v>
      </c>
      <c r="L333" s="2" t="s">
        <v>413</v>
      </c>
    </row>
    <row r="334" spans="1:12" x14ac:dyDescent="0.3">
      <c r="A334" s="2" t="s">
        <v>645</v>
      </c>
      <c r="B334" s="2" t="s">
        <v>57</v>
      </c>
      <c r="C334" s="2" t="s">
        <v>260</v>
      </c>
      <c r="D334" s="2" t="s">
        <v>26</v>
      </c>
      <c r="E334" s="2" t="s">
        <v>116</v>
      </c>
      <c r="F334" s="3">
        <v>1550000</v>
      </c>
      <c r="G334" s="2" t="s">
        <v>27</v>
      </c>
      <c r="H334" s="2" t="s">
        <v>28</v>
      </c>
      <c r="I334" s="2" t="s">
        <v>21</v>
      </c>
      <c r="J334" s="2" t="s">
        <v>45</v>
      </c>
      <c r="K334" s="2" t="s">
        <v>19</v>
      </c>
      <c r="L334" s="2" t="s">
        <v>346</v>
      </c>
    </row>
    <row r="335" spans="1:12" x14ac:dyDescent="0.3">
      <c r="A335" s="2" t="s">
        <v>646</v>
      </c>
      <c r="B335" s="2" t="s">
        <v>24</v>
      </c>
      <c r="C335" s="2" t="s">
        <v>63</v>
      </c>
      <c r="D335" s="2" t="s">
        <v>36</v>
      </c>
      <c r="E335" s="2" t="s">
        <v>52</v>
      </c>
      <c r="F335" s="3">
        <v>385000</v>
      </c>
      <c r="G335" s="2" t="s">
        <v>53</v>
      </c>
      <c r="H335" s="2" t="s">
        <v>28</v>
      </c>
      <c r="I335" s="2" t="s">
        <v>19</v>
      </c>
      <c r="J335" s="2" t="s">
        <v>103</v>
      </c>
      <c r="K335" s="2" t="s">
        <v>68</v>
      </c>
      <c r="L335" s="2" t="s">
        <v>647</v>
      </c>
    </row>
    <row r="336" spans="1:12" x14ac:dyDescent="0.3">
      <c r="A336" s="2" t="s">
        <v>648</v>
      </c>
      <c r="B336" s="2" t="s">
        <v>24</v>
      </c>
      <c r="C336" s="2" t="s">
        <v>123</v>
      </c>
      <c r="D336" s="2" t="s">
        <v>51</v>
      </c>
      <c r="E336" s="2" t="s">
        <v>37</v>
      </c>
      <c r="F336" s="3">
        <v>2110000</v>
      </c>
      <c r="G336" s="2" t="s">
        <v>27</v>
      </c>
      <c r="H336" s="2" t="s">
        <v>59</v>
      </c>
      <c r="I336" s="2" t="s">
        <v>46</v>
      </c>
      <c r="J336" s="2" t="s">
        <v>31</v>
      </c>
      <c r="K336" s="2" t="s">
        <v>39</v>
      </c>
      <c r="L336" s="2" t="s">
        <v>647</v>
      </c>
    </row>
    <row r="337" spans="1:12" x14ac:dyDescent="0.3">
      <c r="A337" s="2" t="s">
        <v>649</v>
      </c>
      <c r="B337" s="2" t="s">
        <v>24</v>
      </c>
      <c r="C337" s="2" t="s">
        <v>63</v>
      </c>
      <c r="D337" s="2" t="s">
        <v>26</v>
      </c>
      <c r="E337" s="2" t="s">
        <v>16</v>
      </c>
      <c r="F337" s="3">
        <v>560000</v>
      </c>
      <c r="G337" s="2" t="s">
        <v>27</v>
      </c>
      <c r="H337" s="2" t="s">
        <v>18</v>
      </c>
      <c r="I337" s="2" t="s">
        <v>31</v>
      </c>
      <c r="J337" s="2" t="s">
        <v>103</v>
      </c>
      <c r="K337" s="2" t="s">
        <v>19</v>
      </c>
      <c r="L337" s="2" t="s">
        <v>327</v>
      </c>
    </row>
    <row r="338" spans="1:12" x14ac:dyDescent="0.3">
      <c r="A338" s="2" t="s">
        <v>650</v>
      </c>
      <c r="B338" s="2" t="s">
        <v>42</v>
      </c>
      <c r="C338" s="2" t="s">
        <v>84</v>
      </c>
      <c r="D338" s="2" t="s">
        <v>51</v>
      </c>
      <c r="E338" s="2" t="s">
        <v>116</v>
      </c>
      <c r="F338" s="3">
        <v>1160000</v>
      </c>
      <c r="G338" s="2" t="s">
        <v>27</v>
      </c>
      <c r="H338" s="2" t="s">
        <v>18</v>
      </c>
      <c r="I338" s="2" t="s">
        <v>19</v>
      </c>
      <c r="J338" s="2" t="s">
        <v>38</v>
      </c>
      <c r="K338" s="2" t="s">
        <v>68</v>
      </c>
      <c r="L338" s="2" t="s">
        <v>397</v>
      </c>
    </row>
    <row r="339" spans="1:12" x14ac:dyDescent="0.3">
      <c r="A339" s="2" t="s">
        <v>651</v>
      </c>
      <c r="B339" s="2" t="s">
        <v>149</v>
      </c>
      <c r="C339" s="2" t="s">
        <v>334</v>
      </c>
      <c r="D339" s="2" t="s">
        <v>64</v>
      </c>
      <c r="E339" s="2" t="s">
        <v>52</v>
      </c>
      <c r="F339" s="3">
        <v>480000</v>
      </c>
      <c r="G339" s="2" t="s">
        <v>27</v>
      </c>
      <c r="H339" s="2" t="s">
        <v>59</v>
      </c>
      <c r="I339" s="2" t="s">
        <v>131</v>
      </c>
      <c r="J339" s="2" t="s">
        <v>72</v>
      </c>
      <c r="K339" s="2" t="s">
        <v>20</v>
      </c>
      <c r="L339" s="2" t="s">
        <v>652</v>
      </c>
    </row>
    <row r="340" spans="1:12" x14ac:dyDescent="0.3">
      <c r="A340" s="2" t="s">
        <v>653</v>
      </c>
      <c r="B340" s="2" t="s">
        <v>75</v>
      </c>
      <c r="C340" s="2" t="s">
        <v>242</v>
      </c>
      <c r="D340" s="2" t="s">
        <v>51</v>
      </c>
      <c r="E340" s="2" t="s">
        <v>16</v>
      </c>
      <c r="F340" s="3">
        <v>950000</v>
      </c>
      <c r="G340" s="2" t="s">
        <v>27</v>
      </c>
      <c r="H340" s="2" t="s">
        <v>18</v>
      </c>
      <c r="I340" s="2" t="s">
        <v>45</v>
      </c>
      <c r="J340" s="2" t="s">
        <v>54</v>
      </c>
      <c r="K340" s="2" t="s">
        <v>68</v>
      </c>
      <c r="L340" s="2" t="s">
        <v>156</v>
      </c>
    </row>
    <row r="341" spans="1:12" x14ac:dyDescent="0.3">
      <c r="A341" s="2" t="s">
        <v>654</v>
      </c>
      <c r="B341" s="2" t="s">
        <v>57</v>
      </c>
      <c r="C341" s="2" t="s">
        <v>655</v>
      </c>
      <c r="D341" s="2" t="s">
        <v>76</v>
      </c>
      <c r="E341" s="2" t="s">
        <v>37</v>
      </c>
      <c r="F341" s="3">
        <v>1025000</v>
      </c>
      <c r="G341" s="2" t="s">
        <v>27</v>
      </c>
      <c r="H341" s="2" t="s">
        <v>18</v>
      </c>
      <c r="I341" s="2" t="s">
        <v>72</v>
      </c>
      <c r="J341" s="2" t="s">
        <v>39</v>
      </c>
      <c r="K341" s="2" t="s">
        <v>30</v>
      </c>
      <c r="L341" s="2" t="s">
        <v>88</v>
      </c>
    </row>
    <row r="342" spans="1:12" x14ac:dyDescent="0.3">
      <c r="A342" s="2" t="s">
        <v>656</v>
      </c>
      <c r="B342" s="2" t="s">
        <v>13</v>
      </c>
      <c r="C342" s="2" t="s">
        <v>249</v>
      </c>
      <c r="D342" s="2" t="s">
        <v>44</v>
      </c>
      <c r="E342" s="2" t="s">
        <v>16</v>
      </c>
      <c r="F342" s="3">
        <v>655000</v>
      </c>
      <c r="G342" s="2" t="s">
        <v>27</v>
      </c>
      <c r="H342" s="2" t="s">
        <v>18</v>
      </c>
      <c r="I342" s="2" t="s">
        <v>45</v>
      </c>
      <c r="J342" s="2" t="s">
        <v>72</v>
      </c>
      <c r="K342" s="2" t="s">
        <v>19</v>
      </c>
      <c r="L342" s="2" t="s">
        <v>312</v>
      </c>
    </row>
    <row r="343" spans="1:12" x14ac:dyDescent="0.3">
      <c r="A343" s="2" t="s">
        <v>657</v>
      </c>
      <c r="B343" s="2" t="s">
        <v>62</v>
      </c>
      <c r="C343" s="2" t="s">
        <v>237</v>
      </c>
      <c r="D343" s="2" t="s">
        <v>51</v>
      </c>
      <c r="E343" s="2" t="s">
        <v>37</v>
      </c>
      <c r="F343" s="3">
        <v>1640000</v>
      </c>
      <c r="G343" s="2" t="s">
        <v>17</v>
      </c>
      <c r="H343" s="2" t="s">
        <v>28</v>
      </c>
      <c r="I343" s="2" t="s">
        <v>21</v>
      </c>
      <c r="J343" s="2" t="s">
        <v>29</v>
      </c>
      <c r="K343" s="2" t="s">
        <v>31</v>
      </c>
      <c r="L343" s="2" t="s">
        <v>85</v>
      </c>
    </row>
    <row r="344" spans="1:12" x14ac:dyDescent="0.3">
      <c r="A344" s="2" t="s">
        <v>658</v>
      </c>
      <c r="B344" s="2" t="s">
        <v>34</v>
      </c>
      <c r="C344" s="2" t="s">
        <v>106</v>
      </c>
      <c r="D344" s="2" t="s">
        <v>44</v>
      </c>
      <c r="E344" s="2" t="s">
        <v>77</v>
      </c>
      <c r="F344" s="3">
        <v>2905000</v>
      </c>
      <c r="G344" s="2" t="s">
        <v>27</v>
      </c>
      <c r="H344" s="2" t="s">
        <v>18</v>
      </c>
      <c r="I344" s="2" t="s">
        <v>46</v>
      </c>
      <c r="J344" s="2" t="s">
        <v>20</v>
      </c>
      <c r="K344" s="2" t="s">
        <v>38</v>
      </c>
      <c r="L344" s="2" t="s">
        <v>168</v>
      </c>
    </row>
    <row r="345" spans="1:12" x14ac:dyDescent="0.3">
      <c r="A345" s="2" t="s">
        <v>659</v>
      </c>
      <c r="B345" s="2" t="s">
        <v>149</v>
      </c>
      <c r="C345" s="2" t="s">
        <v>155</v>
      </c>
      <c r="D345" s="2" t="s">
        <v>51</v>
      </c>
      <c r="E345" s="2" t="s">
        <v>37</v>
      </c>
      <c r="F345" s="3">
        <v>1160000</v>
      </c>
      <c r="G345" s="2" t="s">
        <v>27</v>
      </c>
      <c r="H345" s="2" t="s">
        <v>28</v>
      </c>
      <c r="I345" s="2" t="s">
        <v>29</v>
      </c>
      <c r="J345" s="2" t="s">
        <v>45</v>
      </c>
      <c r="K345" s="2" t="s">
        <v>46</v>
      </c>
      <c r="L345" s="2" t="s">
        <v>559</v>
      </c>
    </row>
    <row r="346" spans="1:12" x14ac:dyDescent="0.3">
      <c r="A346" s="2" t="s">
        <v>660</v>
      </c>
      <c r="B346" s="2" t="s">
        <v>13</v>
      </c>
      <c r="C346" s="2" t="s">
        <v>102</v>
      </c>
      <c r="D346" s="2" t="s">
        <v>15</v>
      </c>
      <c r="E346" s="2" t="s">
        <v>52</v>
      </c>
      <c r="F346" s="3">
        <v>295000</v>
      </c>
      <c r="G346" s="2" t="s">
        <v>53</v>
      </c>
      <c r="H346" s="2" t="s">
        <v>28</v>
      </c>
      <c r="I346" s="2" t="s">
        <v>45</v>
      </c>
      <c r="J346" s="2" t="s">
        <v>30</v>
      </c>
      <c r="K346" s="2" t="s">
        <v>19</v>
      </c>
      <c r="L346" s="2" t="s">
        <v>661</v>
      </c>
    </row>
    <row r="347" spans="1:12" x14ac:dyDescent="0.3">
      <c r="A347" s="2" t="s">
        <v>662</v>
      </c>
      <c r="B347" s="2" t="s">
        <v>178</v>
      </c>
      <c r="C347" s="2" t="s">
        <v>63</v>
      </c>
      <c r="D347" s="2" t="s">
        <v>81</v>
      </c>
      <c r="E347" s="2" t="s">
        <v>37</v>
      </c>
      <c r="F347" s="3">
        <v>1030000</v>
      </c>
      <c r="G347" s="2" t="s">
        <v>17</v>
      </c>
      <c r="H347" s="2" t="s">
        <v>28</v>
      </c>
      <c r="I347" s="2" t="s">
        <v>72</v>
      </c>
      <c r="J347" s="2" t="s">
        <v>39</v>
      </c>
      <c r="K347" s="2" t="s">
        <v>19</v>
      </c>
      <c r="L347" s="2" t="s">
        <v>166</v>
      </c>
    </row>
    <row r="348" spans="1:12" x14ac:dyDescent="0.3">
      <c r="A348" s="2" t="s">
        <v>663</v>
      </c>
      <c r="B348" s="2" t="s">
        <v>75</v>
      </c>
      <c r="C348" s="2" t="s">
        <v>249</v>
      </c>
      <c r="D348" s="2" t="s">
        <v>76</v>
      </c>
      <c r="E348" s="2" t="s">
        <v>77</v>
      </c>
      <c r="F348" s="3">
        <v>3860000</v>
      </c>
      <c r="G348" s="2" t="s">
        <v>17</v>
      </c>
      <c r="H348" s="2" t="s">
        <v>18</v>
      </c>
      <c r="I348" s="2" t="s">
        <v>31</v>
      </c>
      <c r="J348" s="2" t="s">
        <v>38</v>
      </c>
      <c r="K348" s="2" t="s">
        <v>54</v>
      </c>
      <c r="L348" s="2" t="s">
        <v>664</v>
      </c>
    </row>
    <row r="349" spans="1:12" x14ac:dyDescent="0.3">
      <c r="A349" s="2" t="s">
        <v>665</v>
      </c>
      <c r="B349" s="2" t="s">
        <v>62</v>
      </c>
      <c r="C349" s="2" t="s">
        <v>172</v>
      </c>
      <c r="D349" s="2" t="s">
        <v>96</v>
      </c>
      <c r="E349" s="2" t="s">
        <v>37</v>
      </c>
      <c r="F349" s="3">
        <v>1860000</v>
      </c>
      <c r="G349" s="2" t="s">
        <v>27</v>
      </c>
      <c r="H349" s="2" t="s">
        <v>59</v>
      </c>
      <c r="I349" s="2" t="s">
        <v>20</v>
      </c>
      <c r="J349" s="2" t="s">
        <v>45</v>
      </c>
      <c r="K349" s="2" t="s">
        <v>131</v>
      </c>
      <c r="L349" s="2" t="s">
        <v>377</v>
      </c>
    </row>
    <row r="350" spans="1:12" x14ac:dyDescent="0.3">
      <c r="A350" s="2" t="s">
        <v>666</v>
      </c>
      <c r="B350" s="2" t="s">
        <v>34</v>
      </c>
      <c r="C350" s="2" t="s">
        <v>357</v>
      </c>
      <c r="D350" s="2" t="s">
        <v>36</v>
      </c>
      <c r="E350" s="2" t="s">
        <v>16</v>
      </c>
      <c r="F350" s="3">
        <v>800000</v>
      </c>
      <c r="G350" s="2" t="s">
        <v>27</v>
      </c>
      <c r="H350" s="2" t="s">
        <v>28</v>
      </c>
      <c r="I350" s="2" t="s">
        <v>103</v>
      </c>
      <c r="J350" s="2" t="s">
        <v>131</v>
      </c>
      <c r="K350" s="2" t="s">
        <v>20</v>
      </c>
      <c r="L350" s="2" t="s">
        <v>600</v>
      </c>
    </row>
    <row r="351" spans="1:12" x14ac:dyDescent="0.3">
      <c r="A351" s="2" t="s">
        <v>667</v>
      </c>
      <c r="B351" s="2" t="s">
        <v>34</v>
      </c>
      <c r="C351" s="2" t="s">
        <v>548</v>
      </c>
      <c r="D351" s="2" t="s">
        <v>76</v>
      </c>
      <c r="E351" s="2" t="s">
        <v>77</v>
      </c>
      <c r="F351" s="3">
        <v>3070000</v>
      </c>
      <c r="G351" s="2" t="s">
        <v>27</v>
      </c>
      <c r="H351" s="2" t="s">
        <v>28</v>
      </c>
      <c r="I351" s="2" t="s">
        <v>29</v>
      </c>
      <c r="J351" s="2" t="s">
        <v>68</v>
      </c>
      <c r="K351" s="2" t="s">
        <v>131</v>
      </c>
      <c r="L351" s="2" t="s">
        <v>424</v>
      </c>
    </row>
    <row r="352" spans="1:12" x14ac:dyDescent="0.3">
      <c r="A352" s="2" t="s">
        <v>668</v>
      </c>
      <c r="B352" s="2" t="s">
        <v>49</v>
      </c>
      <c r="C352" s="2" t="s">
        <v>99</v>
      </c>
      <c r="D352" s="2" t="s">
        <v>71</v>
      </c>
      <c r="E352" s="2" t="s">
        <v>77</v>
      </c>
      <c r="F352" s="3">
        <v>2325000</v>
      </c>
      <c r="G352" s="2" t="s">
        <v>27</v>
      </c>
      <c r="H352" s="2" t="s">
        <v>18</v>
      </c>
      <c r="I352" s="2" t="s">
        <v>103</v>
      </c>
      <c r="J352" s="2" t="s">
        <v>31</v>
      </c>
      <c r="K352" s="2" t="s">
        <v>21</v>
      </c>
      <c r="L352" s="2" t="s">
        <v>587</v>
      </c>
    </row>
    <row r="353" spans="1:12" x14ac:dyDescent="0.3">
      <c r="A353" s="2" t="s">
        <v>669</v>
      </c>
      <c r="B353" s="2" t="s">
        <v>24</v>
      </c>
      <c r="C353" s="2" t="s">
        <v>155</v>
      </c>
      <c r="D353" s="2" t="s">
        <v>96</v>
      </c>
      <c r="E353" s="2" t="s">
        <v>52</v>
      </c>
      <c r="F353" s="3">
        <v>455000</v>
      </c>
      <c r="G353" s="2" t="s">
        <v>53</v>
      </c>
      <c r="H353" s="2" t="s">
        <v>18</v>
      </c>
      <c r="I353" s="2" t="s">
        <v>103</v>
      </c>
      <c r="J353" s="2" t="s">
        <v>29</v>
      </c>
      <c r="K353" s="2" t="s">
        <v>20</v>
      </c>
      <c r="L353" s="2" t="s">
        <v>670</v>
      </c>
    </row>
    <row r="354" spans="1:12" x14ac:dyDescent="0.3">
      <c r="A354" s="2" t="s">
        <v>671</v>
      </c>
      <c r="B354" s="2" t="s">
        <v>24</v>
      </c>
      <c r="C354" s="2" t="s">
        <v>87</v>
      </c>
      <c r="D354" s="2" t="s">
        <v>96</v>
      </c>
      <c r="E354" s="2" t="s">
        <v>116</v>
      </c>
      <c r="F354" s="3">
        <v>1180000</v>
      </c>
      <c r="G354" s="2" t="s">
        <v>17</v>
      </c>
      <c r="H354" s="2" t="s">
        <v>59</v>
      </c>
      <c r="I354" s="2" t="s">
        <v>45</v>
      </c>
      <c r="J354" s="2" t="s">
        <v>31</v>
      </c>
      <c r="K354" s="2" t="s">
        <v>54</v>
      </c>
      <c r="L354" s="2" t="s">
        <v>266</v>
      </c>
    </row>
    <row r="355" spans="1:12" x14ac:dyDescent="0.3">
      <c r="A355" s="2" t="s">
        <v>672</v>
      </c>
      <c r="B355" s="2" t="s">
        <v>42</v>
      </c>
      <c r="C355" s="2" t="s">
        <v>172</v>
      </c>
      <c r="D355" s="2" t="s">
        <v>44</v>
      </c>
      <c r="E355" s="2" t="s">
        <v>52</v>
      </c>
      <c r="F355" s="3">
        <v>280000</v>
      </c>
      <c r="G355" s="2" t="s">
        <v>53</v>
      </c>
      <c r="H355" s="2" t="s">
        <v>18</v>
      </c>
      <c r="I355" s="2" t="s">
        <v>31</v>
      </c>
      <c r="J355" s="2" t="s">
        <v>38</v>
      </c>
      <c r="K355" s="2" t="s">
        <v>68</v>
      </c>
      <c r="L355" s="2" t="s">
        <v>473</v>
      </c>
    </row>
    <row r="356" spans="1:12" x14ac:dyDescent="0.3">
      <c r="A356" s="2" t="s">
        <v>673</v>
      </c>
      <c r="B356" s="2" t="s">
        <v>75</v>
      </c>
      <c r="C356" s="2" t="s">
        <v>400</v>
      </c>
      <c r="D356" s="2" t="s">
        <v>26</v>
      </c>
      <c r="E356" s="2" t="s">
        <v>52</v>
      </c>
      <c r="F356" s="3">
        <v>440000</v>
      </c>
      <c r="G356" s="2" t="s">
        <v>27</v>
      </c>
      <c r="H356" s="2" t="s">
        <v>18</v>
      </c>
      <c r="I356" s="2" t="s">
        <v>45</v>
      </c>
      <c r="J356" s="2" t="s">
        <v>31</v>
      </c>
      <c r="K356" s="2" t="s">
        <v>19</v>
      </c>
      <c r="L356" s="2" t="s">
        <v>600</v>
      </c>
    </row>
    <row r="357" spans="1:12" x14ac:dyDescent="0.3">
      <c r="A357" s="2" t="s">
        <v>674</v>
      </c>
      <c r="B357" s="2" t="s">
        <v>49</v>
      </c>
      <c r="C357" s="2" t="s">
        <v>179</v>
      </c>
      <c r="D357" s="2" t="s">
        <v>15</v>
      </c>
      <c r="E357" s="2" t="s">
        <v>16</v>
      </c>
      <c r="F357" s="3">
        <v>1015000</v>
      </c>
      <c r="G357" s="2" t="s">
        <v>27</v>
      </c>
      <c r="H357" s="2" t="s">
        <v>28</v>
      </c>
      <c r="I357" s="2" t="s">
        <v>21</v>
      </c>
      <c r="J357" s="2" t="s">
        <v>54</v>
      </c>
      <c r="K357" s="2" t="s">
        <v>19</v>
      </c>
      <c r="L357" s="2" t="s">
        <v>203</v>
      </c>
    </row>
    <row r="358" spans="1:12" x14ac:dyDescent="0.3">
      <c r="A358" s="2" t="s">
        <v>675</v>
      </c>
      <c r="B358" s="2" t="s">
        <v>24</v>
      </c>
      <c r="C358" s="2" t="s">
        <v>99</v>
      </c>
      <c r="D358" s="2" t="s">
        <v>26</v>
      </c>
      <c r="E358" s="2" t="s">
        <v>16</v>
      </c>
      <c r="F358" s="3">
        <v>750000</v>
      </c>
      <c r="G358" s="2" t="s">
        <v>17</v>
      </c>
      <c r="H358" s="2" t="s">
        <v>28</v>
      </c>
      <c r="I358" s="2" t="s">
        <v>31</v>
      </c>
      <c r="J358" s="2" t="s">
        <v>103</v>
      </c>
      <c r="K358" s="2" t="s">
        <v>46</v>
      </c>
      <c r="L358" s="2" t="s">
        <v>223</v>
      </c>
    </row>
    <row r="359" spans="1:12" x14ac:dyDescent="0.3">
      <c r="A359" s="2" t="s">
        <v>676</v>
      </c>
      <c r="B359" s="2" t="s">
        <v>57</v>
      </c>
      <c r="C359" s="2" t="s">
        <v>119</v>
      </c>
      <c r="D359" s="2" t="s">
        <v>26</v>
      </c>
      <c r="E359" s="2" t="s">
        <v>116</v>
      </c>
      <c r="F359" s="3">
        <v>1755000</v>
      </c>
      <c r="G359" s="2" t="s">
        <v>27</v>
      </c>
      <c r="H359" s="2" t="s">
        <v>18</v>
      </c>
      <c r="I359" s="2" t="s">
        <v>21</v>
      </c>
      <c r="J359" s="2" t="s">
        <v>72</v>
      </c>
      <c r="K359" s="2" t="s">
        <v>45</v>
      </c>
      <c r="L359" s="2" t="s">
        <v>444</v>
      </c>
    </row>
    <row r="360" spans="1:12" x14ac:dyDescent="0.3">
      <c r="A360" s="2" t="s">
        <v>677</v>
      </c>
      <c r="B360" s="2" t="s">
        <v>149</v>
      </c>
      <c r="C360" s="2" t="s">
        <v>152</v>
      </c>
      <c r="D360" s="2" t="s">
        <v>64</v>
      </c>
      <c r="E360" s="2" t="s">
        <v>16</v>
      </c>
      <c r="F360" s="3">
        <v>795000</v>
      </c>
      <c r="G360" s="2" t="s">
        <v>27</v>
      </c>
      <c r="H360" s="2" t="s">
        <v>28</v>
      </c>
      <c r="I360" s="2" t="s">
        <v>46</v>
      </c>
      <c r="J360" s="2" t="s">
        <v>19</v>
      </c>
      <c r="K360" s="2" t="s">
        <v>29</v>
      </c>
      <c r="L360" s="2" t="s">
        <v>353</v>
      </c>
    </row>
    <row r="361" spans="1:12" x14ac:dyDescent="0.3">
      <c r="A361" s="2" t="s">
        <v>678</v>
      </c>
      <c r="B361" s="2" t="s">
        <v>75</v>
      </c>
      <c r="C361" s="2" t="s">
        <v>125</v>
      </c>
      <c r="D361" s="2" t="s">
        <v>96</v>
      </c>
      <c r="E361" s="2" t="s">
        <v>52</v>
      </c>
      <c r="F361" s="3">
        <v>380000</v>
      </c>
      <c r="G361" s="2" t="s">
        <v>53</v>
      </c>
      <c r="H361" s="2" t="s">
        <v>18</v>
      </c>
      <c r="I361" s="2" t="s">
        <v>30</v>
      </c>
      <c r="J361" s="2" t="s">
        <v>38</v>
      </c>
      <c r="K361" s="2" t="s">
        <v>31</v>
      </c>
      <c r="L361" s="2" t="s">
        <v>664</v>
      </c>
    </row>
    <row r="362" spans="1:12" x14ac:dyDescent="0.3">
      <c r="A362" s="2" t="s">
        <v>679</v>
      </c>
      <c r="B362" s="2" t="s">
        <v>57</v>
      </c>
      <c r="C362" s="2" t="s">
        <v>242</v>
      </c>
      <c r="D362" s="2" t="s">
        <v>64</v>
      </c>
      <c r="E362" s="2" t="s">
        <v>116</v>
      </c>
      <c r="F362" s="3">
        <v>1365000</v>
      </c>
      <c r="G362" s="2" t="s">
        <v>27</v>
      </c>
      <c r="H362" s="2" t="s">
        <v>28</v>
      </c>
      <c r="I362" s="2" t="s">
        <v>45</v>
      </c>
      <c r="J362" s="2" t="s">
        <v>54</v>
      </c>
      <c r="K362" s="2" t="s">
        <v>39</v>
      </c>
      <c r="L362" s="2" t="s">
        <v>370</v>
      </c>
    </row>
    <row r="363" spans="1:12" x14ac:dyDescent="0.3">
      <c r="A363" s="2" t="s">
        <v>680</v>
      </c>
      <c r="B363" s="2" t="s">
        <v>178</v>
      </c>
      <c r="C363" s="2" t="s">
        <v>25</v>
      </c>
      <c r="D363" s="2" t="s">
        <v>64</v>
      </c>
      <c r="E363" s="2" t="s">
        <v>16</v>
      </c>
      <c r="F363" s="3">
        <v>615000</v>
      </c>
      <c r="G363" s="2" t="s">
        <v>27</v>
      </c>
      <c r="H363" s="2" t="s">
        <v>28</v>
      </c>
      <c r="I363" s="2" t="s">
        <v>68</v>
      </c>
      <c r="J363" s="2" t="s">
        <v>46</v>
      </c>
      <c r="K363" s="2" t="s">
        <v>131</v>
      </c>
      <c r="L363" s="2" t="s">
        <v>240</v>
      </c>
    </row>
    <row r="364" spans="1:12" x14ac:dyDescent="0.3">
      <c r="A364" s="2" t="s">
        <v>681</v>
      </c>
      <c r="B364" s="2" t="s">
        <v>57</v>
      </c>
      <c r="C364" s="2" t="s">
        <v>152</v>
      </c>
      <c r="D364" s="2" t="s">
        <v>76</v>
      </c>
      <c r="E364" s="2" t="s">
        <v>52</v>
      </c>
      <c r="F364" s="3">
        <v>585000</v>
      </c>
      <c r="G364" s="2" t="s">
        <v>27</v>
      </c>
      <c r="H364" s="2" t="s">
        <v>28</v>
      </c>
      <c r="I364" s="2" t="s">
        <v>29</v>
      </c>
      <c r="J364" s="2" t="s">
        <v>72</v>
      </c>
      <c r="K364" s="2" t="s">
        <v>19</v>
      </c>
      <c r="L364" s="2" t="s">
        <v>137</v>
      </c>
    </row>
    <row r="365" spans="1:12" x14ac:dyDescent="0.3">
      <c r="A365" s="2" t="s">
        <v>682</v>
      </c>
      <c r="B365" s="2" t="s">
        <v>24</v>
      </c>
      <c r="C365" s="2" t="s">
        <v>237</v>
      </c>
      <c r="D365" s="2" t="s">
        <v>81</v>
      </c>
      <c r="E365" s="2" t="s">
        <v>52</v>
      </c>
      <c r="F365" s="3">
        <v>270000</v>
      </c>
      <c r="G365" s="2" t="s">
        <v>53</v>
      </c>
      <c r="H365" s="2" t="s">
        <v>18</v>
      </c>
      <c r="I365" s="2" t="s">
        <v>45</v>
      </c>
      <c r="J365" s="2" t="s">
        <v>103</v>
      </c>
      <c r="K365" s="2" t="s">
        <v>46</v>
      </c>
      <c r="L365" s="2" t="s">
        <v>683</v>
      </c>
    </row>
    <row r="366" spans="1:12" x14ac:dyDescent="0.3">
      <c r="A366" s="2" t="s">
        <v>684</v>
      </c>
      <c r="B366" s="2" t="s">
        <v>42</v>
      </c>
      <c r="C366" s="2" t="s">
        <v>25</v>
      </c>
      <c r="D366" s="2" t="s">
        <v>96</v>
      </c>
      <c r="E366" s="2" t="s">
        <v>77</v>
      </c>
      <c r="F366" s="3">
        <v>3920000</v>
      </c>
      <c r="G366" s="2" t="s">
        <v>27</v>
      </c>
      <c r="H366" s="2" t="s">
        <v>28</v>
      </c>
      <c r="I366" s="2" t="s">
        <v>29</v>
      </c>
      <c r="J366" s="2" t="s">
        <v>45</v>
      </c>
      <c r="K366" s="2" t="s">
        <v>46</v>
      </c>
      <c r="L366" s="2" t="s">
        <v>203</v>
      </c>
    </row>
    <row r="367" spans="1:12" x14ac:dyDescent="0.3">
      <c r="A367" s="2" t="s">
        <v>685</v>
      </c>
      <c r="B367" s="2" t="s">
        <v>75</v>
      </c>
      <c r="C367" s="2" t="s">
        <v>119</v>
      </c>
      <c r="D367" s="2" t="s">
        <v>76</v>
      </c>
      <c r="E367" s="2" t="s">
        <v>16</v>
      </c>
      <c r="F367" s="3">
        <v>655000</v>
      </c>
      <c r="G367" s="2" t="s">
        <v>27</v>
      </c>
      <c r="H367" s="2" t="s">
        <v>59</v>
      </c>
      <c r="I367" s="2" t="s">
        <v>30</v>
      </c>
      <c r="J367" s="2" t="s">
        <v>45</v>
      </c>
      <c r="K367" s="2" t="s">
        <v>31</v>
      </c>
      <c r="L367" s="2" t="s">
        <v>186</v>
      </c>
    </row>
    <row r="368" spans="1:12" x14ac:dyDescent="0.3">
      <c r="A368" s="2" t="s">
        <v>686</v>
      </c>
      <c r="B368" s="2" t="s">
        <v>49</v>
      </c>
      <c r="C368" s="2" t="s">
        <v>338</v>
      </c>
      <c r="D368" s="2" t="s">
        <v>36</v>
      </c>
      <c r="E368" s="2" t="s">
        <v>16</v>
      </c>
      <c r="F368" s="3">
        <v>540000</v>
      </c>
      <c r="G368" s="2" t="s">
        <v>27</v>
      </c>
      <c r="H368" s="2" t="s">
        <v>28</v>
      </c>
      <c r="I368" s="2" t="s">
        <v>39</v>
      </c>
      <c r="J368" s="2" t="s">
        <v>45</v>
      </c>
      <c r="K368" s="2" t="s">
        <v>54</v>
      </c>
      <c r="L368" s="2" t="s">
        <v>289</v>
      </c>
    </row>
    <row r="369" spans="1:12" x14ac:dyDescent="0.3">
      <c r="A369" s="2" t="s">
        <v>687</v>
      </c>
      <c r="B369" s="2" t="s">
        <v>49</v>
      </c>
      <c r="C369" s="2" t="s">
        <v>95</v>
      </c>
      <c r="D369" s="2" t="s">
        <v>44</v>
      </c>
      <c r="E369" s="2" t="s">
        <v>116</v>
      </c>
      <c r="F369" s="3">
        <v>845000</v>
      </c>
      <c r="G369" s="2" t="s">
        <v>27</v>
      </c>
      <c r="H369" s="2" t="s">
        <v>59</v>
      </c>
      <c r="I369" s="2" t="s">
        <v>46</v>
      </c>
      <c r="J369" s="2" t="s">
        <v>45</v>
      </c>
      <c r="K369" s="2" t="s">
        <v>20</v>
      </c>
      <c r="L369" s="2" t="s">
        <v>415</v>
      </c>
    </row>
    <row r="370" spans="1:12" x14ac:dyDescent="0.3">
      <c r="A370" s="2" t="s">
        <v>688</v>
      </c>
      <c r="B370" s="2" t="s">
        <v>149</v>
      </c>
      <c r="C370" s="2" t="s">
        <v>689</v>
      </c>
      <c r="D370" s="2" t="s">
        <v>51</v>
      </c>
      <c r="E370" s="2" t="s">
        <v>52</v>
      </c>
      <c r="F370" s="3">
        <v>530000</v>
      </c>
      <c r="G370" s="2" t="s">
        <v>27</v>
      </c>
      <c r="H370" s="2" t="s">
        <v>28</v>
      </c>
      <c r="I370" s="2" t="s">
        <v>19</v>
      </c>
      <c r="J370" s="2" t="s">
        <v>20</v>
      </c>
      <c r="K370" s="2" t="s">
        <v>45</v>
      </c>
      <c r="L370" s="2" t="s">
        <v>397</v>
      </c>
    </row>
    <row r="371" spans="1:12" x14ac:dyDescent="0.3">
      <c r="A371" s="2" t="s">
        <v>690</v>
      </c>
      <c r="B371" s="2" t="s">
        <v>13</v>
      </c>
      <c r="C371" s="2" t="s">
        <v>188</v>
      </c>
      <c r="D371" s="2" t="s">
        <v>15</v>
      </c>
      <c r="E371" s="2" t="s">
        <v>52</v>
      </c>
      <c r="F371" s="3">
        <v>720000</v>
      </c>
      <c r="G371" s="2" t="s">
        <v>27</v>
      </c>
      <c r="H371" s="2" t="s">
        <v>59</v>
      </c>
      <c r="I371" s="2" t="s">
        <v>72</v>
      </c>
      <c r="J371" s="2" t="s">
        <v>103</v>
      </c>
      <c r="K371" s="2" t="s">
        <v>45</v>
      </c>
      <c r="L371" s="2" t="s">
        <v>575</v>
      </c>
    </row>
    <row r="372" spans="1:12" x14ac:dyDescent="0.3">
      <c r="A372" s="2" t="s">
        <v>691</v>
      </c>
      <c r="B372" s="2" t="s">
        <v>49</v>
      </c>
      <c r="C372" s="2" t="s">
        <v>237</v>
      </c>
      <c r="D372" s="2" t="s">
        <v>96</v>
      </c>
      <c r="E372" s="2" t="s">
        <v>37</v>
      </c>
      <c r="F372" s="3">
        <v>1445000</v>
      </c>
      <c r="G372" s="2" t="s">
        <v>27</v>
      </c>
      <c r="H372" s="2" t="s">
        <v>18</v>
      </c>
      <c r="I372" s="2" t="s">
        <v>103</v>
      </c>
      <c r="J372" s="2" t="s">
        <v>68</v>
      </c>
      <c r="K372" s="2" t="s">
        <v>54</v>
      </c>
      <c r="L372" s="2" t="s">
        <v>393</v>
      </c>
    </row>
    <row r="373" spans="1:12" x14ac:dyDescent="0.3">
      <c r="A373" s="2" t="s">
        <v>692</v>
      </c>
      <c r="B373" s="2" t="s">
        <v>13</v>
      </c>
      <c r="C373" s="2" t="s">
        <v>58</v>
      </c>
      <c r="D373" s="2" t="s">
        <v>15</v>
      </c>
      <c r="E373" s="2" t="s">
        <v>37</v>
      </c>
      <c r="F373" s="3">
        <v>1220000</v>
      </c>
      <c r="G373" s="2" t="s">
        <v>27</v>
      </c>
      <c r="H373" s="2" t="s">
        <v>28</v>
      </c>
      <c r="I373" s="2" t="s">
        <v>46</v>
      </c>
      <c r="J373" s="2" t="s">
        <v>72</v>
      </c>
      <c r="K373" s="2" t="s">
        <v>39</v>
      </c>
      <c r="L373" s="2" t="s">
        <v>643</v>
      </c>
    </row>
    <row r="374" spans="1:12" x14ac:dyDescent="0.3">
      <c r="A374" s="2" t="s">
        <v>693</v>
      </c>
      <c r="B374" s="2" t="s">
        <v>149</v>
      </c>
      <c r="C374" s="2" t="s">
        <v>84</v>
      </c>
      <c r="D374" s="2" t="s">
        <v>76</v>
      </c>
      <c r="E374" s="2" t="s">
        <v>37</v>
      </c>
      <c r="F374" s="3">
        <v>1425000</v>
      </c>
      <c r="G374" s="2" t="s">
        <v>27</v>
      </c>
      <c r="H374" s="2" t="s">
        <v>18</v>
      </c>
      <c r="I374" s="2" t="s">
        <v>45</v>
      </c>
      <c r="J374" s="2" t="s">
        <v>21</v>
      </c>
      <c r="K374" s="2" t="s">
        <v>54</v>
      </c>
      <c r="L374" s="2" t="s">
        <v>206</v>
      </c>
    </row>
    <row r="375" spans="1:12" x14ac:dyDescent="0.3">
      <c r="A375" s="2" t="s">
        <v>694</v>
      </c>
      <c r="B375" s="2" t="s">
        <v>49</v>
      </c>
      <c r="C375" s="2" t="s">
        <v>217</v>
      </c>
      <c r="D375" s="2" t="s">
        <v>51</v>
      </c>
      <c r="E375" s="2" t="s">
        <v>16</v>
      </c>
      <c r="F375" s="3">
        <v>920000</v>
      </c>
      <c r="G375" s="2" t="s">
        <v>17</v>
      </c>
      <c r="H375" s="2" t="s">
        <v>28</v>
      </c>
      <c r="I375" s="2" t="s">
        <v>30</v>
      </c>
      <c r="J375" s="2" t="s">
        <v>68</v>
      </c>
      <c r="K375" s="2" t="s">
        <v>20</v>
      </c>
      <c r="L375" s="2" t="s">
        <v>695</v>
      </c>
    </row>
    <row r="376" spans="1:12" x14ac:dyDescent="0.3">
      <c r="A376" s="2" t="s">
        <v>696</v>
      </c>
      <c r="B376" s="2" t="s">
        <v>178</v>
      </c>
      <c r="C376" s="2" t="s">
        <v>80</v>
      </c>
      <c r="D376" s="2" t="s">
        <v>15</v>
      </c>
      <c r="E376" s="2" t="s">
        <v>77</v>
      </c>
      <c r="F376" s="3">
        <v>4395000</v>
      </c>
      <c r="G376" s="2" t="s">
        <v>27</v>
      </c>
      <c r="H376" s="2" t="s">
        <v>18</v>
      </c>
      <c r="I376" s="2" t="s">
        <v>46</v>
      </c>
      <c r="J376" s="2" t="s">
        <v>68</v>
      </c>
      <c r="K376" s="2" t="s">
        <v>19</v>
      </c>
      <c r="L376" s="2" t="s">
        <v>164</v>
      </c>
    </row>
    <row r="377" spans="1:12" x14ac:dyDescent="0.3">
      <c r="A377" s="2" t="s">
        <v>697</v>
      </c>
      <c r="B377" s="2" t="s">
        <v>13</v>
      </c>
      <c r="C377" s="2" t="s">
        <v>389</v>
      </c>
      <c r="D377" s="2" t="s">
        <v>51</v>
      </c>
      <c r="E377" s="2" t="s">
        <v>52</v>
      </c>
      <c r="F377" s="3">
        <v>670000</v>
      </c>
      <c r="G377" s="2" t="s">
        <v>27</v>
      </c>
      <c r="H377" s="2" t="s">
        <v>18</v>
      </c>
      <c r="I377" s="2" t="s">
        <v>72</v>
      </c>
      <c r="J377" s="2" t="s">
        <v>46</v>
      </c>
      <c r="K377" s="2" t="s">
        <v>68</v>
      </c>
      <c r="L377" s="2" t="s">
        <v>128</v>
      </c>
    </row>
    <row r="378" spans="1:12" x14ac:dyDescent="0.3">
      <c r="A378" s="2" t="s">
        <v>698</v>
      </c>
      <c r="B378" s="2" t="s">
        <v>57</v>
      </c>
      <c r="C378" s="2" t="s">
        <v>530</v>
      </c>
      <c r="D378" s="2" t="s">
        <v>64</v>
      </c>
      <c r="E378" s="2" t="s">
        <v>37</v>
      </c>
      <c r="F378" s="3">
        <v>1650000</v>
      </c>
      <c r="G378" s="2" t="s">
        <v>17</v>
      </c>
      <c r="H378" s="2" t="s">
        <v>28</v>
      </c>
      <c r="I378" s="2" t="s">
        <v>131</v>
      </c>
      <c r="J378" s="2" t="s">
        <v>103</v>
      </c>
      <c r="K378" s="2" t="s">
        <v>39</v>
      </c>
      <c r="L378" s="2" t="s">
        <v>273</v>
      </c>
    </row>
    <row r="379" spans="1:12" x14ac:dyDescent="0.3">
      <c r="A379" s="2" t="s">
        <v>699</v>
      </c>
      <c r="B379" s="2" t="s">
        <v>24</v>
      </c>
      <c r="C379" s="2" t="s">
        <v>242</v>
      </c>
      <c r="D379" s="2" t="s">
        <v>15</v>
      </c>
      <c r="E379" s="2" t="s">
        <v>37</v>
      </c>
      <c r="F379" s="3">
        <v>1795000</v>
      </c>
      <c r="G379" s="2" t="s">
        <v>27</v>
      </c>
      <c r="H379" s="2" t="s">
        <v>18</v>
      </c>
      <c r="I379" s="2" t="s">
        <v>54</v>
      </c>
      <c r="J379" s="2" t="s">
        <v>39</v>
      </c>
      <c r="K379" s="2" t="s">
        <v>45</v>
      </c>
      <c r="L379" s="2" t="s">
        <v>493</v>
      </c>
    </row>
    <row r="380" spans="1:12" x14ac:dyDescent="0.3">
      <c r="A380" s="2" t="s">
        <v>700</v>
      </c>
      <c r="B380" s="2" t="s">
        <v>49</v>
      </c>
      <c r="C380" s="2" t="s">
        <v>95</v>
      </c>
      <c r="D380" s="2" t="s">
        <v>81</v>
      </c>
      <c r="E380" s="2" t="s">
        <v>16</v>
      </c>
      <c r="F380" s="3">
        <v>805000</v>
      </c>
      <c r="G380" s="2" t="s">
        <v>27</v>
      </c>
      <c r="H380" s="2" t="s">
        <v>59</v>
      </c>
      <c r="I380" s="2" t="s">
        <v>38</v>
      </c>
      <c r="J380" s="2" t="s">
        <v>31</v>
      </c>
      <c r="K380" s="2" t="s">
        <v>72</v>
      </c>
      <c r="L380" s="2" t="s">
        <v>301</v>
      </c>
    </row>
    <row r="381" spans="1:12" x14ac:dyDescent="0.3">
      <c r="A381" s="2" t="s">
        <v>701</v>
      </c>
      <c r="B381" s="2" t="s">
        <v>24</v>
      </c>
      <c r="C381" s="2" t="s">
        <v>283</v>
      </c>
      <c r="D381" s="2" t="s">
        <v>76</v>
      </c>
      <c r="E381" s="2" t="s">
        <v>52</v>
      </c>
      <c r="F381" s="3">
        <v>310000</v>
      </c>
      <c r="G381" s="2" t="s">
        <v>53</v>
      </c>
      <c r="H381" s="2" t="s">
        <v>28</v>
      </c>
      <c r="I381" s="2" t="s">
        <v>46</v>
      </c>
      <c r="J381" s="2" t="s">
        <v>45</v>
      </c>
      <c r="K381" s="2" t="s">
        <v>20</v>
      </c>
      <c r="L381" s="2" t="s">
        <v>702</v>
      </c>
    </row>
    <row r="382" spans="1:12" x14ac:dyDescent="0.3">
      <c r="A382" s="2" t="s">
        <v>703</v>
      </c>
      <c r="B382" s="2" t="s">
        <v>49</v>
      </c>
      <c r="C382" s="2" t="s">
        <v>95</v>
      </c>
      <c r="D382" s="2" t="s">
        <v>64</v>
      </c>
      <c r="E382" s="2" t="s">
        <v>16</v>
      </c>
      <c r="F382" s="3">
        <v>725000</v>
      </c>
      <c r="G382" s="2" t="s">
        <v>27</v>
      </c>
      <c r="H382" s="2" t="s">
        <v>59</v>
      </c>
      <c r="I382" s="2" t="s">
        <v>19</v>
      </c>
      <c r="J382" s="2" t="s">
        <v>21</v>
      </c>
      <c r="K382" s="2" t="s">
        <v>103</v>
      </c>
      <c r="L382" s="2" t="s">
        <v>704</v>
      </c>
    </row>
    <row r="383" spans="1:12" x14ac:dyDescent="0.3">
      <c r="A383" s="2" t="s">
        <v>705</v>
      </c>
      <c r="B383" s="2" t="s">
        <v>178</v>
      </c>
      <c r="C383" s="2" t="s">
        <v>80</v>
      </c>
      <c r="D383" s="2" t="s">
        <v>15</v>
      </c>
      <c r="E383" s="2" t="s">
        <v>37</v>
      </c>
      <c r="F383" s="3">
        <v>2000000</v>
      </c>
      <c r="G383" s="2" t="s">
        <v>17</v>
      </c>
      <c r="H383" s="2" t="s">
        <v>59</v>
      </c>
      <c r="I383" s="2" t="s">
        <v>72</v>
      </c>
      <c r="J383" s="2" t="s">
        <v>38</v>
      </c>
      <c r="K383" s="2" t="s">
        <v>103</v>
      </c>
      <c r="L383" s="2" t="s">
        <v>624</v>
      </c>
    </row>
    <row r="384" spans="1:12" x14ac:dyDescent="0.3">
      <c r="A384" s="2" t="s">
        <v>706</v>
      </c>
      <c r="B384" s="2" t="s">
        <v>149</v>
      </c>
      <c r="C384" s="2" t="s">
        <v>123</v>
      </c>
      <c r="D384" s="2" t="s">
        <v>81</v>
      </c>
      <c r="E384" s="2" t="s">
        <v>37</v>
      </c>
      <c r="F384" s="3">
        <v>1925000</v>
      </c>
      <c r="G384" s="2" t="s">
        <v>27</v>
      </c>
      <c r="H384" s="2" t="s">
        <v>28</v>
      </c>
      <c r="I384" s="2" t="s">
        <v>39</v>
      </c>
      <c r="J384" s="2" t="s">
        <v>19</v>
      </c>
      <c r="K384" s="2" t="s">
        <v>29</v>
      </c>
      <c r="L384" s="2" t="s">
        <v>704</v>
      </c>
    </row>
    <row r="385" spans="1:12" x14ac:dyDescent="0.3">
      <c r="A385" s="2" t="s">
        <v>707</v>
      </c>
      <c r="B385" s="2" t="s">
        <v>75</v>
      </c>
      <c r="C385" s="2" t="s">
        <v>181</v>
      </c>
      <c r="D385" s="2" t="s">
        <v>76</v>
      </c>
      <c r="E385" s="2" t="s">
        <v>16</v>
      </c>
      <c r="F385" s="3">
        <v>870000</v>
      </c>
      <c r="G385" s="2" t="s">
        <v>27</v>
      </c>
      <c r="H385" s="2" t="s">
        <v>28</v>
      </c>
      <c r="I385" s="2" t="s">
        <v>38</v>
      </c>
      <c r="J385" s="2" t="s">
        <v>21</v>
      </c>
      <c r="K385" s="2" t="s">
        <v>68</v>
      </c>
      <c r="L385" s="2" t="s">
        <v>408</v>
      </c>
    </row>
    <row r="386" spans="1:12" x14ac:dyDescent="0.3">
      <c r="A386" s="2" t="s">
        <v>708</v>
      </c>
      <c r="B386" s="2" t="s">
        <v>42</v>
      </c>
      <c r="C386" s="2" t="s">
        <v>689</v>
      </c>
      <c r="D386" s="2" t="s">
        <v>44</v>
      </c>
      <c r="E386" s="2" t="s">
        <v>116</v>
      </c>
      <c r="F386" s="3">
        <v>815000</v>
      </c>
      <c r="G386" s="2" t="s">
        <v>27</v>
      </c>
      <c r="H386" s="2" t="s">
        <v>28</v>
      </c>
      <c r="I386" s="2" t="s">
        <v>46</v>
      </c>
      <c r="J386" s="2" t="s">
        <v>29</v>
      </c>
      <c r="K386" s="2" t="s">
        <v>20</v>
      </c>
      <c r="L386" s="2" t="s">
        <v>709</v>
      </c>
    </row>
    <row r="387" spans="1:12" x14ac:dyDescent="0.3">
      <c r="A387" s="2" t="s">
        <v>710</v>
      </c>
      <c r="B387" s="2" t="s">
        <v>34</v>
      </c>
      <c r="C387" s="2" t="s">
        <v>172</v>
      </c>
      <c r="D387" s="2" t="s">
        <v>51</v>
      </c>
      <c r="E387" s="2" t="s">
        <v>52</v>
      </c>
      <c r="F387" s="3">
        <v>350000</v>
      </c>
      <c r="G387" s="2" t="s">
        <v>17</v>
      </c>
      <c r="H387" s="2" t="s">
        <v>18</v>
      </c>
      <c r="I387" s="2" t="s">
        <v>21</v>
      </c>
      <c r="J387" s="2" t="s">
        <v>131</v>
      </c>
      <c r="K387" s="2" t="s">
        <v>20</v>
      </c>
      <c r="L387" s="2" t="s">
        <v>515</v>
      </c>
    </row>
    <row r="388" spans="1:12" x14ac:dyDescent="0.3">
      <c r="A388" s="2" t="s">
        <v>711</v>
      </c>
      <c r="B388" s="2" t="s">
        <v>13</v>
      </c>
      <c r="C388" s="2" t="s">
        <v>172</v>
      </c>
      <c r="D388" s="2" t="s">
        <v>76</v>
      </c>
      <c r="E388" s="2" t="s">
        <v>52</v>
      </c>
      <c r="F388" s="3">
        <v>555000</v>
      </c>
      <c r="G388" s="2" t="s">
        <v>27</v>
      </c>
      <c r="H388" s="2" t="s">
        <v>28</v>
      </c>
      <c r="I388" s="2" t="s">
        <v>72</v>
      </c>
      <c r="J388" s="2" t="s">
        <v>31</v>
      </c>
      <c r="K388" s="2" t="s">
        <v>54</v>
      </c>
      <c r="L388" s="2" t="s">
        <v>301</v>
      </c>
    </row>
    <row r="389" spans="1:12" x14ac:dyDescent="0.3">
      <c r="A389" s="2" t="s">
        <v>712</v>
      </c>
      <c r="B389" s="2" t="s">
        <v>62</v>
      </c>
      <c r="C389" s="2" t="s">
        <v>305</v>
      </c>
      <c r="D389" s="2" t="s">
        <v>76</v>
      </c>
      <c r="E389" s="2" t="s">
        <v>52</v>
      </c>
      <c r="F389" s="3">
        <v>605000</v>
      </c>
      <c r="G389" s="2" t="s">
        <v>27</v>
      </c>
      <c r="H389" s="2" t="s">
        <v>28</v>
      </c>
      <c r="I389" s="2" t="s">
        <v>46</v>
      </c>
      <c r="J389" s="2" t="s">
        <v>39</v>
      </c>
      <c r="K389" s="2" t="s">
        <v>68</v>
      </c>
      <c r="L389" s="2" t="s">
        <v>498</v>
      </c>
    </row>
    <row r="390" spans="1:12" x14ac:dyDescent="0.3">
      <c r="A390" s="2" t="s">
        <v>713</v>
      </c>
      <c r="B390" s="2" t="s">
        <v>24</v>
      </c>
      <c r="C390" s="2" t="s">
        <v>396</v>
      </c>
      <c r="D390" s="2" t="s">
        <v>96</v>
      </c>
      <c r="E390" s="2" t="s">
        <v>116</v>
      </c>
      <c r="F390" s="3">
        <v>1555000</v>
      </c>
      <c r="G390" s="2" t="s">
        <v>27</v>
      </c>
      <c r="H390" s="2" t="s">
        <v>59</v>
      </c>
      <c r="I390" s="2" t="s">
        <v>45</v>
      </c>
      <c r="J390" s="2" t="s">
        <v>103</v>
      </c>
      <c r="K390" s="2" t="s">
        <v>46</v>
      </c>
      <c r="L390" s="2" t="s">
        <v>714</v>
      </c>
    </row>
    <row r="391" spans="1:12" x14ac:dyDescent="0.3">
      <c r="A391" s="2" t="s">
        <v>715</v>
      </c>
      <c r="B391" s="2" t="s">
        <v>13</v>
      </c>
      <c r="C391" s="2" t="s">
        <v>90</v>
      </c>
      <c r="D391" s="2" t="s">
        <v>36</v>
      </c>
      <c r="E391" s="2" t="s">
        <v>116</v>
      </c>
      <c r="F391" s="3">
        <v>1730000</v>
      </c>
      <c r="G391" s="2" t="s">
        <v>27</v>
      </c>
      <c r="H391" s="2" t="s">
        <v>28</v>
      </c>
      <c r="I391" s="2" t="s">
        <v>54</v>
      </c>
      <c r="J391" s="2" t="s">
        <v>45</v>
      </c>
      <c r="K391" s="2" t="s">
        <v>68</v>
      </c>
      <c r="L391" s="2" t="s">
        <v>408</v>
      </c>
    </row>
    <row r="392" spans="1:12" x14ac:dyDescent="0.3">
      <c r="A392" s="2" t="s">
        <v>716</v>
      </c>
      <c r="B392" s="2" t="s">
        <v>75</v>
      </c>
      <c r="C392" s="2" t="s">
        <v>400</v>
      </c>
      <c r="D392" s="2" t="s">
        <v>51</v>
      </c>
      <c r="E392" s="2" t="s">
        <v>77</v>
      </c>
      <c r="F392" s="3">
        <v>3645000</v>
      </c>
      <c r="G392" s="2" t="s">
        <v>27</v>
      </c>
      <c r="H392" s="2" t="s">
        <v>28</v>
      </c>
      <c r="I392" s="2" t="s">
        <v>20</v>
      </c>
      <c r="J392" s="2" t="s">
        <v>45</v>
      </c>
      <c r="K392" s="2" t="s">
        <v>31</v>
      </c>
      <c r="L392" s="2" t="s">
        <v>717</v>
      </c>
    </row>
    <row r="393" spans="1:12" x14ac:dyDescent="0.3">
      <c r="A393" s="2" t="s">
        <v>718</v>
      </c>
      <c r="B393" s="2" t="s">
        <v>49</v>
      </c>
      <c r="C393" s="2" t="s">
        <v>84</v>
      </c>
      <c r="D393" s="2" t="s">
        <v>44</v>
      </c>
      <c r="E393" s="2" t="s">
        <v>116</v>
      </c>
      <c r="F393" s="3">
        <v>1325000</v>
      </c>
      <c r="G393" s="2" t="s">
        <v>27</v>
      </c>
      <c r="H393" s="2" t="s">
        <v>18</v>
      </c>
      <c r="I393" s="2" t="s">
        <v>45</v>
      </c>
      <c r="J393" s="2" t="s">
        <v>21</v>
      </c>
      <c r="K393" s="2" t="s">
        <v>54</v>
      </c>
      <c r="L393" s="2" t="s">
        <v>719</v>
      </c>
    </row>
    <row r="394" spans="1:12" x14ac:dyDescent="0.3">
      <c r="A394" s="2" t="s">
        <v>720</v>
      </c>
      <c r="B394" s="2" t="s">
        <v>42</v>
      </c>
      <c r="C394" s="2" t="s">
        <v>63</v>
      </c>
      <c r="D394" s="2" t="s">
        <v>51</v>
      </c>
      <c r="E394" s="2" t="s">
        <v>37</v>
      </c>
      <c r="F394" s="3">
        <v>2105000</v>
      </c>
      <c r="G394" s="2" t="s">
        <v>27</v>
      </c>
      <c r="H394" s="2" t="s">
        <v>18</v>
      </c>
      <c r="I394" s="2" t="s">
        <v>31</v>
      </c>
      <c r="J394" s="2" t="s">
        <v>54</v>
      </c>
      <c r="K394" s="2" t="s">
        <v>29</v>
      </c>
      <c r="L394" s="2" t="s">
        <v>721</v>
      </c>
    </row>
    <row r="395" spans="1:12" x14ac:dyDescent="0.3">
      <c r="A395" s="2" t="s">
        <v>722</v>
      </c>
      <c r="B395" s="2" t="s">
        <v>42</v>
      </c>
      <c r="C395" s="2" t="s">
        <v>357</v>
      </c>
      <c r="D395" s="2" t="s">
        <v>26</v>
      </c>
      <c r="E395" s="2" t="s">
        <v>52</v>
      </c>
      <c r="F395" s="3">
        <v>545000</v>
      </c>
      <c r="G395" s="2" t="s">
        <v>27</v>
      </c>
      <c r="H395" s="2" t="s">
        <v>28</v>
      </c>
      <c r="I395" s="2" t="s">
        <v>46</v>
      </c>
      <c r="J395" s="2" t="s">
        <v>30</v>
      </c>
      <c r="K395" s="2" t="s">
        <v>20</v>
      </c>
      <c r="L395" s="2" t="s">
        <v>203</v>
      </c>
    </row>
    <row r="396" spans="1:12" x14ac:dyDescent="0.3">
      <c r="A396" s="2" t="s">
        <v>723</v>
      </c>
      <c r="B396" s="2" t="s">
        <v>13</v>
      </c>
      <c r="C396" s="2" t="s">
        <v>25</v>
      </c>
      <c r="D396" s="2" t="s">
        <v>26</v>
      </c>
      <c r="E396" s="2" t="s">
        <v>52</v>
      </c>
      <c r="F396" s="3">
        <v>240000</v>
      </c>
      <c r="G396" s="2" t="s">
        <v>53</v>
      </c>
      <c r="H396" s="2" t="s">
        <v>28</v>
      </c>
      <c r="I396" s="2" t="s">
        <v>38</v>
      </c>
      <c r="J396" s="2" t="s">
        <v>45</v>
      </c>
      <c r="K396" s="2" t="s">
        <v>21</v>
      </c>
      <c r="L396" s="2" t="s">
        <v>724</v>
      </c>
    </row>
    <row r="397" spans="1:12" x14ac:dyDescent="0.3">
      <c r="A397" s="2" t="s">
        <v>725</v>
      </c>
      <c r="B397" s="2" t="s">
        <v>75</v>
      </c>
      <c r="C397" s="2" t="s">
        <v>191</v>
      </c>
      <c r="D397" s="2" t="s">
        <v>71</v>
      </c>
      <c r="E397" s="2" t="s">
        <v>116</v>
      </c>
      <c r="F397" s="3">
        <v>1155000</v>
      </c>
      <c r="G397" s="2" t="s">
        <v>27</v>
      </c>
      <c r="H397" s="2" t="s">
        <v>18</v>
      </c>
      <c r="I397" s="2" t="s">
        <v>54</v>
      </c>
      <c r="J397" s="2" t="s">
        <v>30</v>
      </c>
      <c r="K397" s="2" t="s">
        <v>21</v>
      </c>
      <c r="L397" s="2" t="s">
        <v>510</v>
      </c>
    </row>
    <row r="398" spans="1:12" x14ac:dyDescent="0.3">
      <c r="A398" s="2" t="s">
        <v>726</v>
      </c>
      <c r="B398" s="2" t="s">
        <v>42</v>
      </c>
      <c r="C398" s="2" t="s">
        <v>109</v>
      </c>
      <c r="D398" s="2" t="s">
        <v>81</v>
      </c>
      <c r="E398" s="2" t="s">
        <v>37</v>
      </c>
      <c r="F398" s="3">
        <v>1775000</v>
      </c>
      <c r="G398" s="2" t="s">
        <v>27</v>
      </c>
      <c r="H398" s="2" t="s">
        <v>18</v>
      </c>
      <c r="I398" s="2" t="s">
        <v>29</v>
      </c>
      <c r="J398" s="2" t="s">
        <v>20</v>
      </c>
      <c r="K398" s="2" t="s">
        <v>68</v>
      </c>
      <c r="L398" s="2" t="s">
        <v>424</v>
      </c>
    </row>
    <row r="399" spans="1:12" x14ac:dyDescent="0.3">
      <c r="A399" s="2" t="s">
        <v>727</v>
      </c>
      <c r="B399" s="2" t="s">
        <v>62</v>
      </c>
      <c r="C399" s="2" t="s">
        <v>283</v>
      </c>
      <c r="D399" s="2" t="s">
        <v>64</v>
      </c>
      <c r="E399" s="2" t="s">
        <v>116</v>
      </c>
      <c r="F399" s="3">
        <v>880000</v>
      </c>
      <c r="G399" s="2" t="s">
        <v>27</v>
      </c>
      <c r="H399" s="2" t="s">
        <v>18</v>
      </c>
      <c r="I399" s="2" t="s">
        <v>131</v>
      </c>
      <c r="J399" s="2" t="s">
        <v>30</v>
      </c>
      <c r="K399" s="2" t="s">
        <v>29</v>
      </c>
      <c r="L399" s="2" t="s">
        <v>515</v>
      </c>
    </row>
    <row r="400" spans="1:12" x14ac:dyDescent="0.3">
      <c r="A400" s="2" t="s">
        <v>728</v>
      </c>
      <c r="B400" s="2" t="s">
        <v>34</v>
      </c>
      <c r="C400" s="2" t="s">
        <v>396</v>
      </c>
      <c r="D400" s="2" t="s">
        <v>26</v>
      </c>
      <c r="E400" s="2" t="s">
        <v>37</v>
      </c>
      <c r="F400" s="3">
        <v>1395000</v>
      </c>
      <c r="G400" s="2" t="s">
        <v>27</v>
      </c>
      <c r="H400" s="2" t="s">
        <v>18</v>
      </c>
      <c r="I400" s="2" t="s">
        <v>39</v>
      </c>
      <c r="J400" s="2" t="s">
        <v>45</v>
      </c>
      <c r="K400" s="2" t="s">
        <v>38</v>
      </c>
      <c r="L400" s="2" t="s">
        <v>364</v>
      </c>
    </row>
    <row r="401" spans="1:12" x14ac:dyDescent="0.3">
      <c r="A401" s="2" t="s">
        <v>729</v>
      </c>
      <c r="B401" s="2" t="s">
        <v>62</v>
      </c>
      <c r="C401" s="2" t="s">
        <v>211</v>
      </c>
      <c r="D401" s="2" t="s">
        <v>64</v>
      </c>
      <c r="E401" s="2" t="s">
        <v>77</v>
      </c>
      <c r="F401" s="3">
        <v>2175000</v>
      </c>
      <c r="G401" s="2" t="s">
        <v>27</v>
      </c>
      <c r="H401" s="2" t="s">
        <v>59</v>
      </c>
      <c r="I401" s="2" t="s">
        <v>31</v>
      </c>
      <c r="J401" s="2" t="s">
        <v>131</v>
      </c>
      <c r="K401" s="2" t="s">
        <v>21</v>
      </c>
      <c r="L401" s="2" t="s">
        <v>206</v>
      </c>
    </row>
    <row r="402" spans="1:12" x14ac:dyDescent="0.3">
      <c r="A402" s="2" t="s">
        <v>730</v>
      </c>
      <c r="B402" s="2" t="s">
        <v>34</v>
      </c>
      <c r="C402" s="2" t="s">
        <v>441</v>
      </c>
      <c r="D402" s="2" t="s">
        <v>64</v>
      </c>
      <c r="E402" s="2" t="s">
        <v>16</v>
      </c>
      <c r="F402" s="3">
        <v>730000</v>
      </c>
      <c r="G402" s="2" t="s">
        <v>27</v>
      </c>
      <c r="H402" s="2" t="s">
        <v>28</v>
      </c>
      <c r="I402" s="2" t="s">
        <v>103</v>
      </c>
      <c r="J402" s="2" t="s">
        <v>68</v>
      </c>
      <c r="K402" s="2" t="s">
        <v>20</v>
      </c>
      <c r="L402" s="2" t="s">
        <v>291</v>
      </c>
    </row>
    <row r="403" spans="1:12" x14ac:dyDescent="0.3">
      <c r="A403" s="2" t="s">
        <v>731</v>
      </c>
      <c r="B403" s="2" t="s">
        <v>149</v>
      </c>
      <c r="C403" s="2" t="s">
        <v>63</v>
      </c>
      <c r="D403" s="2" t="s">
        <v>44</v>
      </c>
      <c r="E403" s="2" t="s">
        <v>52</v>
      </c>
      <c r="F403" s="3">
        <v>495000</v>
      </c>
      <c r="G403" s="2" t="s">
        <v>27</v>
      </c>
      <c r="H403" s="2" t="s">
        <v>18</v>
      </c>
      <c r="I403" s="2" t="s">
        <v>19</v>
      </c>
      <c r="J403" s="2" t="s">
        <v>31</v>
      </c>
      <c r="K403" s="2" t="s">
        <v>45</v>
      </c>
      <c r="L403" s="2" t="s">
        <v>704</v>
      </c>
    </row>
    <row r="404" spans="1:12" x14ac:dyDescent="0.3">
      <c r="A404" s="2" t="s">
        <v>732</v>
      </c>
      <c r="B404" s="2" t="s">
        <v>42</v>
      </c>
      <c r="C404" s="2" t="s">
        <v>441</v>
      </c>
      <c r="D404" s="2" t="s">
        <v>96</v>
      </c>
      <c r="E404" s="2" t="s">
        <v>116</v>
      </c>
      <c r="F404" s="3">
        <v>1010000</v>
      </c>
      <c r="G404" s="2" t="s">
        <v>27</v>
      </c>
      <c r="H404" s="2" t="s">
        <v>28</v>
      </c>
      <c r="I404" s="2" t="s">
        <v>20</v>
      </c>
      <c r="J404" s="2" t="s">
        <v>38</v>
      </c>
      <c r="K404" s="2" t="s">
        <v>54</v>
      </c>
      <c r="L404" s="2" t="s">
        <v>212</v>
      </c>
    </row>
    <row r="405" spans="1:12" x14ac:dyDescent="0.3">
      <c r="A405" s="2" t="s">
        <v>733</v>
      </c>
      <c r="B405" s="2" t="s">
        <v>75</v>
      </c>
      <c r="C405" s="2" t="s">
        <v>181</v>
      </c>
      <c r="D405" s="2" t="s">
        <v>76</v>
      </c>
      <c r="E405" s="2" t="s">
        <v>52</v>
      </c>
      <c r="F405" s="3">
        <v>610000</v>
      </c>
      <c r="G405" s="2" t="s">
        <v>27</v>
      </c>
      <c r="H405" s="2" t="s">
        <v>28</v>
      </c>
      <c r="I405" s="2" t="s">
        <v>21</v>
      </c>
      <c r="J405" s="2" t="s">
        <v>20</v>
      </c>
      <c r="K405" s="2" t="s">
        <v>45</v>
      </c>
      <c r="L405" s="2" t="s">
        <v>393</v>
      </c>
    </row>
    <row r="406" spans="1:12" x14ac:dyDescent="0.3">
      <c r="A406" s="2" t="s">
        <v>734</v>
      </c>
      <c r="B406" s="2" t="s">
        <v>49</v>
      </c>
      <c r="C406" s="2" t="s">
        <v>334</v>
      </c>
      <c r="D406" s="2" t="s">
        <v>96</v>
      </c>
      <c r="E406" s="2" t="s">
        <v>16</v>
      </c>
      <c r="F406" s="3">
        <v>1055000</v>
      </c>
      <c r="G406" s="2" t="s">
        <v>27</v>
      </c>
      <c r="H406" s="2" t="s">
        <v>18</v>
      </c>
      <c r="I406" s="2" t="s">
        <v>72</v>
      </c>
      <c r="J406" s="2" t="s">
        <v>39</v>
      </c>
      <c r="K406" s="2" t="s">
        <v>19</v>
      </c>
      <c r="L406" s="2" t="s">
        <v>595</v>
      </c>
    </row>
    <row r="407" spans="1:12" x14ac:dyDescent="0.3">
      <c r="A407" s="2" t="s">
        <v>735</v>
      </c>
      <c r="B407" s="2" t="s">
        <v>62</v>
      </c>
      <c r="C407" s="2" t="s">
        <v>655</v>
      </c>
      <c r="D407" s="2" t="s">
        <v>15</v>
      </c>
      <c r="E407" s="2" t="s">
        <v>37</v>
      </c>
      <c r="F407" s="3">
        <v>1555000</v>
      </c>
      <c r="G407" s="2" t="s">
        <v>27</v>
      </c>
      <c r="H407" s="2" t="s">
        <v>28</v>
      </c>
      <c r="I407" s="2" t="s">
        <v>30</v>
      </c>
      <c r="J407" s="2" t="s">
        <v>131</v>
      </c>
      <c r="K407" s="2" t="s">
        <v>72</v>
      </c>
      <c r="L407" s="2" t="s">
        <v>419</v>
      </c>
    </row>
    <row r="408" spans="1:12" x14ac:dyDescent="0.3">
      <c r="A408" s="2" t="s">
        <v>736</v>
      </c>
      <c r="B408" s="2" t="s">
        <v>34</v>
      </c>
      <c r="C408" s="2" t="s">
        <v>286</v>
      </c>
      <c r="D408" s="2" t="s">
        <v>51</v>
      </c>
      <c r="E408" s="2" t="s">
        <v>52</v>
      </c>
      <c r="F408" s="3">
        <v>685000</v>
      </c>
      <c r="G408" s="2" t="s">
        <v>27</v>
      </c>
      <c r="H408" s="2" t="s">
        <v>18</v>
      </c>
      <c r="I408" s="2" t="s">
        <v>29</v>
      </c>
      <c r="J408" s="2" t="s">
        <v>38</v>
      </c>
      <c r="K408" s="2" t="s">
        <v>39</v>
      </c>
      <c r="L408" s="2" t="s">
        <v>299</v>
      </c>
    </row>
    <row r="409" spans="1:12" x14ac:dyDescent="0.3">
      <c r="A409" s="2" t="s">
        <v>737</v>
      </c>
      <c r="B409" s="2" t="s">
        <v>42</v>
      </c>
      <c r="C409" s="2" t="s">
        <v>119</v>
      </c>
      <c r="D409" s="2" t="s">
        <v>81</v>
      </c>
      <c r="E409" s="2" t="s">
        <v>77</v>
      </c>
      <c r="F409" s="3">
        <v>2625000</v>
      </c>
      <c r="G409" s="2" t="s">
        <v>27</v>
      </c>
      <c r="H409" s="2" t="s">
        <v>28</v>
      </c>
      <c r="I409" s="2" t="s">
        <v>39</v>
      </c>
      <c r="J409" s="2" t="s">
        <v>31</v>
      </c>
      <c r="K409" s="2" t="s">
        <v>20</v>
      </c>
      <c r="L409" s="2" t="s">
        <v>107</v>
      </c>
    </row>
    <row r="410" spans="1:12" x14ac:dyDescent="0.3">
      <c r="A410" s="2" t="s">
        <v>738</v>
      </c>
      <c r="B410" s="2" t="s">
        <v>62</v>
      </c>
      <c r="C410" s="2" t="s">
        <v>106</v>
      </c>
      <c r="D410" s="2" t="s">
        <v>96</v>
      </c>
      <c r="E410" s="2" t="s">
        <v>77</v>
      </c>
      <c r="F410" s="3">
        <v>3430000</v>
      </c>
      <c r="G410" s="2" t="s">
        <v>17</v>
      </c>
      <c r="H410" s="2" t="s">
        <v>28</v>
      </c>
      <c r="I410" s="2" t="s">
        <v>19</v>
      </c>
      <c r="J410" s="2" t="s">
        <v>21</v>
      </c>
      <c r="K410" s="2" t="s">
        <v>30</v>
      </c>
      <c r="L410" s="2" t="s">
        <v>197</v>
      </c>
    </row>
    <row r="411" spans="1:12" x14ac:dyDescent="0.3">
      <c r="A411" s="2" t="s">
        <v>739</v>
      </c>
      <c r="B411" s="2" t="s">
        <v>49</v>
      </c>
      <c r="C411" s="2" t="s">
        <v>271</v>
      </c>
      <c r="D411" s="2" t="s">
        <v>96</v>
      </c>
      <c r="E411" s="2" t="s">
        <v>116</v>
      </c>
      <c r="F411" s="3">
        <v>1060000</v>
      </c>
      <c r="G411" s="2" t="s">
        <v>27</v>
      </c>
      <c r="H411" s="2" t="s">
        <v>28</v>
      </c>
      <c r="I411" s="2" t="s">
        <v>46</v>
      </c>
      <c r="J411" s="2" t="s">
        <v>45</v>
      </c>
      <c r="K411" s="2" t="s">
        <v>19</v>
      </c>
      <c r="L411" s="2" t="s">
        <v>459</v>
      </c>
    </row>
    <row r="412" spans="1:12" x14ac:dyDescent="0.3">
      <c r="A412" s="2" t="s">
        <v>740</v>
      </c>
      <c r="B412" s="2" t="s">
        <v>49</v>
      </c>
      <c r="C412" s="2" t="s">
        <v>530</v>
      </c>
      <c r="D412" s="2" t="s">
        <v>36</v>
      </c>
      <c r="E412" s="2" t="s">
        <v>16</v>
      </c>
      <c r="F412" s="3">
        <v>970000</v>
      </c>
      <c r="G412" s="2" t="s">
        <v>27</v>
      </c>
      <c r="H412" s="2" t="s">
        <v>59</v>
      </c>
      <c r="I412" s="2" t="s">
        <v>45</v>
      </c>
      <c r="J412" s="2" t="s">
        <v>20</v>
      </c>
      <c r="K412" s="2" t="s">
        <v>103</v>
      </c>
      <c r="L412" s="2" t="s">
        <v>741</v>
      </c>
    </row>
    <row r="413" spans="1:12" x14ac:dyDescent="0.3">
      <c r="A413" s="2" t="s">
        <v>742</v>
      </c>
      <c r="B413" s="2" t="s">
        <v>13</v>
      </c>
      <c r="C413" s="2" t="s">
        <v>181</v>
      </c>
      <c r="D413" s="2" t="s">
        <v>96</v>
      </c>
      <c r="E413" s="2" t="s">
        <v>37</v>
      </c>
      <c r="F413" s="3">
        <v>1175000</v>
      </c>
      <c r="G413" s="2" t="s">
        <v>17</v>
      </c>
      <c r="H413" s="2" t="s">
        <v>28</v>
      </c>
      <c r="I413" s="2" t="s">
        <v>21</v>
      </c>
      <c r="J413" s="2" t="s">
        <v>54</v>
      </c>
      <c r="K413" s="2" t="s">
        <v>46</v>
      </c>
      <c r="L413" s="2" t="s">
        <v>256</v>
      </c>
    </row>
    <row r="414" spans="1:12" x14ac:dyDescent="0.3">
      <c r="A414" s="2" t="s">
        <v>743</v>
      </c>
      <c r="B414" s="2" t="s">
        <v>24</v>
      </c>
      <c r="C414" s="2" t="s">
        <v>175</v>
      </c>
      <c r="D414" s="2" t="s">
        <v>96</v>
      </c>
      <c r="E414" s="2" t="s">
        <v>16</v>
      </c>
      <c r="F414" s="3">
        <v>740000</v>
      </c>
      <c r="G414" s="2" t="s">
        <v>27</v>
      </c>
      <c r="H414" s="2" t="s">
        <v>59</v>
      </c>
      <c r="I414" s="2" t="s">
        <v>29</v>
      </c>
      <c r="J414" s="2" t="s">
        <v>45</v>
      </c>
      <c r="K414" s="2" t="s">
        <v>31</v>
      </c>
      <c r="L414" s="2" t="s">
        <v>192</v>
      </c>
    </row>
    <row r="415" spans="1:12" x14ac:dyDescent="0.3">
      <c r="A415" s="2" t="s">
        <v>744</v>
      </c>
      <c r="B415" s="2" t="s">
        <v>49</v>
      </c>
      <c r="C415" s="2" t="s">
        <v>102</v>
      </c>
      <c r="D415" s="2" t="s">
        <v>15</v>
      </c>
      <c r="E415" s="2" t="s">
        <v>16</v>
      </c>
      <c r="F415" s="3">
        <v>695000</v>
      </c>
      <c r="G415" s="2" t="s">
        <v>27</v>
      </c>
      <c r="H415" s="2" t="s">
        <v>59</v>
      </c>
      <c r="I415" s="2" t="s">
        <v>19</v>
      </c>
      <c r="J415" s="2" t="s">
        <v>31</v>
      </c>
      <c r="K415" s="2" t="s">
        <v>45</v>
      </c>
      <c r="L415" s="2" t="s">
        <v>411</v>
      </c>
    </row>
    <row r="416" spans="1:12" x14ac:dyDescent="0.3">
      <c r="A416" s="2" t="s">
        <v>745</v>
      </c>
      <c r="B416" s="2" t="s">
        <v>34</v>
      </c>
      <c r="C416" s="2" t="s">
        <v>179</v>
      </c>
      <c r="D416" s="2" t="s">
        <v>76</v>
      </c>
      <c r="E416" s="2" t="s">
        <v>37</v>
      </c>
      <c r="F416" s="3">
        <v>2045000</v>
      </c>
      <c r="G416" s="2" t="s">
        <v>17</v>
      </c>
      <c r="H416" s="2" t="s">
        <v>28</v>
      </c>
      <c r="I416" s="2" t="s">
        <v>20</v>
      </c>
      <c r="J416" s="2" t="s">
        <v>29</v>
      </c>
      <c r="K416" s="2" t="s">
        <v>54</v>
      </c>
      <c r="L416" s="2" t="s">
        <v>269</v>
      </c>
    </row>
    <row r="417" spans="1:12" x14ac:dyDescent="0.3">
      <c r="A417" s="2" t="s">
        <v>746</v>
      </c>
      <c r="B417" s="2" t="s">
        <v>62</v>
      </c>
      <c r="C417" s="2" t="s">
        <v>295</v>
      </c>
      <c r="D417" s="2" t="s">
        <v>36</v>
      </c>
      <c r="E417" s="2" t="s">
        <v>77</v>
      </c>
      <c r="F417" s="3">
        <v>1915000</v>
      </c>
      <c r="G417" s="2" t="s">
        <v>27</v>
      </c>
      <c r="H417" s="2" t="s">
        <v>28</v>
      </c>
      <c r="I417" s="2" t="s">
        <v>131</v>
      </c>
      <c r="J417" s="2" t="s">
        <v>29</v>
      </c>
      <c r="K417" s="2" t="s">
        <v>20</v>
      </c>
      <c r="L417" s="2" t="s">
        <v>455</v>
      </c>
    </row>
    <row r="418" spans="1:12" x14ac:dyDescent="0.3">
      <c r="A418" s="2" t="s">
        <v>747</v>
      </c>
      <c r="B418" s="2" t="s">
        <v>149</v>
      </c>
      <c r="C418" s="2" t="s">
        <v>214</v>
      </c>
      <c r="D418" s="2" t="s">
        <v>71</v>
      </c>
      <c r="E418" s="2" t="s">
        <v>52</v>
      </c>
      <c r="F418" s="3">
        <v>430000</v>
      </c>
      <c r="G418" s="2" t="s">
        <v>27</v>
      </c>
      <c r="H418" s="2" t="s">
        <v>28</v>
      </c>
      <c r="I418" s="2" t="s">
        <v>46</v>
      </c>
      <c r="J418" s="2" t="s">
        <v>131</v>
      </c>
      <c r="K418" s="2" t="s">
        <v>19</v>
      </c>
      <c r="L418" s="2" t="s">
        <v>600</v>
      </c>
    </row>
    <row r="419" spans="1:12" x14ac:dyDescent="0.3">
      <c r="A419" s="2" t="s">
        <v>748</v>
      </c>
      <c r="B419" s="2" t="s">
        <v>57</v>
      </c>
      <c r="C419" s="2" t="s">
        <v>99</v>
      </c>
      <c r="D419" s="2" t="s">
        <v>36</v>
      </c>
      <c r="E419" s="2" t="s">
        <v>77</v>
      </c>
      <c r="F419" s="3">
        <v>3515000</v>
      </c>
      <c r="G419" s="2" t="s">
        <v>27</v>
      </c>
      <c r="H419" s="2" t="s">
        <v>28</v>
      </c>
      <c r="I419" s="2" t="s">
        <v>19</v>
      </c>
      <c r="J419" s="2" t="s">
        <v>54</v>
      </c>
      <c r="K419" s="2" t="s">
        <v>21</v>
      </c>
      <c r="L419" s="2" t="s">
        <v>308</v>
      </c>
    </row>
    <row r="420" spans="1:12" x14ac:dyDescent="0.3">
      <c r="A420" s="2" t="s">
        <v>749</v>
      </c>
      <c r="B420" s="2" t="s">
        <v>57</v>
      </c>
      <c r="C420" s="2" t="s">
        <v>58</v>
      </c>
      <c r="D420" s="2" t="s">
        <v>26</v>
      </c>
      <c r="E420" s="2" t="s">
        <v>16</v>
      </c>
      <c r="F420" s="3">
        <v>705000</v>
      </c>
      <c r="G420" s="2" t="s">
        <v>27</v>
      </c>
      <c r="H420" s="2" t="s">
        <v>18</v>
      </c>
      <c r="I420" s="2" t="s">
        <v>19</v>
      </c>
      <c r="J420" s="2" t="s">
        <v>45</v>
      </c>
      <c r="K420" s="2" t="s">
        <v>31</v>
      </c>
      <c r="L420" s="2" t="s">
        <v>156</v>
      </c>
    </row>
    <row r="421" spans="1:12" x14ac:dyDescent="0.3">
      <c r="A421" s="2" t="s">
        <v>750</v>
      </c>
      <c r="B421" s="2" t="s">
        <v>149</v>
      </c>
      <c r="C421" s="2" t="s">
        <v>115</v>
      </c>
      <c r="D421" s="2" t="s">
        <v>44</v>
      </c>
      <c r="E421" s="2" t="s">
        <v>52</v>
      </c>
      <c r="F421" s="3">
        <v>585000</v>
      </c>
      <c r="G421" s="2" t="s">
        <v>27</v>
      </c>
      <c r="H421" s="2" t="s">
        <v>59</v>
      </c>
      <c r="I421" s="2" t="s">
        <v>131</v>
      </c>
      <c r="J421" s="2" t="s">
        <v>30</v>
      </c>
      <c r="K421" s="2" t="s">
        <v>72</v>
      </c>
      <c r="L421" s="2" t="s">
        <v>438</v>
      </c>
    </row>
    <row r="422" spans="1:12" x14ac:dyDescent="0.3">
      <c r="A422" s="2" t="s">
        <v>751</v>
      </c>
      <c r="B422" s="2" t="s">
        <v>24</v>
      </c>
      <c r="C422" s="2" t="s">
        <v>396</v>
      </c>
      <c r="D422" s="2" t="s">
        <v>26</v>
      </c>
      <c r="E422" s="2" t="s">
        <v>52</v>
      </c>
      <c r="F422" s="3">
        <v>340000</v>
      </c>
      <c r="G422" s="2" t="s">
        <v>53</v>
      </c>
      <c r="H422" s="2" t="s">
        <v>28</v>
      </c>
      <c r="I422" s="2" t="s">
        <v>46</v>
      </c>
      <c r="J422" s="2" t="s">
        <v>103</v>
      </c>
      <c r="K422" s="2" t="s">
        <v>19</v>
      </c>
      <c r="L422" s="2" t="s">
        <v>664</v>
      </c>
    </row>
    <row r="423" spans="1:12" x14ac:dyDescent="0.3">
      <c r="A423" s="2" t="s">
        <v>752</v>
      </c>
      <c r="B423" s="2" t="s">
        <v>42</v>
      </c>
      <c r="C423" s="2" t="s">
        <v>217</v>
      </c>
      <c r="D423" s="2" t="s">
        <v>76</v>
      </c>
      <c r="E423" s="2" t="s">
        <v>116</v>
      </c>
      <c r="F423" s="3">
        <v>1010000</v>
      </c>
      <c r="G423" s="2" t="s">
        <v>27</v>
      </c>
      <c r="H423" s="2" t="s">
        <v>28</v>
      </c>
      <c r="I423" s="2" t="s">
        <v>103</v>
      </c>
      <c r="J423" s="2" t="s">
        <v>30</v>
      </c>
      <c r="K423" s="2" t="s">
        <v>29</v>
      </c>
      <c r="L423" s="2" t="s">
        <v>753</v>
      </c>
    </row>
    <row r="424" spans="1:12" x14ac:dyDescent="0.3">
      <c r="A424" s="2" t="s">
        <v>754</v>
      </c>
      <c r="B424" s="2" t="s">
        <v>42</v>
      </c>
      <c r="C424" s="2" t="s">
        <v>130</v>
      </c>
      <c r="D424" s="2" t="s">
        <v>76</v>
      </c>
      <c r="E424" s="2" t="s">
        <v>116</v>
      </c>
      <c r="F424" s="3">
        <v>1170000</v>
      </c>
      <c r="G424" s="2" t="s">
        <v>27</v>
      </c>
      <c r="H424" s="2" t="s">
        <v>28</v>
      </c>
      <c r="I424" s="2" t="s">
        <v>29</v>
      </c>
      <c r="J424" s="2" t="s">
        <v>38</v>
      </c>
      <c r="K424" s="2" t="s">
        <v>20</v>
      </c>
      <c r="L424" s="2" t="s">
        <v>273</v>
      </c>
    </row>
    <row r="425" spans="1:12" x14ac:dyDescent="0.3">
      <c r="A425" s="2" t="s">
        <v>755</v>
      </c>
      <c r="B425" s="2" t="s">
        <v>34</v>
      </c>
      <c r="C425" s="2" t="s">
        <v>58</v>
      </c>
      <c r="D425" s="2" t="s">
        <v>81</v>
      </c>
      <c r="E425" s="2" t="s">
        <v>16</v>
      </c>
      <c r="F425" s="3">
        <v>665000</v>
      </c>
      <c r="G425" s="2" t="s">
        <v>27</v>
      </c>
      <c r="H425" s="2" t="s">
        <v>18</v>
      </c>
      <c r="I425" s="2" t="s">
        <v>30</v>
      </c>
      <c r="J425" s="2" t="s">
        <v>54</v>
      </c>
      <c r="K425" s="2" t="s">
        <v>45</v>
      </c>
      <c r="L425" s="2" t="s">
        <v>670</v>
      </c>
    </row>
    <row r="426" spans="1:12" x14ac:dyDescent="0.3">
      <c r="A426" s="2" t="s">
        <v>756</v>
      </c>
      <c r="B426" s="2" t="s">
        <v>62</v>
      </c>
      <c r="C426" s="2" t="s">
        <v>191</v>
      </c>
      <c r="D426" s="2" t="s">
        <v>96</v>
      </c>
      <c r="E426" s="2" t="s">
        <v>52</v>
      </c>
      <c r="F426" s="3">
        <v>540000</v>
      </c>
      <c r="G426" s="2" t="s">
        <v>27</v>
      </c>
      <c r="H426" s="2" t="s">
        <v>28</v>
      </c>
      <c r="I426" s="2" t="s">
        <v>30</v>
      </c>
      <c r="J426" s="2" t="s">
        <v>72</v>
      </c>
      <c r="K426" s="2" t="s">
        <v>46</v>
      </c>
      <c r="L426" s="2" t="s">
        <v>683</v>
      </c>
    </row>
    <row r="427" spans="1:12" x14ac:dyDescent="0.3">
      <c r="A427" s="2" t="s">
        <v>757</v>
      </c>
      <c r="B427" s="2" t="s">
        <v>49</v>
      </c>
      <c r="C427" s="2" t="s">
        <v>130</v>
      </c>
      <c r="D427" s="2" t="s">
        <v>64</v>
      </c>
      <c r="E427" s="2" t="s">
        <v>37</v>
      </c>
      <c r="F427" s="3">
        <v>1840000</v>
      </c>
      <c r="G427" s="2" t="s">
        <v>27</v>
      </c>
      <c r="H427" s="2" t="s">
        <v>18</v>
      </c>
      <c r="I427" s="2" t="s">
        <v>131</v>
      </c>
      <c r="J427" s="2" t="s">
        <v>21</v>
      </c>
      <c r="K427" s="2" t="s">
        <v>31</v>
      </c>
      <c r="L427" s="2" t="s">
        <v>405</v>
      </c>
    </row>
    <row r="428" spans="1:12" x14ac:dyDescent="0.3">
      <c r="A428" s="2" t="s">
        <v>758</v>
      </c>
      <c r="B428" s="2" t="s">
        <v>49</v>
      </c>
      <c r="C428" s="2" t="s">
        <v>689</v>
      </c>
      <c r="D428" s="2" t="s">
        <v>76</v>
      </c>
      <c r="E428" s="2" t="s">
        <v>16</v>
      </c>
      <c r="F428" s="3">
        <v>985000</v>
      </c>
      <c r="G428" s="2" t="s">
        <v>27</v>
      </c>
      <c r="H428" s="2" t="s">
        <v>28</v>
      </c>
      <c r="I428" s="2" t="s">
        <v>54</v>
      </c>
      <c r="J428" s="2" t="s">
        <v>19</v>
      </c>
      <c r="K428" s="2" t="s">
        <v>21</v>
      </c>
      <c r="L428" s="2" t="s">
        <v>230</v>
      </c>
    </row>
    <row r="429" spans="1:12" x14ac:dyDescent="0.3">
      <c r="A429" s="2" t="s">
        <v>759</v>
      </c>
      <c r="B429" s="2" t="s">
        <v>34</v>
      </c>
      <c r="C429" s="2" t="s">
        <v>334</v>
      </c>
      <c r="D429" s="2" t="s">
        <v>36</v>
      </c>
      <c r="E429" s="2" t="s">
        <v>37</v>
      </c>
      <c r="F429" s="3">
        <v>1355000</v>
      </c>
      <c r="G429" s="2" t="s">
        <v>17</v>
      </c>
      <c r="H429" s="2" t="s">
        <v>28</v>
      </c>
      <c r="I429" s="2" t="s">
        <v>20</v>
      </c>
      <c r="J429" s="2" t="s">
        <v>68</v>
      </c>
      <c r="K429" s="2" t="s">
        <v>39</v>
      </c>
      <c r="L429" s="2" t="s">
        <v>368</v>
      </c>
    </row>
    <row r="430" spans="1:12" x14ac:dyDescent="0.3">
      <c r="A430" s="2" t="s">
        <v>760</v>
      </c>
      <c r="B430" s="2" t="s">
        <v>178</v>
      </c>
      <c r="C430" s="2" t="s">
        <v>172</v>
      </c>
      <c r="D430" s="2" t="s">
        <v>64</v>
      </c>
      <c r="E430" s="2" t="s">
        <v>52</v>
      </c>
      <c r="F430" s="3">
        <v>405000</v>
      </c>
      <c r="G430" s="2" t="s">
        <v>27</v>
      </c>
      <c r="H430" s="2" t="s">
        <v>18</v>
      </c>
      <c r="I430" s="2" t="s">
        <v>29</v>
      </c>
      <c r="J430" s="2" t="s">
        <v>20</v>
      </c>
      <c r="K430" s="2" t="s">
        <v>46</v>
      </c>
      <c r="L430" s="2" t="s">
        <v>647</v>
      </c>
    </row>
    <row r="431" spans="1:12" x14ac:dyDescent="0.3">
      <c r="A431" s="2" t="s">
        <v>761</v>
      </c>
      <c r="B431" s="2" t="s">
        <v>178</v>
      </c>
      <c r="C431" s="2" t="s">
        <v>80</v>
      </c>
      <c r="D431" s="2" t="s">
        <v>36</v>
      </c>
      <c r="E431" s="2" t="s">
        <v>77</v>
      </c>
      <c r="F431" s="3">
        <v>3015000</v>
      </c>
      <c r="G431" s="2" t="s">
        <v>17</v>
      </c>
      <c r="H431" s="2" t="s">
        <v>28</v>
      </c>
      <c r="I431" s="2" t="s">
        <v>131</v>
      </c>
      <c r="J431" s="2" t="s">
        <v>21</v>
      </c>
      <c r="K431" s="2" t="s">
        <v>39</v>
      </c>
      <c r="L431" s="2" t="s">
        <v>627</v>
      </c>
    </row>
    <row r="432" spans="1:12" x14ac:dyDescent="0.3">
      <c r="A432" s="2" t="s">
        <v>762</v>
      </c>
      <c r="B432" s="2" t="s">
        <v>149</v>
      </c>
      <c r="C432" s="2" t="s">
        <v>109</v>
      </c>
      <c r="D432" s="2" t="s">
        <v>64</v>
      </c>
      <c r="E432" s="2" t="s">
        <v>37</v>
      </c>
      <c r="F432" s="3">
        <v>1125000</v>
      </c>
      <c r="G432" s="2" t="s">
        <v>27</v>
      </c>
      <c r="H432" s="2" t="s">
        <v>28</v>
      </c>
      <c r="I432" s="2" t="s">
        <v>46</v>
      </c>
      <c r="J432" s="2" t="s">
        <v>131</v>
      </c>
      <c r="K432" s="2" t="s">
        <v>19</v>
      </c>
      <c r="L432" s="2" t="s">
        <v>377</v>
      </c>
    </row>
    <row r="433" spans="1:12" x14ac:dyDescent="0.3">
      <c r="A433" s="2" t="s">
        <v>763</v>
      </c>
      <c r="B433" s="2" t="s">
        <v>57</v>
      </c>
      <c r="C433" s="2" t="s">
        <v>123</v>
      </c>
      <c r="D433" s="2" t="s">
        <v>15</v>
      </c>
      <c r="E433" s="2" t="s">
        <v>116</v>
      </c>
      <c r="F433" s="3">
        <v>965000</v>
      </c>
      <c r="G433" s="2" t="s">
        <v>17</v>
      </c>
      <c r="H433" s="2" t="s">
        <v>28</v>
      </c>
      <c r="I433" s="2" t="s">
        <v>45</v>
      </c>
      <c r="J433" s="2" t="s">
        <v>21</v>
      </c>
      <c r="K433" s="2" t="s">
        <v>103</v>
      </c>
      <c r="L433" s="2" t="s">
        <v>764</v>
      </c>
    </row>
    <row r="434" spans="1:12" x14ac:dyDescent="0.3">
      <c r="A434" s="2" t="s">
        <v>765</v>
      </c>
      <c r="B434" s="2" t="s">
        <v>24</v>
      </c>
      <c r="C434" s="2" t="s">
        <v>242</v>
      </c>
      <c r="D434" s="2" t="s">
        <v>81</v>
      </c>
      <c r="E434" s="2" t="s">
        <v>52</v>
      </c>
      <c r="F434" s="3">
        <v>555000</v>
      </c>
      <c r="G434" s="2" t="s">
        <v>17</v>
      </c>
      <c r="H434" s="2" t="s">
        <v>18</v>
      </c>
      <c r="I434" s="2" t="s">
        <v>68</v>
      </c>
      <c r="J434" s="2" t="s">
        <v>46</v>
      </c>
      <c r="K434" s="2" t="s">
        <v>45</v>
      </c>
      <c r="L434" s="2" t="s">
        <v>766</v>
      </c>
    </row>
    <row r="435" spans="1:12" x14ac:dyDescent="0.3">
      <c r="A435" s="2" t="s">
        <v>767</v>
      </c>
      <c r="B435" s="2" t="s">
        <v>178</v>
      </c>
      <c r="C435" s="2" t="s">
        <v>441</v>
      </c>
      <c r="D435" s="2" t="s">
        <v>26</v>
      </c>
      <c r="E435" s="2" t="s">
        <v>77</v>
      </c>
      <c r="F435" s="3">
        <v>4310000</v>
      </c>
      <c r="G435" s="2" t="s">
        <v>27</v>
      </c>
      <c r="H435" s="2" t="s">
        <v>59</v>
      </c>
      <c r="I435" s="2" t="s">
        <v>131</v>
      </c>
      <c r="J435" s="2" t="s">
        <v>46</v>
      </c>
      <c r="K435" s="2" t="s">
        <v>103</v>
      </c>
      <c r="L435" s="2" t="s">
        <v>387</v>
      </c>
    </row>
    <row r="436" spans="1:12" x14ac:dyDescent="0.3">
      <c r="A436" s="2" t="s">
        <v>768</v>
      </c>
      <c r="B436" s="2" t="s">
        <v>34</v>
      </c>
      <c r="C436" s="2" t="s">
        <v>130</v>
      </c>
      <c r="D436" s="2" t="s">
        <v>44</v>
      </c>
      <c r="E436" s="2" t="s">
        <v>52</v>
      </c>
      <c r="F436" s="3">
        <v>665000</v>
      </c>
      <c r="G436" s="2" t="s">
        <v>27</v>
      </c>
      <c r="H436" s="2" t="s">
        <v>28</v>
      </c>
      <c r="I436" s="2" t="s">
        <v>131</v>
      </c>
      <c r="J436" s="2" t="s">
        <v>46</v>
      </c>
      <c r="K436" s="2" t="s">
        <v>72</v>
      </c>
      <c r="L436" s="2" t="s">
        <v>359</v>
      </c>
    </row>
    <row r="437" spans="1:12" x14ac:dyDescent="0.3">
      <c r="A437" s="2" t="s">
        <v>769</v>
      </c>
      <c r="B437" s="2" t="s">
        <v>24</v>
      </c>
      <c r="C437" s="2" t="s">
        <v>90</v>
      </c>
      <c r="D437" s="2" t="s">
        <v>26</v>
      </c>
      <c r="E437" s="2" t="s">
        <v>16</v>
      </c>
      <c r="F437" s="3">
        <v>895000</v>
      </c>
      <c r="G437" s="2" t="s">
        <v>27</v>
      </c>
      <c r="H437" s="2" t="s">
        <v>28</v>
      </c>
      <c r="I437" s="2" t="s">
        <v>39</v>
      </c>
      <c r="J437" s="2" t="s">
        <v>45</v>
      </c>
      <c r="K437" s="2" t="s">
        <v>103</v>
      </c>
      <c r="L437" s="2" t="s">
        <v>770</v>
      </c>
    </row>
    <row r="438" spans="1:12" x14ac:dyDescent="0.3">
      <c r="A438" s="2" t="s">
        <v>771</v>
      </c>
      <c r="B438" s="2" t="s">
        <v>34</v>
      </c>
      <c r="C438" s="2" t="s">
        <v>163</v>
      </c>
      <c r="D438" s="2" t="s">
        <v>15</v>
      </c>
      <c r="E438" s="2" t="s">
        <v>37</v>
      </c>
      <c r="F438" s="3">
        <v>1700000</v>
      </c>
      <c r="G438" s="2" t="s">
        <v>27</v>
      </c>
      <c r="H438" s="2" t="s">
        <v>18</v>
      </c>
      <c r="I438" s="2" t="s">
        <v>68</v>
      </c>
      <c r="J438" s="2" t="s">
        <v>29</v>
      </c>
      <c r="K438" s="2" t="s">
        <v>131</v>
      </c>
      <c r="L438" s="2" t="s">
        <v>203</v>
      </c>
    </row>
    <row r="439" spans="1:12" x14ac:dyDescent="0.3">
      <c r="A439" s="2" t="s">
        <v>772</v>
      </c>
      <c r="B439" s="2" t="s">
        <v>34</v>
      </c>
      <c r="C439" s="2" t="s">
        <v>217</v>
      </c>
      <c r="D439" s="2" t="s">
        <v>96</v>
      </c>
      <c r="E439" s="2" t="s">
        <v>77</v>
      </c>
      <c r="F439" s="3">
        <v>4350000</v>
      </c>
      <c r="G439" s="2" t="s">
        <v>27</v>
      </c>
      <c r="H439" s="2" t="s">
        <v>28</v>
      </c>
      <c r="I439" s="2" t="s">
        <v>19</v>
      </c>
      <c r="J439" s="2" t="s">
        <v>103</v>
      </c>
      <c r="K439" s="2" t="s">
        <v>39</v>
      </c>
      <c r="L439" s="2" t="s">
        <v>65</v>
      </c>
    </row>
    <row r="440" spans="1:12" x14ac:dyDescent="0.3">
      <c r="A440" s="2" t="s">
        <v>773</v>
      </c>
      <c r="B440" s="2" t="s">
        <v>178</v>
      </c>
      <c r="C440" s="2" t="s">
        <v>95</v>
      </c>
      <c r="D440" s="2" t="s">
        <v>15</v>
      </c>
      <c r="E440" s="2" t="s">
        <v>52</v>
      </c>
      <c r="F440" s="3">
        <v>625000</v>
      </c>
      <c r="G440" s="2" t="s">
        <v>27</v>
      </c>
      <c r="H440" s="2" t="s">
        <v>18</v>
      </c>
      <c r="I440" s="2" t="s">
        <v>21</v>
      </c>
      <c r="J440" s="2" t="s">
        <v>29</v>
      </c>
      <c r="K440" s="2" t="s">
        <v>131</v>
      </c>
      <c r="L440" s="2" t="s">
        <v>417</v>
      </c>
    </row>
    <row r="441" spans="1:12" x14ac:dyDescent="0.3">
      <c r="A441" s="2" t="s">
        <v>774</v>
      </c>
      <c r="B441" s="2" t="s">
        <v>24</v>
      </c>
      <c r="C441" s="2" t="s">
        <v>400</v>
      </c>
      <c r="D441" s="2" t="s">
        <v>15</v>
      </c>
      <c r="E441" s="2" t="s">
        <v>16</v>
      </c>
      <c r="F441" s="3">
        <v>640000</v>
      </c>
      <c r="G441" s="2" t="s">
        <v>27</v>
      </c>
      <c r="H441" s="2" t="s">
        <v>28</v>
      </c>
      <c r="I441" s="2" t="s">
        <v>31</v>
      </c>
      <c r="J441" s="2" t="s">
        <v>45</v>
      </c>
      <c r="K441" s="2" t="s">
        <v>20</v>
      </c>
      <c r="L441" s="2" t="s">
        <v>704</v>
      </c>
    </row>
    <row r="442" spans="1:12" x14ac:dyDescent="0.3">
      <c r="A442" s="2" t="s">
        <v>775</v>
      </c>
      <c r="B442" s="2" t="s">
        <v>178</v>
      </c>
      <c r="C442" s="2" t="s">
        <v>125</v>
      </c>
      <c r="D442" s="2" t="s">
        <v>64</v>
      </c>
      <c r="E442" s="2" t="s">
        <v>116</v>
      </c>
      <c r="F442" s="3">
        <v>1630000</v>
      </c>
      <c r="G442" s="2" t="s">
        <v>27</v>
      </c>
      <c r="H442" s="2" t="s">
        <v>18</v>
      </c>
      <c r="I442" s="2" t="s">
        <v>39</v>
      </c>
      <c r="J442" s="2" t="s">
        <v>131</v>
      </c>
      <c r="K442" s="2" t="s">
        <v>20</v>
      </c>
      <c r="L442" s="2" t="s">
        <v>538</v>
      </c>
    </row>
    <row r="443" spans="1:12" x14ac:dyDescent="0.3">
      <c r="A443" s="2" t="s">
        <v>776</v>
      </c>
      <c r="B443" s="2" t="s">
        <v>34</v>
      </c>
      <c r="C443" s="2" t="s">
        <v>530</v>
      </c>
      <c r="D443" s="2" t="s">
        <v>44</v>
      </c>
      <c r="E443" s="2" t="s">
        <v>77</v>
      </c>
      <c r="F443" s="3">
        <v>2660000</v>
      </c>
      <c r="G443" s="2" t="s">
        <v>27</v>
      </c>
      <c r="H443" s="2" t="s">
        <v>28</v>
      </c>
      <c r="I443" s="2" t="s">
        <v>30</v>
      </c>
      <c r="J443" s="2" t="s">
        <v>29</v>
      </c>
      <c r="K443" s="2" t="s">
        <v>38</v>
      </c>
      <c r="L443" s="2" t="s">
        <v>156</v>
      </c>
    </row>
    <row r="444" spans="1:12" x14ac:dyDescent="0.3">
      <c r="A444" s="2" t="s">
        <v>777</v>
      </c>
      <c r="B444" s="2" t="s">
        <v>178</v>
      </c>
      <c r="C444" s="2" t="s">
        <v>321</v>
      </c>
      <c r="D444" s="2" t="s">
        <v>96</v>
      </c>
      <c r="E444" s="2" t="s">
        <v>52</v>
      </c>
      <c r="F444" s="3">
        <v>630000</v>
      </c>
      <c r="G444" s="2" t="s">
        <v>17</v>
      </c>
      <c r="H444" s="2" t="s">
        <v>59</v>
      </c>
      <c r="I444" s="2" t="s">
        <v>46</v>
      </c>
      <c r="J444" s="2" t="s">
        <v>20</v>
      </c>
      <c r="K444" s="2" t="s">
        <v>68</v>
      </c>
      <c r="L444" s="2" t="s">
        <v>498</v>
      </c>
    </row>
    <row r="445" spans="1:12" x14ac:dyDescent="0.3">
      <c r="A445" s="2" t="s">
        <v>778</v>
      </c>
      <c r="B445" s="2" t="s">
        <v>24</v>
      </c>
      <c r="C445" s="2" t="s">
        <v>288</v>
      </c>
      <c r="D445" s="2" t="s">
        <v>81</v>
      </c>
      <c r="E445" s="2" t="s">
        <v>52</v>
      </c>
      <c r="F445" s="3">
        <v>475000</v>
      </c>
      <c r="G445" s="2" t="s">
        <v>53</v>
      </c>
      <c r="H445" s="2" t="s">
        <v>28</v>
      </c>
      <c r="I445" s="2" t="s">
        <v>31</v>
      </c>
      <c r="J445" s="2" t="s">
        <v>72</v>
      </c>
      <c r="K445" s="2" t="s">
        <v>46</v>
      </c>
      <c r="L445" s="2" t="s">
        <v>413</v>
      </c>
    </row>
    <row r="446" spans="1:12" x14ac:dyDescent="0.3">
      <c r="A446" s="2" t="s">
        <v>779</v>
      </c>
      <c r="B446" s="2" t="s">
        <v>42</v>
      </c>
      <c r="C446" s="2" t="s">
        <v>211</v>
      </c>
      <c r="D446" s="2" t="s">
        <v>51</v>
      </c>
      <c r="E446" s="2" t="s">
        <v>77</v>
      </c>
      <c r="F446" s="3">
        <v>4090000</v>
      </c>
      <c r="G446" s="2" t="s">
        <v>27</v>
      </c>
      <c r="H446" s="2" t="s">
        <v>59</v>
      </c>
      <c r="I446" s="2" t="s">
        <v>54</v>
      </c>
      <c r="J446" s="2" t="s">
        <v>72</v>
      </c>
      <c r="K446" s="2" t="s">
        <v>38</v>
      </c>
      <c r="L446" s="2" t="s">
        <v>780</v>
      </c>
    </row>
    <row r="447" spans="1:12" x14ac:dyDescent="0.3">
      <c r="A447" s="2" t="s">
        <v>781</v>
      </c>
      <c r="B447" s="2" t="s">
        <v>149</v>
      </c>
      <c r="C447" s="2" t="s">
        <v>50</v>
      </c>
      <c r="D447" s="2" t="s">
        <v>96</v>
      </c>
      <c r="E447" s="2" t="s">
        <v>116</v>
      </c>
      <c r="F447" s="3">
        <v>1730000</v>
      </c>
      <c r="G447" s="2" t="s">
        <v>27</v>
      </c>
      <c r="H447" s="2" t="s">
        <v>28</v>
      </c>
      <c r="I447" s="2" t="s">
        <v>45</v>
      </c>
      <c r="J447" s="2" t="s">
        <v>46</v>
      </c>
      <c r="K447" s="2" t="s">
        <v>21</v>
      </c>
      <c r="L447" s="2" t="s">
        <v>186</v>
      </c>
    </row>
    <row r="448" spans="1:12" x14ac:dyDescent="0.3">
      <c r="A448" s="2" t="s">
        <v>782</v>
      </c>
      <c r="B448" s="2" t="s">
        <v>24</v>
      </c>
      <c r="C448" s="2" t="s">
        <v>144</v>
      </c>
      <c r="D448" s="2" t="s">
        <v>44</v>
      </c>
      <c r="E448" s="2" t="s">
        <v>52</v>
      </c>
      <c r="F448" s="3">
        <v>485000</v>
      </c>
      <c r="G448" s="2" t="s">
        <v>27</v>
      </c>
      <c r="H448" s="2" t="s">
        <v>28</v>
      </c>
      <c r="I448" s="2" t="s">
        <v>103</v>
      </c>
      <c r="J448" s="2" t="s">
        <v>19</v>
      </c>
      <c r="K448" s="2" t="s">
        <v>45</v>
      </c>
      <c r="L448" s="2" t="s">
        <v>225</v>
      </c>
    </row>
    <row r="449" spans="1:12" x14ac:dyDescent="0.3">
      <c r="A449" s="2" t="s">
        <v>783</v>
      </c>
      <c r="B449" s="2" t="s">
        <v>75</v>
      </c>
      <c r="C449" s="2" t="s">
        <v>102</v>
      </c>
      <c r="D449" s="2" t="s">
        <v>64</v>
      </c>
      <c r="E449" s="2" t="s">
        <v>116</v>
      </c>
      <c r="F449" s="3">
        <v>1190000</v>
      </c>
      <c r="G449" s="2" t="s">
        <v>27</v>
      </c>
      <c r="H449" s="2" t="s">
        <v>59</v>
      </c>
      <c r="I449" s="2" t="s">
        <v>31</v>
      </c>
      <c r="J449" s="2" t="s">
        <v>45</v>
      </c>
      <c r="K449" s="2" t="s">
        <v>54</v>
      </c>
      <c r="L449" s="2" t="s">
        <v>273</v>
      </c>
    </row>
    <row r="450" spans="1:12" x14ac:dyDescent="0.3">
      <c r="A450" s="2" t="s">
        <v>784</v>
      </c>
      <c r="B450" s="2" t="s">
        <v>178</v>
      </c>
      <c r="C450" s="2" t="s">
        <v>95</v>
      </c>
      <c r="D450" s="2" t="s">
        <v>81</v>
      </c>
      <c r="E450" s="2" t="s">
        <v>16</v>
      </c>
      <c r="F450" s="3">
        <v>800000</v>
      </c>
      <c r="G450" s="2" t="s">
        <v>27</v>
      </c>
      <c r="H450" s="2" t="s">
        <v>28</v>
      </c>
      <c r="I450" s="2" t="s">
        <v>30</v>
      </c>
      <c r="J450" s="2" t="s">
        <v>39</v>
      </c>
      <c r="K450" s="2" t="s">
        <v>21</v>
      </c>
      <c r="L450" s="2" t="s">
        <v>69</v>
      </c>
    </row>
    <row r="451" spans="1:12" x14ac:dyDescent="0.3">
      <c r="A451" s="2" t="s">
        <v>785</v>
      </c>
      <c r="B451" s="2" t="s">
        <v>42</v>
      </c>
      <c r="C451" s="2" t="s">
        <v>67</v>
      </c>
      <c r="D451" s="2" t="s">
        <v>76</v>
      </c>
      <c r="E451" s="2" t="s">
        <v>52</v>
      </c>
      <c r="F451" s="3">
        <v>420000</v>
      </c>
      <c r="G451" s="2" t="s">
        <v>27</v>
      </c>
      <c r="H451" s="2" t="s">
        <v>18</v>
      </c>
      <c r="I451" s="2" t="s">
        <v>20</v>
      </c>
      <c r="J451" s="2" t="s">
        <v>46</v>
      </c>
      <c r="K451" s="2" t="s">
        <v>38</v>
      </c>
      <c r="L451" s="2" t="s">
        <v>88</v>
      </c>
    </row>
    <row r="452" spans="1:12" x14ac:dyDescent="0.3">
      <c r="A452" s="2" t="s">
        <v>786</v>
      </c>
      <c r="B452" s="2" t="s">
        <v>24</v>
      </c>
      <c r="C452" s="2" t="s">
        <v>106</v>
      </c>
      <c r="D452" s="2" t="s">
        <v>96</v>
      </c>
      <c r="E452" s="2" t="s">
        <v>16</v>
      </c>
      <c r="F452" s="3">
        <v>895000</v>
      </c>
      <c r="G452" s="2" t="s">
        <v>17</v>
      </c>
      <c r="H452" s="2" t="s">
        <v>18</v>
      </c>
      <c r="I452" s="2" t="s">
        <v>21</v>
      </c>
      <c r="J452" s="2" t="s">
        <v>29</v>
      </c>
      <c r="K452" s="2" t="s">
        <v>103</v>
      </c>
      <c r="L452" s="2" t="s">
        <v>168</v>
      </c>
    </row>
    <row r="453" spans="1:12" x14ac:dyDescent="0.3">
      <c r="A453" s="2" t="s">
        <v>787</v>
      </c>
      <c r="B453" s="2" t="s">
        <v>13</v>
      </c>
      <c r="C453" s="2" t="s">
        <v>134</v>
      </c>
      <c r="D453" s="2" t="s">
        <v>76</v>
      </c>
      <c r="E453" s="2" t="s">
        <v>116</v>
      </c>
      <c r="F453" s="3">
        <v>1650000</v>
      </c>
      <c r="G453" s="2" t="s">
        <v>17</v>
      </c>
      <c r="H453" s="2" t="s">
        <v>28</v>
      </c>
      <c r="I453" s="2" t="s">
        <v>19</v>
      </c>
      <c r="J453" s="2" t="s">
        <v>45</v>
      </c>
      <c r="K453" s="2" t="s">
        <v>20</v>
      </c>
      <c r="L453" s="2" t="s">
        <v>652</v>
      </c>
    </row>
    <row r="454" spans="1:12" x14ac:dyDescent="0.3">
      <c r="A454" s="2" t="s">
        <v>788</v>
      </c>
      <c r="B454" s="2" t="s">
        <v>75</v>
      </c>
      <c r="C454" s="2" t="s">
        <v>95</v>
      </c>
      <c r="D454" s="2" t="s">
        <v>64</v>
      </c>
      <c r="E454" s="2" t="s">
        <v>52</v>
      </c>
      <c r="F454" s="3">
        <v>675000</v>
      </c>
      <c r="G454" s="2" t="s">
        <v>27</v>
      </c>
      <c r="H454" s="2" t="s">
        <v>28</v>
      </c>
      <c r="I454" s="2" t="s">
        <v>21</v>
      </c>
      <c r="J454" s="2" t="s">
        <v>20</v>
      </c>
      <c r="K454" s="2" t="s">
        <v>19</v>
      </c>
      <c r="L454" s="2" t="s">
        <v>170</v>
      </c>
    </row>
    <row r="455" spans="1:12" x14ac:dyDescent="0.3">
      <c r="A455" s="2" t="s">
        <v>789</v>
      </c>
      <c r="B455" s="2" t="s">
        <v>49</v>
      </c>
      <c r="C455" s="2" t="s">
        <v>109</v>
      </c>
      <c r="D455" s="2" t="s">
        <v>71</v>
      </c>
      <c r="E455" s="2" t="s">
        <v>52</v>
      </c>
      <c r="F455" s="3">
        <v>740000</v>
      </c>
      <c r="G455" s="2" t="s">
        <v>17</v>
      </c>
      <c r="H455" s="2" t="s">
        <v>28</v>
      </c>
      <c r="I455" s="2" t="s">
        <v>38</v>
      </c>
      <c r="J455" s="2" t="s">
        <v>29</v>
      </c>
      <c r="K455" s="2" t="s">
        <v>54</v>
      </c>
      <c r="L455" s="2" t="s">
        <v>790</v>
      </c>
    </row>
    <row r="456" spans="1:12" x14ac:dyDescent="0.3">
      <c r="A456" s="2" t="s">
        <v>791</v>
      </c>
      <c r="B456" s="2" t="s">
        <v>34</v>
      </c>
      <c r="C456" s="2" t="s">
        <v>191</v>
      </c>
      <c r="D456" s="2" t="s">
        <v>71</v>
      </c>
      <c r="E456" s="2" t="s">
        <v>52</v>
      </c>
      <c r="F456" s="3">
        <v>505000</v>
      </c>
      <c r="G456" s="2" t="s">
        <v>27</v>
      </c>
      <c r="H456" s="2" t="s">
        <v>28</v>
      </c>
      <c r="I456" s="2" t="s">
        <v>38</v>
      </c>
      <c r="J456" s="2" t="s">
        <v>46</v>
      </c>
      <c r="K456" s="2" t="s">
        <v>30</v>
      </c>
      <c r="L456" s="2" t="s">
        <v>753</v>
      </c>
    </row>
    <row r="457" spans="1:12" x14ac:dyDescent="0.3">
      <c r="A457" s="2" t="s">
        <v>792</v>
      </c>
      <c r="B457" s="2" t="s">
        <v>149</v>
      </c>
      <c r="C457" s="2" t="s">
        <v>125</v>
      </c>
      <c r="D457" s="2" t="s">
        <v>81</v>
      </c>
      <c r="E457" s="2" t="s">
        <v>16</v>
      </c>
      <c r="F457" s="3">
        <v>545000</v>
      </c>
      <c r="G457" s="2" t="s">
        <v>27</v>
      </c>
      <c r="H457" s="2" t="s">
        <v>28</v>
      </c>
      <c r="I457" s="2" t="s">
        <v>19</v>
      </c>
      <c r="J457" s="2" t="s">
        <v>31</v>
      </c>
      <c r="K457" s="2" t="s">
        <v>39</v>
      </c>
      <c r="L457" s="2" t="s">
        <v>469</v>
      </c>
    </row>
    <row r="458" spans="1:12" x14ac:dyDescent="0.3">
      <c r="A458" s="2" t="s">
        <v>793</v>
      </c>
      <c r="B458" s="2" t="s">
        <v>49</v>
      </c>
      <c r="C458" s="2" t="s">
        <v>271</v>
      </c>
      <c r="D458" s="2" t="s">
        <v>71</v>
      </c>
      <c r="E458" s="2" t="s">
        <v>116</v>
      </c>
      <c r="F458" s="3">
        <v>1230000</v>
      </c>
      <c r="G458" s="2" t="s">
        <v>27</v>
      </c>
      <c r="H458" s="2" t="s">
        <v>28</v>
      </c>
      <c r="I458" s="2" t="s">
        <v>19</v>
      </c>
      <c r="J458" s="2" t="s">
        <v>31</v>
      </c>
      <c r="K458" s="2" t="s">
        <v>54</v>
      </c>
      <c r="L458" s="2" t="s">
        <v>228</v>
      </c>
    </row>
    <row r="459" spans="1:12" x14ac:dyDescent="0.3">
      <c r="A459" s="2" t="s">
        <v>794</v>
      </c>
      <c r="B459" s="2" t="s">
        <v>75</v>
      </c>
      <c r="C459" s="2" t="s">
        <v>14</v>
      </c>
      <c r="D459" s="2" t="s">
        <v>76</v>
      </c>
      <c r="E459" s="2" t="s">
        <v>52</v>
      </c>
      <c r="F459" s="3">
        <v>310000</v>
      </c>
      <c r="G459" s="2" t="s">
        <v>53</v>
      </c>
      <c r="H459" s="2" t="s">
        <v>18</v>
      </c>
      <c r="I459" s="2" t="s">
        <v>72</v>
      </c>
      <c r="J459" s="2" t="s">
        <v>19</v>
      </c>
      <c r="K459" s="2" t="s">
        <v>54</v>
      </c>
      <c r="L459" s="2" t="s">
        <v>225</v>
      </c>
    </row>
    <row r="460" spans="1:12" x14ac:dyDescent="0.3">
      <c r="A460" s="2" t="s">
        <v>795</v>
      </c>
      <c r="B460" s="2" t="s">
        <v>57</v>
      </c>
      <c r="C460" s="2" t="s">
        <v>99</v>
      </c>
      <c r="D460" s="2" t="s">
        <v>71</v>
      </c>
      <c r="E460" s="2" t="s">
        <v>77</v>
      </c>
      <c r="F460" s="3">
        <v>2300000</v>
      </c>
      <c r="G460" s="2" t="s">
        <v>27</v>
      </c>
      <c r="H460" s="2" t="s">
        <v>28</v>
      </c>
      <c r="I460" s="2" t="s">
        <v>21</v>
      </c>
      <c r="J460" s="2" t="s">
        <v>29</v>
      </c>
      <c r="K460" s="2" t="s">
        <v>45</v>
      </c>
      <c r="L460" s="2" t="s">
        <v>498</v>
      </c>
    </row>
    <row r="461" spans="1:12" x14ac:dyDescent="0.3">
      <c r="A461" s="2" t="s">
        <v>796</v>
      </c>
      <c r="B461" s="2" t="s">
        <v>13</v>
      </c>
      <c r="C461" s="2" t="s">
        <v>125</v>
      </c>
      <c r="D461" s="2" t="s">
        <v>76</v>
      </c>
      <c r="E461" s="2" t="s">
        <v>37</v>
      </c>
      <c r="F461" s="3">
        <v>1870000</v>
      </c>
      <c r="G461" s="2" t="s">
        <v>27</v>
      </c>
      <c r="H461" s="2" t="s">
        <v>18</v>
      </c>
      <c r="I461" s="2" t="s">
        <v>45</v>
      </c>
      <c r="J461" s="2" t="s">
        <v>54</v>
      </c>
      <c r="K461" s="2" t="s">
        <v>21</v>
      </c>
      <c r="L461" s="2" t="s">
        <v>117</v>
      </c>
    </row>
    <row r="462" spans="1:12" x14ac:dyDescent="0.3">
      <c r="A462" s="2" t="s">
        <v>797</v>
      </c>
      <c r="B462" s="2" t="s">
        <v>57</v>
      </c>
      <c r="C462" s="2" t="s">
        <v>283</v>
      </c>
      <c r="D462" s="2" t="s">
        <v>71</v>
      </c>
      <c r="E462" s="2" t="s">
        <v>16</v>
      </c>
      <c r="F462" s="3">
        <v>690000</v>
      </c>
      <c r="G462" s="2" t="s">
        <v>27</v>
      </c>
      <c r="H462" s="2" t="s">
        <v>59</v>
      </c>
      <c r="I462" s="2" t="s">
        <v>103</v>
      </c>
      <c r="J462" s="2" t="s">
        <v>19</v>
      </c>
      <c r="K462" s="2" t="s">
        <v>21</v>
      </c>
      <c r="L462" s="2" t="s">
        <v>381</v>
      </c>
    </row>
    <row r="463" spans="1:12" x14ac:dyDescent="0.3">
      <c r="A463" s="2" t="s">
        <v>798</v>
      </c>
      <c r="B463" s="2" t="s">
        <v>34</v>
      </c>
      <c r="C463" s="2" t="s">
        <v>102</v>
      </c>
      <c r="D463" s="2" t="s">
        <v>36</v>
      </c>
      <c r="E463" s="2" t="s">
        <v>16</v>
      </c>
      <c r="F463" s="3">
        <v>750000</v>
      </c>
      <c r="G463" s="2" t="s">
        <v>27</v>
      </c>
      <c r="H463" s="2" t="s">
        <v>18</v>
      </c>
      <c r="I463" s="2" t="s">
        <v>20</v>
      </c>
      <c r="J463" s="2" t="s">
        <v>29</v>
      </c>
      <c r="K463" s="2" t="s">
        <v>45</v>
      </c>
      <c r="L463" s="2" t="s">
        <v>573</v>
      </c>
    </row>
    <row r="464" spans="1:12" x14ac:dyDescent="0.3">
      <c r="A464" s="2" t="s">
        <v>799</v>
      </c>
      <c r="B464" s="2" t="s">
        <v>57</v>
      </c>
      <c r="C464" s="2" t="s">
        <v>295</v>
      </c>
      <c r="D464" s="2" t="s">
        <v>36</v>
      </c>
      <c r="E464" s="2" t="s">
        <v>52</v>
      </c>
      <c r="F464" s="3">
        <v>280000</v>
      </c>
      <c r="G464" s="2" t="s">
        <v>53</v>
      </c>
      <c r="H464" s="2" t="s">
        <v>28</v>
      </c>
      <c r="I464" s="2" t="s">
        <v>19</v>
      </c>
      <c r="J464" s="2" t="s">
        <v>72</v>
      </c>
      <c r="K464" s="2" t="s">
        <v>21</v>
      </c>
      <c r="L464" s="2" t="s">
        <v>510</v>
      </c>
    </row>
    <row r="465" spans="1:12" x14ac:dyDescent="0.3">
      <c r="A465" s="2" t="s">
        <v>800</v>
      </c>
      <c r="B465" s="2" t="s">
        <v>34</v>
      </c>
      <c r="C465" s="2" t="s">
        <v>227</v>
      </c>
      <c r="D465" s="2" t="s">
        <v>71</v>
      </c>
      <c r="E465" s="2" t="s">
        <v>16</v>
      </c>
      <c r="F465" s="3">
        <v>615000</v>
      </c>
      <c r="G465" s="2" t="s">
        <v>27</v>
      </c>
      <c r="H465" s="2" t="s">
        <v>28</v>
      </c>
      <c r="I465" s="2" t="s">
        <v>38</v>
      </c>
      <c r="J465" s="2" t="s">
        <v>54</v>
      </c>
      <c r="K465" s="2" t="s">
        <v>46</v>
      </c>
      <c r="L465" s="2" t="s">
        <v>801</v>
      </c>
    </row>
    <row r="466" spans="1:12" x14ac:dyDescent="0.3">
      <c r="A466" s="2" t="s">
        <v>802</v>
      </c>
      <c r="B466" s="2" t="s">
        <v>57</v>
      </c>
      <c r="C466" s="2" t="s">
        <v>35</v>
      </c>
      <c r="D466" s="2" t="s">
        <v>76</v>
      </c>
      <c r="E466" s="2" t="s">
        <v>16</v>
      </c>
      <c r="F466" s="3">
        <v>985000</v>
      </c>
      <c r="G466" s="2" t="s">
        <v>27</v>
      </c>
      <c r="H466" s="2" t="s">
        <v>28</v>
      </c>
      <c r="I466" s="2" t="s">
        <v>31</v>
      </c>
      <c r="J466" s="2" t="s">
        <v>72</v>
      </c>
      <c r="K466" s="2" t="s">
        <v>54</v>
      </c>
      <c r="L466" s="2" t="s">
        <v>250</v>
      </c>
    </row>
    <row r="467" spans="1:12" x14ac:dyDescent="0.3">
      <c r="A467" s="2" t="s">
        <v>803</v>
      </c>
      <c r="B467" s="2" t="s">
        <v>13</v>
      </c>
      <c r="C467" s="2" t="s">
        <v>208</v>
      </c>
      <c r="D467" s="2" t="s">
        <v>76</v>
      </c>
      <c r="E467" s="2" t="s">
        <v>37</v>
      </c>
      <c r="F467" s="3">
        <v>1165000</v>
      </c>
      <c r="G467" s="2" t="s">
        <v>27</v>
      </c>
      <c r="H467" s="2" t="s">
        <v>59</v>
      </c>
      <c r="I467" s="2" t="s">
        <v>54</v>
      </c>
      <c r="J467" s="2" t="s">
        <v>20</v>
      </c>
      <c r="K467" s="2" t="s">
        <v>72</v>
      </c>
      <c r="L467" s="2" t="s">
        <v>370</v>
      </c>
    </row>
    <row r="468" spans="1:12" x14ac:dyDescent="0.3">
      <c r="A468" s="2" t="s">
        <v>804</v>
      </c>
      <c r="B468" s="2" t="s">
        <v>178</v>
      </c>
      <c r="C468" s="2" t="s">
        <v>655</v>
      </c>
      <c r="D468" s="2" t="s">
        <v>36</v>
      </c>
      <c r="E468" s="2" t="s">
        <v>52</v>
      </c>
      <c r="F468" s="3">
        <v>475000</v>
      </c>
      <c r="G468" s="2" t="s">
        <v>27</v>
      </c>
      <c r="H468" s="2" t="s">
        <v>28</v>
      </c>
      <c r="I468" s="2" t="s">
        <v>54</v>
      </c>
      <c r="J468" s="2" t="s">
        <v>68</v>
      </c>
      <c r="K468" s="2" t="s">
        <v>31</v>
      </c>
      <c r="L468" s="2" t="s">
        <v>218</v>
      </c>
    </row>
    <row r="469" spans="1:12" x14ac:dyDescent="0.3">
      <c r="A469" s="2" t="s">
        <v>805</v>
      </c>
      <c r="B469" s="2" t="s">
        <v>42</v>
      </c>
      <c r="C469" s="2" t="s">
        <v>530</v>
      </c>
      <c r="D469" s="2" t="s">
        <v>96</v>
      </c>
      <c r="E469" s="2" t="s">
        <v>77</v>
      </c>
      <c r="F469" s="3">
        <v>3270000</v>
      </c>
      <c r="G469" s="2" t="s">
        <v>27</v>
      </c>
      <c r="H469" s="2" t="s">
        <v>28</v>
      </c>
      <c r="I469" s="2" t="s">
        <v>72</v>
      </c>
      <c r="J469" s="2" t="s">
        <v>29</v>
      </c>
      <c r="K469" s="2" t="s">
        <v>38</v>
      </c>
      <c r="L469" s="2" t="s">
        <v>212</v>
      </c>
    </row>
    <row r="470" spans="1:12" x14ac:dyDescent="0.3">
      <c r="A470" s="2" t="s">
        <v>806</v>
      </c>
      <c r="B470" s="2" t="s">
        <v>57</v>
      </c>
      <c r="C470" s="2" t="s">
        <v>95</v>
      </c>
      <c r="D470" s="2" t="s">
        <v>51</v>
      </c>
      <c r="E470" s="2" t="s">
        <v>77</v>
      </c>
      <c r="F470" s="3">
        <v>2995000</v>
      </c>
      <c r="G470" s="2" t="s">
        <v>27</v>
      </c>
      <c r="H470" s="2" t="s">
        <v>28</v>
      </c>
      <c r="I470" s="2" t="s">
        <v>19</v>
      </c>
      <c r="J470" s="2" t="s">
        <v>21</v>
      </c>
      <c r="K470" s="2" t="s">
        <v>45</v>
      </c>
      <c r="L470" s="2" t="s">
        <v>393</v>
      </c>
    </row>
    <row r="471" spans="1:12" x14ac:dyDescent="0.3">
      <c r="A471" s="2" t="s">
        <v>807</v>
      </c>
      <c r="B471" s="2" t="s">
        <v>42</v>
      </c>
      <c r="C471" s="2" t="s">
        <v>123</v>
      </c>
      <c r="D471" s="2" t="s">
        <v>81</v>
      </c>
      <c r="E471" s="2" t="s">
        <v>77</v>
      </c>
      <c r="F471" s="3">
        <v>1725000</v>
      </c>
      <c r="G471" s="2" t="s">
        <v>17</v>
      </c>
      <c r="H471" s="2" t="s">
        <v>18</v>
      </c>
      <c r="I471" s="2" t="s">
        <v>46</v>
      </c>
      <c r="J471" s="2" t="s">
        <v>45</v>
      </c>
      <c r="K471" s="2" t="s">
        <v>39</v>
      </c>
      <c r="L471" s="2" t="s">
        <v>808</v>
      </c>
    </row>
    <row r="472" spans="1:12" x14ac:dyDescent="0.3">
      <c r="A472" s="2" t="s">
        <v>809</v>
      </c>
      <c r="B472" s="2" t="s">
        <v>13</v>
      </c>
      <c r="C472" s="2" t="s">
        <v>530</v>
      </c>
      <c r="D472" s="2" t="s">
        <v>36</v>
      </c>
      <c r="E472" s="2" t="s">
        <v>116</v>
      </c>
      <c r="F472" s="3">
        <v>1155000</v>
      </c>
      <c r="G472" s="2" t="s">
        <v>27</v>
      </c>
      <c r="H472" s="2" t="s">
        <v>28</v>
      </c>
      <c r="I472" s="2" t="s">
        <v>45</v>
      </c>
      <c r="J472" s="2" t="s">
        <v>72</v>
      </c>
      <c r="K472" s="2" t="s">
        <v>54</v>
      </c>
      <c r="L472" s="2" t="s">
        <v>47</v>
      </c>
    </row>
    <row r="473" spans="1:12" x14ac:dyDescent="0.3">
      <c r="A473" s="2" t="s">
        <v>810</v>
      </c>
      <c r="B473" s="2" t="s">
        <v>178</v>
      </c>
      <c r="C473" s="2" t="s">
        <v>134</v>
      </c>
      <c r="D473" s="2" t="s">
        <v>64</v>
      </c>
      <c r="E473" s="2" t="s">
        <v>52</v>
      </c>
      <c r="F473" s="3">
        <v>655000</v>
      </c>
      <c r="G473" s="2" t="s">
        <v>27</v>
      </c>
      <c r="H473" s="2" t="s">
        <v>18</v>
      </c>
      <c r="I473" s="2" t="s">
        <v>68</v>
      </c>
      <c r="J473" s="2" t="s">
        <v>39</v>
      </c>
      <c r="K473" s="2" t="s">
        <v>131</v>
      </c>
      <c r="L473" s="2" t="s">
        <v>780</v>
      </c>
    </row>
    <row r="474" spans="1:12" x14ac:dyDescent="0.3">
      <c r="A474" s="2" t="s">
        <v>811</v>
      </c>
      <c r="B474" s="2" t="s">
        <v>42</v>
      </c>
      <c r="C474" s="2" t="s">
        <v>441</v>
      </c>
      <c r="D474" s="2" t="s">
        <v>96</v>
      </c>
      <c r="E474" s="2" t="s">
        <v>16</v>
      </c>
      <c r="F474" s="3">
        <v>665000</v>
      </c>
      <c r="G474" s="2" t="s">
        <v>27</v>
      </c>
      <c r="H474" s="2" t="s">
        <v>28</v>
      </c>
      <c r="I474" s="2" t="s">
        <v>38</v>
      </c>
      <c r="J474" s="2" t="s">
        <v>29</v>
      </c>
      <c r="K474" s="2" t="s">
        <v>46</v>
      </c>
      <c r="L474" s="2" t="s">
        <v>482</v>
      </c>
    </row>
    <row r="475" spans="1:12" x14ac:dyDescent="0.3">
      <c r="A475" s="2" t="s">
        <v>812</v>
      </c>
      <c r="B475" s="2" t="s">
        <v>75</v>
      </c>
      <c r="C475" s="2" t="s">
        <v>144</v>
      </c>
      <c r="D475" s="2" t="s">
        <v>36</v>
      </c>
      <c r="E475" s="2" t="s">
        <v>37</v>
      </c>
      <c r="F475" s="3">
        <v>2145000</v>
      </c>
      <c r="G475" s="2" t="s">
        <v>27</v>
      </c>
      <c r="H475" s="2" t="s">
        <v>18</v>
      </c>
      <c r="I475" s="2" t="s">
        <v>31</v>
      </c>
      <c r="J475" s="2" t="s">
        <v>54</v>
      </c>
      <c r="K475" s="2" t="s">
        <v>21</v>
      </c>
      <c r="L475" s="2" t="s">
        <v>184</v>
      </c>
    </row>
    <row r="476" spans="1:12" x14ac:dyDescent="0.3">
      <c r="A476" s="2" t="s">
        <v>813</v>
      </c>
      <c r="B476" s="2" t="s">
        <v>24</v>
      </c>
      <c r="C476" s="2" t="s">
        <v>288</v>
      </c>
      <c r="D476" s="2" t="s">
        <v>44</v>
      </c>
      <c r="E476" s="2" t="s">
        <v>52</v>
      </c>
      <c r="F476" s="3">
        <v>500000</v>
      </c>
      <c r="G476" s="2" t="s">
        <v>27</v>
      </c>
      <c r="H476" s="2" t="s">
        <v>28</v>
      </c>
      <c r="I476" s="2" t="s">
        <v>31</v>
      </c>
      <c r="J476" s="2" t="s">
        <v>72</v>
      </c>
      <c r="K476" s="2" t="s">
        <v>19</v>
      </c>
      <c r="L476" s="2" t="s">
        <v>455</v>
      </c>
    </row>
    <row r="477" spans="1:12" x14ac:dyDescent="0.3">
      <c r="A477" s="2" t="s">
        <v>814</v>
      </c>
      <c r="B477" s="2" t="s">
        <v>149</v>
      </c>
      <c r="C477" s="2" t="s">
        <v>181</v>
      </c>
      <c r="D477" s="2" t="s">
        <v>36</v>
      </c>
      <c r="E477" s="2" t="s">
        <v>52</v>
      </c>
      <c r="F477" s="3">
        <v>375000</v>
      </c>
      <c r="G477" s="2" t="s">
        <v>53</v>
      </c>
      <c r="H477" s="2" t="s">
        <v>28</v>
      </c>
      <c r="I477" s="2" t="s">
        <v>31</v>
      </c>
      <c r="J477" s="2" t="s">
        <v>131</v>
      </c>
      <c r="K477" s="2" t="s">
        <v>46</v>
      </c>
      <c r="L477" s="2" t="s">
        <v>717</v>
      </c>
    </row>
    <row r="478" spans="1:12" x14ac:dyDescent="0.3">
      <c r="A478" s="2" t="s">
        <v>815</v>
      </c>
      <c r="B478" s="2" t="s">
        <v>13</v>
      </c>
      <c r="C478" s="2" t="s">
        <v>530</v>
      </c>
      <c r="D478" s="2" t="s">
        <v>76</v>
      </c>
      <c r="E478" s="2" t="s">
        <v>52</v>
      </c>
      <c r="F478" s="3">
        <v>370000</v>
      </c>
      <c r="G478" s="2" t="s">
        <v>53</v>
      </c>
      <c r="H478" s="2" t="s">
        <v>18</v>
      </c>
      <c r="I478" s="2" t="s">
        <v>54</v>
      </c>
      <c r="J478" s="2" t="s">
        <v>72</v>
      </c>
      <c r="K478" s="2" t="s">
        <v>31</v>
      </c>
      <c r="L478" s="2" t="s">
        <v>482</v>
      </c>
    </row>
    <row r="479" spans="1:12" x14ac:dyDescent="0.3">
      <c r="A479" s="2" t="s">
        <v>816</v>
      </c>
      <c r="B479" s="2" t="s">
        <v>57</v>
      </c>
      <c r="C479" s="2" t="s">
        <v>277</v>
      </c>
      <c r="D479" s="2" t="s">
        <v>51</v>
      </c>
      <c r="E479" s="2" t="s">
        <v>52</v>
      </c>
      <c r="F479" s="3">
        <v>605000</v>
      </c>
      <c r="G479" s="2" t="s">
        <v>27</v>
      </c>
      <c r="H479" s="2" t="s">
        <v>28</v>
      </c>
      <c r="I479" s="2" t="s">
        <v>72</v>
      </c>
      <c r="J479" s="2" t="s">
        <v>21</v>
      </c>
      <c r="K479" s="2" t="s">
        <v>131</v>
      </c>
      <c r="L479" s="2" t="s">
        <v>336</v>
      </c>
    </row>
    <row r="480" spans="1:12" x14ac:dyDescent="0.3">
      <c r="A480" s="2" t="s">
        <v>817</v>
      </c>
      <c r="B480" s="2" t="s">
        <v>75</v>
      </c>
      <c r="C480" s="2" t="s">
        <v>281</v>
      </c>
      <c r="D480" s="2" t="s">
        <v>44</v>
      </c>
      <c r="E480" s="2" t="s">
        <v>37</v>
      </c>
      <c r="F480" s="3">
        <v>1035000</v>
      </c>
      <c r="G480" s="2" t="s">
        <v>27</v>
      </c>
      <c r="H480" s="2" t="s">
        <v>59</v>
      </c>
      <c r="I480" s="2" t="s">
        <v>19</v>
      </c>
      <c r="J480" s="2" t="s">
        <v>38</v>
      </c>
      <c r="K480" s="2" t="s">
        <v>72</v>
      </c>
      <c r="L480" s="2" t="s">
        <v>818</v>
      </c>
    </row>
    <row r="481" spans="1:12" x14ac:dyDescent="0.3">
      <c r="A481" s="2" t="s">
        <v>819</v>
      </c>
      <c r="B481" s="2" t="s">
        <v>49</v>
      </c>
      <c r="C481" s="2" t="s">
        <v>530</v>
      </c>
      <c r="D481" s="2" t="s">
        <v>64</v>
      </c>
      <c r="E481" s="2" t="s">
        <v>37</v>
      </c>
      <c r="F481" s="3">
        <v>1015000</v>
      </c>
      <c r="G481" s="2" t="s">
        <v>27</v>
      </c>
      <c r="H481" s="2" t="s">
        <v>28</v>
      </c>
      <c r="I481" s="2" t="s">
        <v>21</v>
      </c>
      <c r="J481" s="2" t="s">
        <v>131</v>
      </c>
      <c r="K481" s="2" t="s">
        <v>45</v>
      </c>
      <c r="L481" s="2" t="s">
        <v>600</v>
      </c>
    </row>
    <row r="482" spans="1:12" x14ac:dyDescent="0.3">
      <c r="A482" s="2" t="s">
        <v>820</v>
      </c>
      <c r="B482" s="2" t="s">
        <v>42</v>
      </c>
      <c r="C482" s="2" t="s">
        <v>14</v>
      </c>
      <c r="D482" s="2" t="s">
        <v>51</v>
      </c>
      <c r="E482" s="2" t="s">
        <v>16</v>
      </c>
      <c r="F482" s="3">
        <v>650000</v>
      </c>
      <c r="G482" s="2" t="s">
        <v>27</v>
      </c>
      <c r="H482" s="2" t="s">
        <v>28</v>
      </c>
      <c r="I482" s="2" t="s">
        <v>38</v>
      </c>
      <c r="J482" s="2" t="s">
        <v>29</v>
      </c>
      <c r="K482" s="2" t="s">
        <v>31</v>
      </c>
      <c r="L482" s="2" t="s">
        <v>717</v>
      </c>
    </row>
    <row r="483" spans="1:12" x14ac:dyDescent="0.3">
      <c r="A483" s="2" t="s">
        <v>821</v>
      </c>
      <c r="B483" s="2" t="s">
        <v>62</v>
      </c>
      <c r="C483" s="2" t="s">
        <v>286</v>
      </c>
      <c r="D483" s="2" t="s">
        <v>15</v>
      </c>
      <c r="E483" s="2" t="s">
        <v>16</v>
      </c>
      <c r="F483" s="3">
        <v>985000</v>
      </c>
      <c r="G483" s="2" t="s">
        <v>17</v>
      </c>
      <c r="H483" s="2" t="s">
        <v>18</v>
      </c>
      <c r="I483" s="2" t="s">
        <v>103</v>
      </c>
      <c r="J483" s="2" t="s">
        <v>39</v>
      </c>
      <c r="K483" s="2" t="s">
        <v>68</v>
      </c>
      <c r="L483" s="2" t="s">
        <v>442</v>
      </c>
    </row>
    <row r="484" spans="1:12" x14ac:dyDescent="0.3">
      <c r="A484" s="2" t="s">
        <v>822</v>
      </c>
      <c r="B484" s="2" t="s">
        <v>57</v>
      </c>
      <c r="C484" s="2" t="s">
        <v>283</v>
      </c>
      <c r="D484" s="2" t="s">
        <v>64</v>
      </c>
      <c r="E484" s="2" t="s">
        <v>16</v>
      </c>
      <c r="F484" s="3">
        <v>1070000</v>
      </c>
      <c r="G484" s="2" t="s">
        <v>27</v>
      </c>
      <c r="H484" s="2" t="s">
        <v>28</v>
      </c>
      <c r="I484" s="2" t="s">
        <v>54</v>
      </c>
      <c r="J484" s="2" t="s">
        <v>45</v>
      </c>
      <c r="K484" s="2" t="s">
        <v>19</v>
      </c>
      <c r="L484" s="2" t="s">
        <v>140</v>
      </c>
    </row>
    <row r="485" spans="1:12" x14ac:dyDescent="0.3">
      <c r="A485" s="2" t="s">
        <v>823</v>
      </c>
      <c r="B485" s="2" t="s">
        <v>34</v>
      </c>
      <c r="C485" s="2" t="s">
        <v>95</v>
      </c>
      <c r="D485" s="2" t="s">
        <v>64</v>
      </c>
      <c r="E485" s="2" t="s">
        <v>37</v>
      </c>
      <c r="F485" s="3">
        <v>1220000</v>
      </c>
      <c r="G485" s="2" t="s">
        <v>17</v>
      </c>
      <c r="H485" s="2" t="s">
        <v>28</v>
      </c>
      <c r="I485" s="2" t="s">
        <v>103</v>
      </c>
      <c r="J485" s="2" t="s">
        <v>29</v>
      </c>
      <c r="K485" s="2" t="s">
        <v>38</v>
      </c>
      <c r="L485" s="2" t="s">
        <v>824</v>
      </c>
    </row>
    <row r="486" spans="1:12" x14ac:dyDescent="0.3">
      <c r="A486" s="2" t="s">
        <v>825</v>
      </c>
      <c r="B486" s="2" t="s">
        <v>13</v>
      </c>
      <c r="C486" s="2" t="s">
        <v>400</v>
      </c>
      <c r="D486" s="2" t="s">
        <v>64</v>
      </c>
      <c r="E486" s="2" t="s">
        <v>37</v>
      </c>
      <c r="F486" s="3">
        <v>1590000</v>
      </c>
      <c r="G486" s="2" t="s">
        <v>27</v>
      </c>
      <c r="H486" s="2" t="s">
        <v>28</v>
      </c>
      <c r="I486" s="2" t="s">
        <v>19</v>
      </c>
      <c r="J486" s="2" t="s">
        <v>72</v>
      </c>
      <c r="K486" s="2" t="s">
        <v>54</v>
      </c>
      <c r="L486" s="2" t="s">
        <v>230</v>
      </c>
    </row>
    <row r="487" spans="1:12" x14ac:dyDescent="0.3">
      <c r="A487" s="2" t="s">
        <v>826</v>
      </c>
      <c r="B487" s="2" t="s">
        <v>178</v>
      </c>
      <c r="C487" s="2" t="s">
        <v>181</v>
      </c>
      <c r="D487" s="2" t="s">
        <v>96</v>
      </c>
      <c r="E487" s="2" t="s">
        <v>52</v>
      </c>
      <c r="F487" s="3">
        <v>770000</v>
      </c>
      <c r="G487" s="2" t="s">
        <v>17</v>
      </c>
      <c r="H487" s="2" t="s">
        <v>18</v>
      </c>
      <c r="I487" s="2" t="s">
        <v>131</v>
      </c>
      <c r="J487" s="2" t="s">
        <v>103</v>
      </c>
      <c r="K487" s="2" t="s">
        <v>39</v>
      </c>
      <c r="L487" s="2" t="s">
        <v>299</v>
      </c>
    </row>
    <row r="488" spans="1:12" x14ac:dyDescent="0.3">
      <c r="A488" s="2" t="s">
        <v>827</v>
      </c>
      <c r="B488" s="2" t="s">
        <v>75</v>
      </c>
      <c r="C488" s="2" t="s">
        <v>208</v>
      </c>
      <c r="D488" s="2" t="s">
        <v>71</v>
      </c>
      <c r="E488" s="2" t="s">
        <v>37</v>
      </c>
      <c r="F488" s="3">
        <v>2155000</v>
      </c>
      <c r="G488" s="2" t="s">
        <v>27</v>
      </c>
      <c r="H488" s="2" t="s">
        <v>18</v>
      </c>
      <c r="I488" s="2" t="s">
        <v>39</v>
      </c>
      <c r="J488" s="2" t="s">
        <v>45</v>
      </c>
      <c r="K488" s="2" t="s">
        <v>54</v>
      </c>
      <c r="L488" s="2" t="s">
        <v>430</v>
      </c>
    </row>
    <row r="489" spans="1:12" x14ac:dyDescent="0.3">
      <c r="A489" s="2" t="s">
        <v>828</v>
      </c>
      <c r="B489" s="2" t="s">
        <v>57</v>
      </c>
      <c r="C489" s="2" t="s">
        <v>321</v>
      </c>
      <c r="D489" s="2" t="s">
        <v>36</v>
      </c>
      <c r="E489" s="2" t="s">
        <v>16</v>
      </c>
      <c r="F489" s="3">
        <v>1095000</v>
      </c>
      <c r="G489" s="2" t="s">
        <v>27</v>
      </c>
      <c r="H489" s="2" t="s">
        <v>18</v>
      </c>
      <c r="I489" s="2" t="s">
        <v>20</v>
      </c>
      <c r="J489" s="2" t="s">
        <v>46</v>
      </c>
      <c r="K489" s="2" t="s">
        <v>29</v>
      </c>
      <c r="L489" s="2" t="s">
        <v>413</v>
      </c>
    </row>
    <row r="490" spans="1:12" x14ac:dyDescent="0.3">
      <c r="A490" s="2" t="s">
        <v>829</v>
      </c>
      <c r="B490" s="2" t="s">
        <v>42</v>
      </c>
      <c r="C490" s="2" t="s">
        <v>334</v>
      </c>
      <c r="D490" s="2" t="s">
        <v>26</v>
      </c>
      <c r="E490" s="2" t="s">
        <v>116</v>
      </c>
      <c r="F490" s="3">
        <v>1575000</v>
      </c>
      <c r="G490" s="2" t="s">
        <v>27</v>
      </c>
      <c r="H490" s="2" t="s">
        <v>59</v>
      </c>
      <c r="I490" s="2" t="s">
        <v>20</v>
      </c>
      <c r="J490" s="2" t="s">
        <v>68</v>
      </c>
      <c r="K490" s="2" t="s">
        <v>29</v>
      </c>
      <c r="L490" s="2" t="s">
        <v>830</v>
      </c>
    </row>
    <row r="491" spans="1:12" x14ac:dyDescent="0.3">
      <c r="A491" s="2" t="s">
        <v>831</v>
      </c>
      <c r="B491" s="2" t="s">
        <v>42</v>
      </c>
      <c r="C491" s="2" t="s">
        <v>277</v>
      </c>
      <c r="D491" s="2" t="s">
        <v>26</v>
      </c>
      <c r="E491" s="2" t="s">
        <v>52</v>
      </c>
      <c r="F491" s="3">
        <v>415000</v>
      </c>
      <c r="G491" s="2" t="s">
        <v>53</v>
      </c>
      <c r="H491" s="2" t="s">
        <v>28</v>
      </c>
      <c r="I491" s="2" t="s">
        <v>131</v>
      </c>
      <c r="J491" s="2" t="s">
        <v>20</v>
      </c>
      <c r="K491" s="2" t="s">
        <v>29</v>
      </c>
      <c r="L491" s="2" t="s">
        <v>110</v>
      </c>
    </row>
    <row r="492" spans="1:12" x14ac:dyDescent="0.3">
      <c r="A492" s="2" t="s">
        <v>832</v>
      </c>
      <c r="B492" s="2" t="s">
        <v>34</v>
      </c>
      <c r="C492" s="2" t="s">
        <v>123</v>
      </c>
      <c r="D492" s="2" t="s">
        <v>64</v>
      </c>
      <c r="E492" s="2" t="s">
        <v>116</v>
      </c>
      <c r="F492" s="3">
        <v>1565000</v>
      </c>
      <c r="G492" s="2" t="s">
        <v>27</v>
      </c>
      <c r="H492" s="2" t="s">
        <v>28</v>
      </c>
      <c r="I492" s="2" t="s">
        <v>38</v>
      </c>
      <c r="J492" s="2" t="s">
        <v>29</v>
      </c>
      <c r="K492" s="2" t="s">
        <v>21</v>
      </c>
      <c r="L492" s="2" t="s">
        <v>466</v>
      </c>
    </row>
    <row r="493" spans="1:12" x14ac:dyDescent="0.3">
      <c r="A493" s="2" t="s">
        <v>833</v>
      </c>
      <c r="B493" s="2" t="s">
        <v>57</v>
      </c>
      <c r="C493" s="2" t="s">
        <v>389</v>
      </c>
      <c r="D493" s="2" t="s">
        <v>76</v>
      </c>
      <c r="E493" s="2" t="s">
        <v>52</v>
      </c>
      <c r="F493" s="3">
        <v>645000</v>
      </c>
      <c r="G493" s="2" t="s">
        <v>27</v>
      </c>
      <c r="H493" s="2" t="s">
        <v>28</v>
      </c>
      <c r="I493" s="2" t="s">
        <v>21</v>
      </c>
      <c r="J493" s="2" t="s">
        <v>39</v>
      </c>
      <c r="K493" s="2" t="s">
        <v>68</v>
      </c>
      <c r="L493" s="2" t="s">
        <v>203</v>
      </c>
    </row>
    <row r="494" spans="1:12" x14ac:dyDescent="0.3">
      <c r="A494" s="2" t="s">
        <v>834</v>
      </c>
      <c r="B494" s="2" t="s">
        <v>49</v>
      </c>
      <c r="C494" s="2" t="s">
        <v>277</v>
      </c>
      <c r="D494" s="2" t="s">
        <v>51</v>
      </c>
      <c r="E494" s="2" t="s">
        <v>77</v>
      </c>
      <c r="F494" s="3">
        <v>2755000</v>
      </c>
      <c r="G494" s="2" t="s">
        <v>17</v>
      </c>
      <c r="H494" s="2" t="s">
        <v>28</v>
      </c>
      <c r="I494" s="2" t="s">
        <v>72</v>
      </c>
      <c r="J494" s="2" t="s">
        <v>21</v>
      </c>
      <c r="K494" s="2" t="s">
        <v>39</v>
      </c>
      <c r="L494" s="2" t="s">
        <v>256</v>
      </c>
    </row>
    <row r="495" spans="1:12" x14ac:dyDescent="0.3">
      <c r="A495" s="2" t="s">
        <v>835</v>
      </c>
      <c r="B495" s="2" t="s">
        <v>24</v>
      </c>
      <c r="C495" s="2" t="s">
        <v>461</v>
      </c>
      <c r="D495" s="2" t="s">
        <v>26</v>
      </c>
      <c r="E495" s="2" t="s">
        <v>37</v>
      </c>
      <c r="F495" s="3">
        <v>1960000</v>
      </c>
      <c r="G495" s="2" t="s">
        <v>27</v>
      </c>
      <c r="H495" s="2" t="s">
        <v>18</v>
      </c>
      <c r="I495" s="2" t="s">
        <v>45</v>
      </c>
      <c r="J495" s="2" t="s">
        <v>19</v>
      </c>
      <c r="K495" s="2" t="s">
        <v>20</v>
      </c>
      <c r="L495" s="2" t="s">
        <v>137</v>
      </c>
    </row>
    <row r="496" spans="1:12" x14ac:dyDescent="0.3">
      <c r="A496" s="2" t="s">
        <v>836</v>
      </c>
      <c r="B496" s="2" t="s">
        <v>49</v>
      </c>
      <c r="C496" s="2" t="s">
        <v>260</v>
      </c>
      <c r="D496" s="2" t="s">
        <v>96</v>
      </c>
      <c r="E496" s="2" t="s">
        <v>16</v>
      </c>
      <c r="F496" s="3">
        <v>665000</v>
      </c>
      <c r="G496" s="2" t="s">
        <v>27</v>
      </c>
      <c r="H496" s="2" t="s">
        <v>18</v>
      </c>
      <c r="I496" s="2" t="s">
        <v>46</v>
      </c>
      <c r="J496" s="2" t="s">
        <v>21</v>
      </c>
      <c r="K496" s="2" t="s">
        <v>19</v>
      </c>
      <c r="L496" s="2" t="s">
        <v>322</v>
      </c>
    </row>
    <row r="497" spans="1:12" x14ac:dyDescent="0.3">
      <c r="A497" s="2" t="s">
        <v>837</v>
      </c>
      <c r="B497" s="2" t="s">
        <v>178</v>
      </c>
      <c r="C497" s="2" t="s">
        <v>50</v>
      </c>
      <c r="D497" s="2" t="s">
        <v>26</v>
      </c>
      <c r="E497" s="2" t="s">
        <v>37</v>
      </c>
      <c r="F497" s="3">
        <v>1575000</v>
      </c>
      <c r="G497" s="2" t="s">
        <v>27</v>
      </c>
      <c r="H497" s="2" t="s">
        <v>28</v>
      </c>
      <c r="I497" s="2" t="s">
        <v>38</v>
      </c>
      <c r="J497" s="2" t="s">
        <v>131</v>
      </c>
      <c r="K497" s="2" t="s">
        <v>39</v>
      </c>
      <c r="L497" s="2" t="s">
        <v>838</v>
      </c>
    </row>
    <row r="498" spans="1:12" x14ac:dyDescent="0.3">
      <c r="A498" s="2" t="s">
        <v>839</v>
      </c>
      <c r="B498" s="2" t="s">
        <v>57</v>
      </c>
      <c r="C498" s="2" t="s">
        <v>160</v>
      </c>
      <c r="D498" s="2" t="s">
        <v>96</v>
      </c>
      <c r="E498" s="2" t="s">
        <v>16</v>
      </c>
      <c r="F498" s="3">
        <v>975000</v>
      </c>
      <c r="G498" s="2" t="s">
        <v>27</v>
      </c>
      <c r="H498" s="2" t="s">
        <v>28</v>
      </c>
      <c r="I498" s="2" t="s">
        <v>30</v>
      </c>
      <c r="J498" s="2" t="s">
        <v>45</v>
      </c>
      <c r="K498" s="2" t="s">
        <v>31</v>
      </c>
      <c r="L498" s="2" t="s">
        <v>422</v>
      </c>
    </row>
    <row r="499" spans="1:12" x14ac:dyDescent="0.3">
      <c r="A499" s="2" t="s">
        <v>840</v>
      </c>
      <c r="B499" s="2" t="s">
        <v>49</v>
      </c>
      <c r="C499" s="2" t="s">
        <v>43</v>
      </c>
      <c r="D499" s="2" t="s">
        <v>36</v>
      </c>
      <c r="E499" s="2" t="s">
        <v>77</v>
      </c>
      <c r="F499" s="3">
        <v>2805000</v>
      </c>
      <c r="G499" s="2" t="s">
        <v>27</v>
      </c>
      <c r="H499" s="2" t="s">
        <v>28</v>
      </c>
      <c r="I499" s="2" t="s">
        <v>54</v>
      </c>
      <c r="J499" s="2" t="s">
        <v>72</v>
      </c>
      <c r="K499" s="2" t="s">
        <v>21</v>
      </c>
      <c r="L499" s="2" t="s">
        <v>482</v>
      </c>
    </row>
    <row r="500" spans="1:12" x14ac:dyDescent="0.3">
      <c r="A500" s="2" t="s">
        <v>841</v>
      </c>
      <c r="B500" s="2" t="s">
        <v>42</v>
      </c>
      <c r="C500" s="2" t="s">
        <v>211</v>
      </c>
      <c r="D500" s="2" t="s">
        <v>26</v>
      </c>
      <c r="E500" s="2" t="s">
        <v>52</v>
      </c>
      <c r="F500" s="3">
        <v>515000</v>
      </c>
      <c r="G500" s="2" t="s">
        <v>27</v>
      </c>
      <c r="H500" s="2" t="s">
        <v>18</v>
      </c>
      <c r="I500" s="2" t="s">
        <v>38</v>
      </c>
      <c r="J500" s="2" t="s">
        <v>46</v>
      </c>
      <c r="K500" s="2" t="s">
        <v>68</v>
      </c>
      <c r="L500" s="2" t="s">
        <v>450</v>
      </c>
    </row>
    <row r="501" spans="1:12" x14ac:dyDescent="0.3">
      <c r="A501" s="2" t="s">
        <v>842</v>
      </c>
      <c r="B501" s="2" t="s">
        <v>149</v>
      </c>
      <c r="C501" s="2" t="s">
        <v>268</v>
      </c>
      <c r="D501" s="2" t="s">
        <v>36</v>
      </c>
      <c r="E501" s="2" t="s">
        <v>37</v>
      </c>
      <c r="F501" s="3">
        <v>1165000</v>
      </c>
      <c r="G501" s="2" t="s">
        <v>27</v>
      </c>
      <c r="H501" s="2" t="s">
        <v>18</v>
      </c>
      <c r="I501" s="2" t="s">
        <v>131</v>
      </c>
      <c r="J501" s="2" t="s">
        <v>29</v>
      </c>
      <c r="K501" s="2" t="s">
        <v>46</v>
      </c>
      <c r="L501" s="2" t="s">
        <v>332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43F54C-49E7-45D5-BC17-8DE0900871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Insights &amp; Reccomendations</vt:lpstr>
      <vt:lpstr>Analysis</vt:lpstr>
      <vt:lpstr>jobrole</vt:lpstr>
      <vt:lpstr>skills</vt:lpstr>
      <vt:lpstr>location</vt:lpstr>
      <vt:lpstr>Experience</vt:lpstr>
      <vt:lpstr>work mode</vt:lpstr>
      <vt:lpstr>type</vt:lpstr>
      <vt:lpstr>Salary</vt:lpstr>
      <vt:lpstr>skill_data</vt:lpstr>
      <vt:lpstr>Clean_Data</vt:lpstr>
      <vt:lpstr>Job_Postings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Darshana GUJAR</cp:lastModifiedBy>
  <cp:lastPrinted>2026-09-06T13:07:52Z</cp:lastPrinted>
  <dcterms:created xsi:type="dcterms:W3CDTF">2026-09-05T15:28:08Z</dcterms:created>
  <dcterms:modified xsi:type="dcterms:W3CDTF">2026-09-06T13:13:31Z</dcterms:modified>
</cp:coreProperties>
</file>